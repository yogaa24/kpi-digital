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500" activeTab="2"/>
  </bookViews>
  <sheets>
    <sheet name="Penyelesai OD &amp; TF " sheetId="1" r:id="rId1"/>
    <sheet name="Kalender " sheetId="10" r:id="rId2"/>
    <sheet name="Simulasi (2)" sheetId="11" r:id="rId3"/>
    <sheet name="Sheet3" sheetId="3" r:id="rId4"/>
  </sheets>
  <externalReferences>
    <externalReference r:id="rId5"/>
    <externalReference r:id="rId6"/>
  </externalReferences>
  <definedNames>
    <definedName name="_xlnm._FilterDatabase" localSheetId="1" hidden="1">'Kalender '!$B$1:$AH$144</definedName>
    <definedName name="_xlnm._FilterDatabase" localSheetId="2" hidden="1">'Simulasi (2)'!$A$3:$M$212</definedName>
    <definedName name="tb_tagpdbg" localSheetId="2">[2]TAGPD!$AQ$8:$AQ$30000</definedName>
    <definedName name="tb_tagpdbg">[1]TAGPD!$AQ$8:$AQ$30000</definedName>
    <definedName name="tb_tagpdfaktur" localSheetId="2">[2]TAGPD!$E$8:$E$30000</definedName>
    <definedName name="tb_tagpdfaktur">[1]TAGPD!$E$8:$E$30000</definedName>
    <definedName name="tb_tagpdkucash" localSheetId="2">[2]TAGPD!$AV$8:$AV$30000</definedName>
    <definedName name="tb_tagpdkucash">[1]TAGPD!$AV$8:$AV$30000</definedName>
    <definedName name="tb_tagpdrpb" localSheetId="2">[2]TAGPD!$AP$8:$AP$30000</definedName>
    <definedName name="tb_tagpdrpb">[1]TAGPD!$AP$8:$AP$30000</definedName>
    <definedName name="tb_tbbnt">#REF!</definedName>
    <definedName name="tballnk" localSheetId="2">[2]All!$E$12:$E$944</definedName>
    <definedName name="tballnk">[1]All!$E$12:$E$996</definedName>
    <definedName name="tballp" localSheetId="2">[2]All!$L$12:$L$944</definedName>
    <definedName name="tballp">[1]All!$L$12:$L$996</definedName>
    <definedName name="tballsa" localSheetId="2">[2]All!$I$12:$I$944</definedName>
    <definedName name="tballsa">[1]All!$I$12:$I$996</definedName>
    <definedName name="tballsod" localSheetId="2">[2]All!$M$12:$M$944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E218" i="11" l="1"/>
  <c r="E217" i="11"/>
  <c r="G209" i="11"/>
  <c r="A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C124" i="11"/>
  <c r="C123" i="11"/>
  <c r="D123" i="11" s="1"/>
  <c r="C122" i="11"/>
  <c r="D122" i="11" s="1"/>
  <c r="E122" i="11" s="1"/>
  <c r="D121" i="11"/>
  <c r="E121" i="11" s="1"/>
  <c r="C121" i="11"/>
  <c r="C120" i="11"/>
  <c r="C119" i="11"/>
  <c r="D119" i="11" s="1"/>
  <c r="C118" i="11"/>
  <c r="D118" i="11" s="1"/>
  <c r="E118" i="11" s="1"/>
  <c r="C117" i="11"/>
  <c r="D117" i="11" s="1"/>
  <c r="E117" i="11" s="1"/>
  <c r="C116" i="11"/>
  <c r="C115" i="11"/>
  <c r="D115" i="11" s="1"/>
  <c r="C114" i="11"/>
  <c r="D114" i="11" s="1"/>
  <c r="E114" i="11" s="1"/>
  <c r="C113" i="11"/>
  <c r="D113" i="11" s="1"/>
  <c r="E113" i="11" s="1"/>
  <c r="C112" i="11"/>
  <c r="C111" i="11"/>
  <c r="D111" i="11" s="1"/>
  <c r="C110" i="11"/>
  <c r="C109" i="11"/>
  <c r="D109" i="11" s="1"/>
  <c r="E109" i="11" s="1"/>
  <c r="C108" i="11"/>
  <c r="C107" i="11"/>
  <c r="D107" i="11" s="1"/>
  <c r="C106" i="11"/>
  <c r="D106" i="11" s="1"/>
  <c r="E106" i="11" s="1"/>
  <c r="C105" i="11"/>
  <c r="D105" i="11" s="1"/>
  <c r="E105" i="11" s="1"/>
  <c r="C104" i="11"/>
  <c r="C103" i="11"/>
  <c r="D103" i="11" s="1"/>
  <c r="C102" i="11"/>
  <c r="D102" i="11" s="1"/>
  <c r="E102" i="11" s="1"/>
  <c r="C101" i="11"/>
  <c r="D101" i="11" s="1"/>
  <c r="E101" i="11" s="1"/>
  <c r="C100" i="11"/>
  <c r="C99" i="11"/>
  <c r="D99" i="11" s="1"/>
  <c r="C98" i="11"/>
  <c r="D98" i="11" s="1"/>
  <c r="E98" i="11" s="1"/>
  <c r="C97" i="11"/>
  <c r="D97" i="11" s="1"/>
  <c r="E97" i="11" s="1"/>
  <c r="C96" i="11"/>
  <c r="C95" i="11"/>
  <c r="D95" i="11" s="1"/>
  <c r="C94" i="11"/>
  <c r="D94" i="11" s="1"/>
  <c r="E94" i="11" s="1"/>
  <c r="C93" i="11"/>
  <c r="D93" i="11" s="1"/>
  <c r="E93" i="11" s="1"/>
  <c r="C92" i="11"/>
  <c r="C91" i="11"/>
  <c r="D91" i="11" s="1"/>
  <c r="C90" i="11"/>
  <c r="D90" i="11" s="1"/>
  <c r="E90" i="11" s="1"/>
  <c r="C89" i="11"/>
  <c r="D89" i="11" s="1"/>
  <c r="E89" i="11" s="1"/>
  <c r="C88" i="11"/>
  <c r="C87" i="11"/>
  <c r="D87" i="11" s="1"/>
  <c r="C74" i="11"/>
  <c r="D74" i="11" s="1"/>
  <c r="E74" i="11" s="1"/>
  <c r="E73" i="11"/>
  <c r="D73" i="11"/>
  <c r="C73" i="11"/>
  <c r="C72" i="11"/>
  <c r="C71" i="11"/>
  <c r="D71" i="11" s="1"/>
  <c r="C70" i="11"/>
  <c r="D70" i="11" s="1"/>
  <c r="E70" i="11" s="1"/>
  <c r="E69" i="11"/>
  <c r="D69" i="11"/>
  <c r="C69" i="11"/>
  <c r="C68" i="11"/>
  <c r="C67" i="11"/>
  <c r="D67" i="11" s="1"/>
  <c r="C66" i="11"/>
  <c r="D66" i="11" s="1"/>
  <c r="E66" i="11" s="1"/>
  <c r="E65" i="11"/>
  <c r="D65" i="11"/>
  <c r="C65" i="11"/>
  <c r="C64" i="11"/>
  <c r="C63" i="11"/>
  <c r="D63" i="11" s="1"/>
  <c r="C62" i="11"/>
  <c r="D62" i="11" s="1"/>
  <c r="E62" i="11" s="1"/>
  <c r="E61" i="11"/>
  <c r="D61" i="11"/>
  <c r="C61" i="11"/>
  <c r="C60" i="11"/>
  <c r="C59" i="11"/>
  <c r="D59" i="11" s="1"/>
  <c r="C58" i="11"/>
  <c r="D58" i="11" s="1"/>
  <c r="E58" i="11" s="1"/>
  <c r="E57" i="11"/>
  <c r="D57" i="11"/>
  <c r="C57" i="11"/>
  <c r="C56" i="11"/>
  <c r="C55" i="11"/>
  <c r="D55" i="11" s="1"/>
  <c r="C54" i="11"/>
  <c r="D54" i="11" s="1"/>
  <c r="E54" i="11" s="1"/>
  <c r="E53" i="11"/>
  <c r="D53" i="11"/>
  <c r="C53" i="11"/>
  <c r="C52" i="11"/>
  <c r="C51" i="11"/>
  <c r="D51" i="11" s="1"/>
  <c r="C50" i="11"/>
  <c r="D50" i="11" s="1"/>
  <c r="E50" i="11" s="1"/>
  <c r="E49" i="11"/>
  <c r="D49" i="11"/>
  <c r="C49" i="11"/>
  <c r="C48" i="11"/>
  <c r="C47" i="11"/>
  <c r="D47" i="11" s="1"/>
  <c r="C46" i="11"/>
  <c r="D46" i="11" s="1"/>
  <c r="E46" i="11" s="1"/>
  <c r="E45" i="11"/>
  <c r="D45" i="11"/>
  <c r="C45" i="11"/>
  <c r="C44" i="11"/>
  <c r="C43" i="11"/>
  <c r="D43" i="11" s="1"/>
  <c r="C42" i="11"/>
  <c r="D42" i="11" s="1"/>
  <c r="E42" i="11" s="1"/>
  <c r="E41" i="11"/>
  <c r="D41" i="11"/>
  <c r="C41" i="11"/>
  <c r="C40" i="11"/>
  <c r="C39" i="11"/>
  <c r="D39" i="11" s="1"/>
  <c r="C38" i="11"/>
  <c r="D38" i="11" s="1"/>
  <c r="E38" i="11" s="1"/>
  <c r="E37" i="11"/>
  <c r="D37" i="11"/>
  <c r="C37" i="11"/>
  <c r="C36" i="11"/>
  <c r="C35" i="11"/>
  <c r="D35" i="11" s="1"/>
  <c r="C34" i="11"/>
  <c r="D34" i="11" s="1"/>
  <c r="E34" i="11" s="1"/>
  <c r="E33" i="11"/>
  <c r="D33" i="11"/>
  <c r="C33" i="11"/>
  <c r="C32" i="11"/>
  <c r="C31" i="11"/>
  <c r="D31" i="11" s="1"/>
  <c r="C30" i="11"/>
  <c r="D30" i="11" s="1"/>
  <c r="E30" i="11" s="1"/>
  <c r="E29" i="11"/>
  <c r="D29" i="11"/>
  <c r="C29" i="11"/>
  <c r="C28" i="11"/>
  <c r="C27" i="11"/>
  <c r="D27" i="11" s="1"/>
  <c r="C26" i="11"/>
  <c r="D26" i="11" s="1"/>
  <c r="E26" i="11" s="1"/>
  <c r="E25" i="11"/>
  <c r="D25" i="11"/>
  <c r="C25" i="11"/>
  <c r="C24" i="11"/>
  <c r="C23" i="11"/>
  <c r="D23" i="11" s="1"/>
  <c r="C22" i="11"/>
  <c r="D22" i="11" s="1"/>
  <c r="E22" i="11" s="1"/>
  <c r="E21" i="11"/>
  <c r="D21" i="11"/>
  <c r="C21" i="11"/>
  <c r="C20" i="11"/>
  <c r="C19" i="11"/>
  <c r="D19" i="11" s="1"/>
  <c r="C18" i="11"/>
  <c r="D18" i="11" s="1"/>
  <c r="E18" i="11" s="1"/>
  <c r="E17" i="11"/>
  <c r="D17" i="11"/>
  <c r="C17" i="11"/>
  <c r="C16" i="11"/>
  <c r="C15" i="11"/>
  <c r="D15" i="11" s="1"/>
  <c r="C14" i="11"/>
  <c r="D14" i="11" s="1"/>
  <c r="E14" i="11" s="1"/>
  <c r="D13" i="11"/>
  <c r="E13" i="11" s="1"/>
  <c r="C13" i="11"/>
  <c r="C12" i="11"/>
  <c r="C11" i="11"/>
  <c r="D11" i="11" s="1"/>
  <c r="C10" i="11"/>
  <c r="D10" i="11" s="1"/>
  <c r="E10" i="11" s="1"/>
  <c r="C9" i="11"/>
  <c r="E9" i="11" s="1"/>
  <c r="C8" i="11"/>
  <c r="D8" i="11" s="1"/>
  <c r="E7" i="11"/>
  <c r="C7" i="11"/>
  <c r="C6" i="11"/>
  <c r="C5" i="11"/>
  <c r="D5" i="11" s="1"/>
  <c r="E4" i="11"/>
  <c r="C4" i="11"/>
  <c r="C209" i="11" s="1"/>
  <c r="C211" i="11" s="1"/>
  <c r="E6" i="11" l="1"/>
  <c r="E20" i="11"/>
  <c r="E36" i="11"/>
  <c r="E52" i="11"/>
  <c r="E68" i="11"/>
  <c r="E5" i="11"/>
  <c r="E8" i="11"/>
  <c r="E11" i="11"/>
  <c r="E15" i="11"/>
  <c r="E19" i="11"/>
  <c r="E23" i="11"/>
  <c r="E27" i="11"/>
  <c r="E31" i="11"/>
  <c r="E35" i="11"/>
  <c r="E39" i="11"/>
  <c r="E43" i="11"/>
  <c r="E47" i="11"/>
  <c r="E51" i="11"/>
  <c r="E55" i="11"/>
  <c r="E59" i="11"/>
  <c r="E63" i="11"/>
  <c r="E67" i="11"/>
  <c r="E71" i="11"/>
  <c r="E87" i="11"/>
  <c r="E91" i="11"/>
  <c r="E95" i="11"/>
  <c r="E99" i="11"/>
  <c r="E103" i="11"/>
  <c r="E107" i="11"/>
  <c r="D110" i="11"/>
  <c r="E110" i="11" s="1"/>
  <c r="E111" i="11"/>
  <c r="E115" i="11"/>
  <c r="E119" i="11"/>
  <c r="E123" i="11"/>
  <c r="D6" i="11"/>
  <c r="D209" i="11" s="1"/>
  <c r="H209" i="11" s="1"/>
  <c r="D12" i="11"/>
  <c r="E12" i="11" s="1"/>
  <c r="D20" i="11"/>
  <c r="D24" i="11"/>
  <c r="E24" i="11" s="1"/>
  <c r="D28" i="11"/>
  <c r="E28" i="11" s="1"/>
  <c r="D32" i="11"/>
  <c r="E32" i="11" s="1"/>
  <c r="D36" i="11"/>
  <c r="D40" i="11"/>
  <c r="E40" i="11" s="1"/>
  <c r="D44" i="11"/>
  <c r="E44" i="11" s="1"/>
  <c r="D48" i="11"/>
  <c r="E48" i="11" s="1"/>
  <c r="D52" i="11"/>
  <c r="D56" i="11"/>
  <c r="E56" i="11" s="1"/>
  <c r="D60" i="11"/>
  <c r="E60" i="11" s="1"/>
  <c r="D64" i="11"/>
  <c r="E64" i="11" s="1"/>
  <c r="D68" i="11"/>
  <c r="D72" i="11"/>
  <c r="E72" i="11" s="1"/>
  <c r="D88" i="11"/>
  <c r="E88" i="11" s="1"/>
  <c r="D92" i="11"/>
  <c r="E92" i="11" s="1"/>
  <c r="D96" i="11"/>
  <c r="E96" i="11" s="1"/>
  <c r="D100" i="11"/>
  <c r="E100" i="11" s="1"/>
  <c r="D104" i="11"/>
  <c r="E104" i="11" s="1"/>
  <c r="D108" i="11"/>
  <c r="E108" i="11" s="1"/>
  <c r="D112" i="11"/>
  <c r="E112" i="11" s="1"/>
  <c r="D116" i="11"/>
  <c r="E116" i="11" s="1"/>
  <c r="D120" i="11"/>
  <c r="E120" i="11" s="1"/>
  <c r="D124" i="11"/>
  <c r="E124" i="11" s="1"/>
  <c r="D16" i="11"/>
  <c r="E16" i="11" s="1"/>
  <c r="E209" i="11" l="1"/>
  <c r="D214" i="11" l="1"/>
  <c r="E214" i="11" s="1"/>
  <c r="E215" i="11" s="1"/>
  <c r="D211" i="11"/>
  <c r="E211" i="11" s="1"/>
  <c r="E212" i="11" s="1"/>
  <c r="AH241" i="10" l="1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AK21" i="10"/>
  <c r="AJ21" i="10"/>
  <c r="AI21" i="10"/>
  <c r="AK8" i="10"/>
  <c r="AJ8" i="10"/>
  <c r="AJ11" i="10" s="1"/>
  <c r="AI13" i="10" s="1"/>
  <c r="AI8" i="10"/>
  <c r="AI11" i="10" s="1"/>
  <c r="AM12" i="10" s="1"/>
  <c r="G38" i="1" l="1"/>
  <c r="F38" i="1"/>
  <c r="E38" i="1"/>
  <c r="D38" i="1"/>
  <c r="C38" i="1"/>
  <c r="G37" i="1"/>
  <c r="F37" i="1"/>
  <c r="E37" i="1"/>
  <c r="D37" i="1"/>
  <c r="C37" i="1"/>
  <c r="F19" i="1"/>
  <c r="F34" i="1" l="1"/>
  <c r="E34" i="1"/>
  <c r="D34" i="1"/>
  <c r="C34" i="1"/>
  <c r="F33" i="1"/>
  <c r="E33" i="1"/>
  <c r="D33" i="1"/>
  <c r="C33" i="1"/>
  <c r="G32" i="1"/>
  <c r="G33" i="1" s="1"/>
  <c r="F18" i="1"/>
  <c r="B7" i="1"/>
  <c r="I7" i="1" s="1"/>
  <c r="G34" i="1" l="1"/>
  <c r="K7" i="1"/>
  <c r="F7" i="1"/>
  <c r="G30" i="1" l="1"/>
  <c r="F30" i="1"/>
  <c r="E30" i="1"/>
  <c r="D30" i="1"/>
  <c r="C30" i="1"/>
  <c r="G29" i="1"/>
  <c r="F29" i="1"/>
  <c r="E29" i="1"/>
  <c r="D29" i="1"/>
  <c r="C29" i="1"/>
  <c r="F17" i="1"/>
  <c r="B6" i="1"/>
  <c r="I6" i="1" s="1"/>
  <c r="K6" i="1" l="1"/>
  <c r="F6" i="1"/>
  <c r="G26" i="1" l="1"/>
  <c r="F26" i="1"/>
  <c r="E26" i="1"/>
  <c r="D26" i="1"/>
  <c r="C26" i="1"/>
  <c r="F25" i="1"/>
  <c r="E25" i="1"/>
  <c r="D25" i="1"/>
  <c r="F16" i="1"/>
  <c r="E16" i="1"/>
  <c r="E17" i="1" s="1"/>
  <c r="E18" i="1" s="1"/>
  <c r="E19" i="1" s="1"/>
  <c r="D16" i="1"/>
  <c r="D17" i="1" s="1"/>
  <c r="B5" i="1"/>
  <c r="I5" i="1" s="1"/>
  <c r="C17" i="1" l="1"/>
  <c r="D18" i="1"/>
  <c r="C16" i="1"/>
  <c r="K5" i="1"/>
  <c r="F5" i="1"/>
  <c r="C18" i="1" l="1"/>
  <c r="D19" i="1"/>
  <c r="C19" i="1" s="1"/>
  <c r="D5" i="1"/>
  <c r="D6" i="1"/>
  <c r="D7" i="1"/>
</calcChain>
</file>

<file path=xl/sharedStrings.xml><?xml version="1.0" encoding="utf-8"?>
<sst xmlns="http://schemas.openxmlformats.org/spreadsheetml/2006/main" count="879" uniqueCount="200">
  <si>
    <t>TC : TIYA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</si>
  <si>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</si>
  <si>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</si>
  <si>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</si>
  <si>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</si>
  <si>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</si>
  <si>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</si>
  <si>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</si>
  <si>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</si>
  <si>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</si>
  <si>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</si>
  <si>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</si>
  <si>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</si>
  <si>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</si>
  <si>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</si>
  <si>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</si>
  <si>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</si>
  <si>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</si>
  <si>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</si>
  <si>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</si>
  <si>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</si>
  <si>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</si>
  <si>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</si>
  <si>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</si>
  <si>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Tiya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</si>
  <si>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</si>
  <si>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</si>
  <si>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</si>
  <si>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</si>
  <si>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</si>
  <si>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</si>
  <si>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</si>
  <si>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</si>
  <si>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</si>
  <si>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</si>
  <si>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</si>
  <si>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</si>
  <si>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1M</t>
  </si>
  <si>
    <t>FEB</t>
  </si>
  <si>
    <t>Bulan</t>
  </si>
  <si>
    <t>Klasifikasi</t>
  </si>
  <si>
    <t>Farida</t>
  </si>
  <si>
    <t>Hendra</t>
  </si>
  <si>
    <t>Natasya</t>
  </si>
  <si>
    <t>Safira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</si>
  <si>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</si>
  <si>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</si>
  <si>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</si>
  <si>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</si>
  <si>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</si>
  <si>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</si>
  <si>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</si>
  <si>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Wilayah</t>
  </si>
  <si>
    <t xml:space="preserve">Jember, Agronomis </t>
  </si>
  <si>
    <t>Posisi Over Due</t>
  </si>
  <si>
    <t>30 &gt;</t>
  </si>
  <si>
    <t>No</t>
  </si>
  <si>
    <t>Nama Kios</t>
  </si>
  <si>
    <t>T</t>
  </si>
  <si>
    <t>B</t>
  </si>
  <si>
    <t>TB</t>
  </si>
  <si>
    <t>Agro Suci/Bety</t>
  </si>
  <si>
    <t>Agus/Nufarm</t>
  </si>
  <si>
    <t>Al Badar/Badar, H</t>
  </si>
  <si>
    <t>Anggoro Makmur/Yayuk</t>
  </si>
  <si>
    <t>Aris/Tanindo</t>
  </si>
  <si>
    <t>Berkah Kayra/Nuyun</t>
  </si>
  <si>
    <t>Berkah Tani/Intan Sri</t>
  </si>
  <si>
    <t>Bima Tani Jaya/Kevin Pratama</t>
  </si>
  <si>
    <t>Bina Mandiri, UD/Nurul</t>
  </si>
  <si>
    <t>Bumi Jaya, UD/Farida</t>
  </si>
  <si>
    <t>Cahaya Tani/Rudi</t>
  </si>
  <si>
    <t>Damar Batur Nusantara</t>
  </si>
  <si>
    <t>Enggal Makmur/Dwi</t>
  </si>
  <si>
    <t>Era Tani/Abdul Wakik</t>
  </si>
  <si>
    <t>Griya Tani/Sri</t>
  </si>
  <si>
    <t>Harry Santoso</t>
  </si>
  <si>
    <t>Hasil Usaha, UD</t>
  </si>
  <si>
    <t>Ira Tani/Dani, H</t>
  </si>
  <si>
    <t>Lancar Barokah Tani/Abd Rosit</t>
  </si>
  <si>
    <t>Luhur Tani/M. Itqon</t>
  </si>
  <si>
    <t>Maju Tani/Dedi Kurniawan</t>
  </si>
  <si>
    <t>Merdeka Tani/Sugiono</t>
  </si>
  <si>
    <t>Mubarok, Toko</t>
  </si>
  <si>
    <t>Puji Barokah Tani</t>
  </si>
  <si>
    <t>Putra Tani/Muzaiyin</t>
  </si>
  <si>
    <t>Rindi Tani</t>
  </si>
  <si>
    <t>Riski Tani/Hadi</t>
  </si>
  <si>
    <t>Rizki, UD/Kusnyoto</t>
  </si>
  <si>
    <t>Sekumpul Tani/Nofal</t>
  </si>
  <si>
    <t>Serba Hasil/Ansori</t>
  </si>
  <si>
    <t>Sugeng Makmur, Toko</t>
  </si>
  <si>
    <t>Sumber Tani 2, UD</t>
  </si>
  <si>
    <t>Sumber Tani/Eko Wardono</t>
  </si>
  <si>
    <t>Tani Jaya/Mul</t>
  </si>
  <si>
    <t>Tani Joss</t>
  </si>
  <si>
    <t>Tani Subur/Saiful</t>
  </si>
  <si>
    <t>Wira Tani, UD</t>
  </si>
  <si>
    <t>TOTAL</t>
  </si>
  <si>
    <t>Tagih Langsung Bayar</t>
  </si>
  <si>
    <t>Tagih</t>
  </si>
  <si>
    <t>Bayar</t>
  </si>
  <si>
    <t>&lt; 30</t>
  </si>
  <si>
    <t>Albab Tani/Erwin</t>
  </si>
  <si>
    <t>Bang Jali/Achmad Gozali</t>
  </si>
  <si>
    <t>Bintang Sejahtera</t>
  </si>
  <si>
    <t>Intani, UD/Yayak</t>
  </si>
  <si>
    <t>Permata, UD/Badar</t>
  </si>
  <si>
    <t>Tani Mulyo, UD/Bastian</t>
  </si>
  <si>
    <t>Tretan Tani/Anam</t>
  </si>
  <si>
    <t>Wijaya/Retty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</si>
  <si>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</si>
  <si>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</si>
  <si>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</si>
  <si>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</si>
  <si>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</si>
  <si>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</si>
  <si>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</si>
  <si>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</si>
  <si>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</si>
  <si>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</si>
  <si>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Dodik/Asiana</t>
  </si>
  <si>
    <t>Bejo Langgeng, Toko</t>
  </si>
  <si>
    <t>Andri Pristianto</t>
  </si>
  <si>
    <t>Grand Total</t>
  </si>
  <si>
    <t>prediksi</t>
  </si>
  <si>
    <t>Simulasi penyelesaian OD &gt; 30</t>
  </si>
  <si>
    <t>akhir des</t>
  </si>
  <si>
    <t>OD30,60,90</t>
  </si>
  <si>
    <t xml:space="preserve">T </t>
  </si>
  <si>
    <t>Afan/JAI</t>
  </si>
  <si>
    <t>Cipta Tani/Mohammad Rohim</t>
  </si>
  <si>
    <t>Rahma Tani, CV</t>
  </si>
  <si>
    <t>Sumber Tani/Farid</t>
  </si>
  <si>
    <t>Suwadi BCA</t>
  </si>
  <si>
    <t>Varia Agro Mandiri, CV</t>
  </si>
  <si>
    <t>Sularmanto MKD</t>
  </si>
  <si>
    <t>Sekar Tani/Matori</t>
  </si>
  <si>
    <t>Tani Makmur 2</t>
  </si>
  <si>
    <t>Joyo Tani/Wiwik</t>
  </si>
  <si>
    <t>Sadar Sari/Farid Firdaus</t>
  </si>
  <si>
    <t>Sumber Eka Tani/Alief</t>
  </si>
  <si>
    <t>Restu Tani/Didik</t>
  </si>
  <si>
    <t>Sigit/Bayer</t>
  </si>
  <si>
    <t>Sahabat Tani/Abdul Rohman</t>
  </si>
  <si>
    <t>Suka Maju/Sariatun</t>
  </si>
  <si>
    <t>Benih Citra Asia, PT</t>
  </si>
  <si>
    <t>Tot. piutang Maret</t>
  </si>
  <si>
    <t>MAR</t>
  </si>
  <si>
    <t>Slamet/Cin Ing</t>
  </si>
  <si>
    <t>Kharisma/Nanang</t>
  </si>
  <si>
    <t>Bintang Mulia Tani/Yuda</t>
  </si>
  <si>
    <t>Tunas Agri Kencana, CV</t>
  </si>
  <si>
    <t>Rajawali/Arif</t>
  </si>
  <si>
    <t>Mulyadi/Kenso</t>
  </si>
  <si>
    <t>Raska, UD</t>
  </si>
  <si>
    <t>Helmi Sarwoko</t>
  </si>
  <si>
    <t>F Nganjuk</t>
  </si>
  <si>
    <t>Bursa Tani/Brian</t>
  </si>
  <si>
    <t>Ghanesa Tani/Erviana</t>
  </si>
  <si>
    <t>Sumaudi/STIM</t>
  </si>
  <si>
    <t>Erfan SK</t>
  </si>
  <si>
    <t>Eko Prayitno/MIA</t>
  </si>
  <si>
    <t>Toni/Tanindo</t>
  </si>
  <si>
    <t>Hasil Tani/Agus Widandik</t>
  </si>
  <si>
    <t>Ahmad Fathorrosi/MKD</t>
  </si>
  <si>
    <t>Bumi Tani 2/Hafid</t>
  </si>
  <si>
    <t>Bintang Tani Sejahterah/Anisatul</t>
  </si>
  <si>
    <t>Bintang Berlian/Hairun</t>
  </si>
  <si>
    <t>Hasil Tani/Marmi</t>
  </si>
  <si>
    <t>Ridho Tani 2/Maulana Ishak</t>
  </si>
  <si>
    <t>Gemilang, Toko</t>
  </si>
  <si>
    <t>Aarash Utama/Ahmad Ghozali</t>
  </si>
  <si>
    <t>Margo Rahayu/Latief</t>
  </si>
  <si>
    <t>Sumber Makmur/Agus Winoto</t>
  </si>
  <si>
    <t>Sejati Jaya, UD 2</t>
  </si>
  <si>
    <t xml:space="preserve">Akhir bulan </t>
  </si>
  <si>
    <t>APR</t>
  </si>
  <si>
    <t>BULAN APRIL 2026</t>
  </si>
  <si>
    <t>Abdi Rahmat Tani/Lidya</t>
  </si>
  <si>
    <t>Berkah Tani/Cupo</t>
  </si>
  <si>
    <t>sabtu 11</t>
  </si>
  <si>
    <t>Daltry/Java Carlos</t>
  </si>
  <si>
    <t>Eka Jaya/Eko</t>
  </si>
  <si>
    <t>Mahkota/Cik Cuan</t>
  </si>
  <si>
    <t>Moga Berkah/Robid</t>
  </si>
  <si>
    <t>Rinal Jaya/Supriadi</t>
  </si>
  <si>
    <t>Rudi Sari kresna/Iklar Viola Clasic</t>
  </si>
  <si>
    <t>Sederhana, UD</t>
  </si>
  <si>
    <t>Tempurejo, PT</t>
  </si>
  <si>
    <t>Java Karlos Indonesia, PT</t>
  </si>
  <si>
    <t>Fortuna Tani/Heru</t>
  </si>
  <si>
    <t>Tutut/Syngenta</t>
  </si>
  <si>
    <t>Azis/Syngenta</t>
  </si>
  <si>
    <t>Wicak/Syngenta</t>
  </si>
  <si>
    <t>Mandiri Tani Sejahtera/Yanda</t>
  </si>
  <si>
    <t>Ahmad Arief/Syn</t>
  </si>
  <si>
    <t>Fajar Prasetya/Syngenta</t>
  </si>
  <si>
    <t>Media/Syngenta</t>
  </si>
  <si>
    <t>Aminah Jaya Tani/Slamet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</si>
</sst>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8.5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FFFFFF"/>
      <name val="Arial Unicode MS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20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6" fillId="0" borderId="0">
      <alignment horizontal="left" vertical="top"/>
    </xf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4" fillId="0" borderId="0"/>
    <xf numFmtId="0" fontId="25" fillId="0" borderId="0"/>
    <xf numFmtId="0" fontId="1" fillId="0" borderId="0"/>
    <xf numFmtId="0" fontId="1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4" fillId="31" borderId="0"/>
    <xf numFmtId="0" fontId="34" fillId="31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38" fillId="31" borderId="0"/>
    <xf numFmtId="0" fontId="25" fillId="0" borderId="0"/>
    <xf numFmtId="167" fontId="1" fillId="0" borderId="0"/>
    <xf numFmtId="167" fontId="1" fillId="0" borderId="0"/>
    <xf numFmtId="167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39" fillId="0" borderId="0">
      <alignment horizontal="left" vertical="top"/>
    </xf>
    <xf numFmtId="0" fontId="4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2" fillId="0" borderId="0">
      <alignment horizontal="left" vertical="top"/>
    </xf>
    <xf numFmtId="0" fontId="2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right" vertical="center"/>
    </xf>
    <xf numFmtId="0" fontId="26" fillId="0" borderId="0">
      <alignment horizontal="righ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47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43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49" fillId="0" borderId="0">
      <alignment horizontal="right" vertical="top"/>
    </xf>
    <xf numFmtId="0" fontId="26" fillId="0" borderId="0">
      <alignment horizontal="left" vertical="top"/>
    </xf>
    <xf numFmtId="0" fontId="46" fillId="0" borderId="0">
      <alignment horizontal="lef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167" fontId="26" fillId="0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8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50" fillId="0" borderId="0">
      <alignment horizontal="right" vertical="top"/>
    </xf>
    <xf numFmtId="0" fontId="47" fillId="0" borderId="0">
      <alignment horizontal="left" vertical="top"/>
    </xf>
    <xf numFmtId="0" fontId="53" fillId="0" borderId="0">
      <alignment horizontal="right" vertical="top"/>
    </xf>
    <xf numFmtId="0" fontId="46" fillId="0" borderId="0">
      <alignment horizontal="right" vertical="top"/>
    </xf>
    <xf numFmtId="0" fontId="48" fillId="0" borderId="0">
      <alignment horizontal="left" vertical="top"/>
    </xf>
    <xf numFmtId="167" fontId="26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4" fillId="0" borderId="0">
      <alignment horizontal="right" vertical="top"/>
    </xf>
    <xf numFmtId="0" fontId="49" fillId="0" borderId="0">
      <alignment horizontal="righ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0" fontId="46" fillId="0" borderId="0">
      <alignment horizontal="left" vertical="top"/>
    </xf>
    <xf numFmtId="0" fontId="53" fillId="0" borderId="0">
      <alignment horizontal="right" vertical="top"/>
    </xf>
    <xf numFmtId="0" fontId="54" fillId="0" borderId="0">
      <alignment horizontal="left" vertical="center"/>
    </xf>
    <xf numFmtId="0" fontId="51" fillId="0" borderId="0">
      <alignment horizontal="left" vertical="center"/>
    </xf>
    <xf numFmtId="0" fontId="26" fillId="0" borderId="0">
      <alignment horizontal="left" vertical="top"/>
    </xf>
    <xf numFmtId="167" fontId="26" fillId="0" borderId="0">
      <alignment horizontal="left" vertical="top"/>
    </xf>
    <xf numFmtId="0" fontId="34" fillId="0" borderId="0">
      <alignment horizontal="left" vertical="top"/>
    </xf>
    <xf numFmtId="0" fontId="50" fillId="0" borderId="0">
      <alignment horizontal="left" vertical="top"/>
    </xf>
    <xf numFmtId="0" fontId="34" fillId="0" borderId="0">
      <alignment horizontal="left" vertical="top"/>
    </xf>
    <xf numFmtId="0" fontId="49" fillId="0" borderId="0">
      <alignment horizontal="right" vertical="top"/>
    </xf>
    <xf numFmtId="0" fontId="55" fillId="0" borderId="0">
      <alignment horizontal="left" vertical="top"/>
    </xf>
    <xf numFmtId="0" fontId="26" fillId="0" borderId="0">
      <alignment horizontal="right" vertical="top"/>
    </xf>
    <xf numFmtId="0" fontId="54" fillId="0" borderId="0">
      <alignment horizontal="left" vertical="center"/>
    </xf>
    <xf numFmtId="0" fontId="48" fillId="0" borderId="0">
      <alignment horizontal="left" vertical="top"/>
    </xf>
    <xf numFmtId="0" fontId="46" fillId="0" borderId="0">
      <alignment horizontal="right" vertical="top"/>
    </xf>
    <xf numFmtId="0" fontId="50" fillId="0" borderId="0">
      <alignment horizontal="right" vertical="top"/>
    </xf>
    <xf numFmtId="0" fontId="53" fillId="0" borderId="0">
      <alignment horizontal="lef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56" fillId="0" borderId="0">
      <alignment horizontal="left" vertical="top"/>
    </xf>
    <xf numFmtId="0" fontId="34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51" fillId="0" borderId="0">
      <alignment horizontal="center" vertical="center"/>
    </xf>
    <xf numFmtId="0" fontId="48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left" vertical="center"/>
    </xf>
    <xf numFmtId="0" fontId="52" fillId="0" borderId="0">
      <alignment horizontal="left" vertical="top"/>
    </xf>
    <xf numFmtId="0" fontId="57" fillId="0" borderId="0">
      <alignment horizontal="right" vertical="top"/>
    </xf>
    <xf numFmtId="0" fontId="26" fillId="0" borderId="0">
      <alignment horizontal="righ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center" vertical="center"/>
    </xf>
    <xf numFmtId="167" fontId="26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7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167" fontId="48" fillId="0" borderId="0">
      <alignment horizontal="left" vertical="top"/>
    </xf>
    <xf numFmtId="0" fontId="52" fillId="0" borderId="0">
      <alignment horizontal="left" vertical="top"/>
    </xf>
    <xf numFmtId="0" fontId="50" fillId="0" borderId="0">
      <alignment horizontal="left" vertical="top"/>
    </xf>
    <xf numFmtId="0" fontId="47" fillId="0" borderId="0">
      <alignment horizontal="left" vertical="top"/>
    </xf>
    <xf numFmtId="0" fontId="50" fillId="0" borderId="0">
      <alignment horizontal="right" vertical="top"/>
    </xf>
    <xf numFmtId="167" fontId="50" fillId="0" borderId="0">
      <alignment horizontal="right" vertical="top"/>
    </xf>
    <xf numFmtId="0" fontId="58" fillId="0" borderId="0">
      <alignment horizontal="right" vertical="top"/>
    </xf>
    <xf numFmtId="0" fontId="56" fillId="0" borderId="0">
      <alignment horizontal="left" vertical="top"/>
    </xf>
    <xf numFmtId="0" fontId="50" fillId="0" borderId="0">
      <alignment horizontal="left" vertical="top"/>
    </xf>
    <xf numFmtId="0" fontId="26" fillId="0" borderId="0">
      <alignment horizontal="left" vertical="top"/>
    </xf>
    <xf numFmtId="167" fontId="50" fillId="0" borderId="0">
      <alignment horizontal="left" vertical="top"/>
    </xf>
    <xf numFmtId="0" fontId="58" fillId="0" borderId="0">
      <alignment horizontal="left" vertical="top"/>
    </xf>
    <xf numFmtId="0" fontId="26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59" fillId="0" borderId="0">
      <alignment horizontal="left" vertical="top"/>
    </xf>
    <xf numFmtId="0" fontId="6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center" vertical="top"/>
    </xf>
    <xf numFmtId="0" fontId="63" fillId="0" borderId="0">
      <alignment horizontal="left" vertical="top"/>
    </xf>
    <xf numFmtId="167" fontId="64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63" fillId="0" borderId="0">
      <alignment horizontal="center" vertical="top"/>
    </xf>
    <xf numFmtId="0" fontId="65" fillId="0" borderId="0">
      <alignment horizontal="left" vertical="top"/>
    </xf>
    <xf numFmtId="0" fontId="66" fillId="0" borderId="0">
      <alignment horizontal="center" vertical="top"/>
    </xf>
    <xf numFmtId="0" fontId="34" fillId="32" borderId="0">
      <alignment horizontal="left" vertical="top"/>
    </xf>
    <xf numFmtId="0" fontId="56" fillId="0" borderId="0">
      <alignment horizontal="left" vertical="top"/>
    </xf>
    <xf numFmtId="0" fontId="34" fillId="32" borderId="0">
      <alignment horizontal="left" vertical="top"/>
    </xf>
    <xf numFmtId="0" fontId="44" fillId="0" borderId="0">
      <alignment horizontal="center" vertical="top"/>
    </xf>
    <xf numFmtId="0" fontId="66" fillId="0" borderId="0">
      <alignment horizontal="center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44" fillId="0" borderId="0">
      <alignment horizontal="left" vertical="top"/>
    </xf>
    <xf numFmtId="167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right" vertical="top"/>
    </xf>
    <xf numFmtId="0" fontId="48" fillId="32" borderId="0">
      <alignment horizontal="left" vertical="top"/>
    </xf>
    <xf numFmtId="0" fontId="34" fillId="32" borderId="0">
      <alignment horizontal="left" vertical="top"/>
    </xf>
    <xf numFmtId="0" fontId="60" fillId="0" borderId="0">
      <alignment horizontal="center" vertical="top"/>
    </xf>
    <xf numFmtId="0" fontId="48" fillId="32" borderId="0">
      <alignment horizontal="left" vertical="top"/>
    </xf>
    <xf numFmtId="0" fontId="26" fillId="0" borderId="0">
      <alignment horizontal="right" vertical="top"/>
    </xf>
    <xf numFmtId="167" fontId="48" fillId="0" borderId="0">
      <alignment horizontal="left" vertical="top"/>
    </xf>
    <xf numFmtId="0" fontId="48" fillId="0" borderId="0">
      <alignment horizontal="left" vertical="top"/>
    </xf>
    <xf numFmtId="0" fontId="67" fillId="0" borderId="0">
      <alignment horizontal="center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3" fillId="0" borderId="0">
      <alignment horizontal="right" vertical="top"/>
    </xf>
    <xf numFmtId="0" fontId="1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center" vertical="center"/>
    </xf>
    <xf numFmtId="0" fontId="57" fillId="0" borderId="0">
      <alignment horizontal="left" vertical="center"/>
    </xf>
    <xf numFmtId="0" fontId="68" fillId="0" borderId="0">
      <alignment horizontal="center" vertical="top"/>
    </xf>
    <xf numFmtId="167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center"/>
    </xf>
    <xf numFmtId="0" fontId="57" fillId="0" borderId="0">
      <alignment horizontal="left" vertical="center"/>
    </xf>
    <xf numFmtId="0" fontId="69" fillId="0" borderId="0">
      <alignment horizontal="left" vertical="top"/>
    </xf>
    <xf numFmtId="167" fontId="48" fillId="0" borderId="0">
      <alignment horizontal="right" vertical="top"/>
    </xf>
    <xf numFmtId="0" fontId="70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2" fillId="0" borderId="0">
      <alignment horizontal="right" vertical="top"/>
    </xf>
    <xf numFmtId="0" fontId="57" fillId="0" borderId="0">
      <alignment horizontal="right" vertical="center"/>
    </xf>
    <xf numFmtId="0" fontId="51" fillId="0" borderId="0">
      <alignment horizontal="left" vertical="center"/>
    </xf>
    <xf numFmtId="0" fontId="57" fillId="0" borderId="0">
      <alignment horizontal="right" vertical="center"/>
    </xf>
    <xf numFmtId="0" fontId="57" fillId="0" borderId="0">
      <alignment horizontal="left" vertical="top"/>
    </xf>
    <xf numFmtId="0" fontId="51" fillId="0" borderId="0">
      <alignment horizontal="right" vertical="center"/>
    </xf>
    <xf numFmtId="167" fontId="48" fillId="0" borderId="0">
      <alignment horizontal="left" vertical="top"/>
    </xf>
    <xf numFmtId="0" fontId="57" fillId="0" borderId="0">
      <alignment horizontal="right" vertical="center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50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49" fillId="0" borderId="0">
      <alignment horizontal="left" vertical="top"/>
    </xf>
    <xf numFmtId="0" fontId="26" fillId="0" borderId="0">
      <alignment horizontal="left" vertical="top"/>
    </xf>
    <xf numFmtId="0" fontId="51" fillId="0" borderId="0">
      <alignment horizontal="center" vertical="center"/>
    </xf>
    <xf numFmtId="0" fontId="46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right" vertical="top"/>
    </xf>
    <xf numFmtId="167" fontId="26" fillId="0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left" vertical="top"/>
    </xf>
    <xf numFmtId="41" fontId="1" fillId="0" borderId="0" applyFont="0" applyFill="0" applyBorder="0" applyAlignment="0" applyProtection="0"/>
  </cellStyleXfs>
  <cellXfs count="173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0" fontId="11" fillId="19" borderId="1" xfId="2" applyNumberFormat="1" applyFont="1" applyFill="1" applyBorder="1" applyAlignment="1">
      <alignment horizontal="center" vertical="center"/>
    </xf>
    <xf numFmtId="10" fontId="12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41" fontId="15" fillId="19" borderId="1" xfId="0" applyNumberFormat="1" applyFont="1" applyFill="1" applyBorder="1" applyAlignment="1">
      <alignment horizontal="center" vertical="center"/>
    </xf>
    <xf numFmtId="41" fontId="14" fillId="23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41" fontId="14" fillId="11" borderId="1" xfId="0" applyNumberFormat="1" applyFont="1" applyFill="1" applyBorder="1" applyAlignment="1">
      <alignment horizontal="center" vertical="center"/>
    </xf>
    <xf numFmtId="41" fontId="14" fillId="10" borderId="1" xfId="0" applyNumberFormat="1" applyFont="1" applyFill="1" applyBorder="1" applyAlignment="1">
      <alignment horizontal="center" vertical="center"/>
    </xf>
    <xf numFmtId="41" fontId="14" fillId="25" borderId="1" xfId="0" applyNumberFormat="1" applyFont="1" applyFill="1" applyBorder="1" applyAlignment="1">
      <alignment horizontal="center" vertical="center" wrapText="1"/>
    </xf>
    <xf numFmtId="41" fontId="14" fillId="25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indent="1"/>
    </xf>
    <xf numFmtId="10" fontId="14" fillId="0" borderId="1" xfId="2" applyNumberFormat="1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vertical="center"/>
    </xf>
    <xf numFmtId="10" fontId="14" fillId="0" borderId="7" xfId="4" applyNumberFormat="1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vertical="center"/>
    </xf>
    <xf numFmtId="0" fontId="14" fillId="0" borderId="7" xfId="3" applyNumberFormat="1" applyFont="1" applyFill="1" applyBorder="1" applyAlignment="1">
      <alignment horizontal="center" vertical="center"/>
    </xf>
    <xf numFmtId="9" fontId="14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0" fillId="27" borderId="0" xfId="0" applyFill="1"/>
    <xf numFmtId="0" fontId="18" fillId="27" borderId="0" xfId="0" applyFont="1" applyFill="1"/>
    <xf numFmtId="0" fontId="19" fillId="27" borderId="0" xfId="0" applyFont="1" applyFill="1" applyAlignment="1">
      <alignment vertical="center"/>
    </xf>
    <xf numFmtId="0" fontId="19" fillId="27" borderId="0" xfId="0" applyFont="1" applyFill="1"/>
    <xf numFmtId="0" fontId="18" fillId="0" borderId="0" xfId="0" applyFont="1"/>
    <xf numFmtId="0" fontId="20" fillId="0" borderId="8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center" vertical="center" wrapText="1"/>
    </xf>
    <xf numFmtId="0" fontId="20" fillId="27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18" fillId="27" borderId="0" xfId="2" applyFont="1" applyFill="1" applyAlignment="1">
      <alignment horizontal="center" vertical="center"/>
    </xf>
    <xf numFmtId="0" fontId="22" fillId="27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0" fillId="28" borderId="8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vertical="center"/>
    </xf>
    <xf numFmtId="0" fontId="18" fillId="27" borderId="8" xfId="0" applyFont="1" applyFill="1" applyBorder="1" applyAlignment="1">
      <alignment horizontal="center" vertical="center"/>
    </xf>
    <xf numFmtId="0" fontId="21" fillId="27" borderId="0" xfId="0" applyFont="1" applyFill="1" applyBorder="1" applyAlignment="1">
      <alignment vertical="center"/>
    </xf>
    <xf numFmtId="0" fontId="20" fillId="0" borderId="8" xfId="0" applyFont="1" applyFill="1" applyBorder="1" applyAlignment="1">
      <alignment vertical="center"/>
    </xf>
    <xf numFmtId="0" fontId="0" fillId="29" borderId="0" xfId="0" applyFill="1"/>
    <xf numFmtId="0" fontId="28" fillId="3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22" fillId="27" borderId="8" xfId="1" applyNumberFormat="1" applyFont="1" applyFill="1" applyBorder="1" applyAlignment="1">
      <alignment horizontal="center" vertical="center"/>
    </xf>
    <xf numFmtId="164" fontId="29" fillId="0" borderId="10" xfId="1" applyNumberFormat="1" applyFont="1" applyFill="1" applyBorder="1" applyAlignment="1">
      <alignment horizontal="center" vertical="center"/>
    </xf>
    <xf numFmtId="164" fontId="30" fillId="0" borderId="10" xfId="1" applyNumberFormat="1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164" fontId="29" fillId="0" borderId="8" xfId="1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164" fontId="31" fillId="0" borderId="8" xfId="1" applyNumberFormat="1" applyFont="1" applyFill="1" applyBorder="1" applyAlignment="1">
      <alignment horizontal="center" vertical="center"/>
    </xf>
    <xf numFmtId="164" fontId="22" fillId="0" borderId="10" xfId="1" applyNumberFormat="1" applyFont="1" applyFill="1" applyBorder="1" applyAlignment="1">
      <alignment horizontal="center" vertical="center"/>
    </xf>
    <xf numFmtId="164" fontId="22" fillId="0" borderId="8" xfId="1" applyNumberFormat="1" applyFont="1" applyFill="1" applyBorder="1" applyAlignment="1">
      <alignment horizontal="center" vertical="center"/>
    </xf>
    <xf numFmtId="0" fontId="4" fillId="29" borderId="8" xfId="0" applyFont="1" applyFill="1" applyBorder="1"/>
    <xf numFmtId="0" fontId="32" fillId="29" borderId="8" xfId="0" applyFont="1" applyFill="1" applyBorder="1" applyAlignment="1">
      <alignment vertical="center"/>
    </xf>
    <xf numFmtId="164" fontId="32" fillId="29" borderId="8" xfId="1" applyNumberFormat="1" applyFont="1" applyFill="1" applyBorder="1" applyAlignment="1">
      <alignment horizontal="center" vertical="center"/>
    </xf>
    <xf numFmtId="0" fontId="13" fillId="29" borderId="8" xfId="0" applyFont="1" applyFill="1" applyBorder="1"/>
    <xf numFmtId="164" fontId="32" fillId="29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33" fillId="0" borderId="11" xfId="1" applyNumberFormat="1" applyFont="1" applyFill="1" applyBorder="1" applyAlignment="1">
      <alignment horizontal="center" vertical="center"/>
    </xf>
    <xf numFmtId="164" fontId="33" fillId="0" borderId="12" xfId="1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8" fillId="33" borderId="8" xfId="0" applyFont="1" applyFill="1" applyBorder="1" applyAlignment="1">
      <alignment horizontal="center"/>
    </xf>
    <xf numFmtId="10" fontId="28" fillId="9" borderId="8" xfId="4" applyNumberFormat="1" applyFont="1" applyFill="1" applyBorder="1" applyAlignment="1">
      <alignment horizontal="center"/>
    </xf>
    <xf numFmtId="10" fontId="71" fillId="33" borderId="8" xfId="4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11" fillId="19" borderId="1" xfId="2" applyNumberFormat="1" applyFont="1" applyFill="1" applyBorder="1" applyAlignment="1">
      <alignment horizontal="center" vertical="center"/>
    </xf>
    <xf numFmtId="10" fontId="14" fillId="19" borderId="1" xfId="2" applyNumberFormat="1" applyFont="1" applyFill="1" applyBorder="1" applyAlignment="1">
      <alignment horizontal="center" vertical="center"/>
    </xf>
    <xf numFmtId="0" fontId="72" fillId="8" borderId="8" xfId="0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9" fontId="14" fillId="0" borderId="7" xfId="1204" applyNumberFormat="1" applyFont="1" applyFill="1" applyBorder="1" applyAlignment="1">
      <alignment horizontal="center" vertical="center"/>
    </xf>
    <xf numFmtId="164" fontId="33" fillId="0" borderId="0" xfId="1" applyNumberFormat="1" applyFont="1" applyFill="1" applyBorder="1" applyAlignment="1">
      <alignment horizontal="center" vertical="center"/>
    </xf>
    <xf numFmtId="164" fontId="33" fillId="0" borderId="17" xfId="1" applyNumberFormat="1" applyFont="1" applyFill="1" applyBorder="1" applyAlignment="1">
      <alignment horizontal="center" vertical="center"/>
    </xf>
    <xf numFmtId="164" fontId="33" fillId="13" borderId="17" xfId="1" applyNumberFormat="1" applyFont="1" applyFill="1" applyBorder="1" applyAlignment="1">
      <alignment horizontal="center" vertical="center"/>
    </xf>
    <xf numFmtId="164" fontId="33" fillId="13" borderId="12" xfId="1" applyNumberFormat="1" applyFont="1" applyFill="1" applyBorder="1" applyAlignment="1">
      <alignment horizontal="center" vertical="center"/>
    </xf>
    <xf numFmtId="0" fontId="0" fillId="0" borderId="0" xfId="0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9" fontId="0" fillId="0" borderId="0" xfId="2" applyFont="1" applyFill="1" applyBorder="1" applyAlignment="1"/>
    <xf numFmtId="0" fontId="11" fillId="0" borderId="0" xfId="0" applyFont="1" applyFill="1" applyBorder="1" applyAlignment="1">
      <alignment horizontal="left" vertical="center" indent="1"/>
    </xf>
    <xf numFmtId="43" fontId="11" fillId="0" borderId="0" xfId="3" applyFont="1" applyFill="1" applyBorder="1" applyAlignment="1">
      <alignment vertical="center"/>
    </xf>
    <xf numFmtId="10" fontId="11" fillId="0" borderId="0" xfId="3" applyNumberFormat="1" applyFont="1" applyFill="1" applyBorder="1" applyAlignment="1">
      <alignment horizontal="center" vertical="center"/>
    </xf>
    <xf numFmtId="10" fontId="12" fillId="18" borderId="0" xfId="3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0" fontId="11" fillId="19" borderId="0" xfId="2" applyNumberFormat="1" applyFont="1" applyFill="1" applyBorder="1" applyAlignment="1">
      <alignment horizontal="center" vertical="center"/>
    </xf>
    <xf numFmtId="10" fontId="12" fillId="18" borderId="0" xfId="2" applyNumberFormat="1" applyFont="1" applyFill="1" applyBorder="1" applyAlignment="1">
      <alignment horizontal="center" vertical="center"/>
    </xf>
    <xf numFmtId="0" fontId="11" fillId="12" borderId="0" xfId="2" applyNumberFormat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vertical="center"/>
    </xf>
    <xf numFmtId="0" fontId="11" fillId="0" borderId="0" xfId="2" applyNumberFormat="1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left" vertical="center" indent="1"/>
    </xf>
    <xf numFmtId="43" fontId="11" fillId="0" borderId="18" xfId="3" applyFont="1" applyFill="1" applyBorder="1" applyAlignment="1">
      <alignment vertical="center"/>
    </xf>
    <xf numFmtId="10" fontId="11" fillId="0" borderId="18" xfId="3" applyNumberFormat="1" applyFont="1" applyFill="1" applyBorder="1" applyAlignment="1">
      <alignment horizontal="center" vertical="center"/>
    </xf>
    <xf numFmtId="10" fontId="11" fillId="34" borderId="18" xfId="3" applyNumberFormat="1" applyFont="1" applyFill="1" applyBorder="1" applyAlignment="1">
      <alignment horizontal="center" vertical="center"/>
    </xf>
    <xf numFmtId="10" fontId="11" fillId="0" borderId="18" xfId="2" applyNumberFormat="1" applyFont="1" applyFill="1" applyBorder="1" applyAlignment="1">
      <alignment horizontal="center" vertical="center"/>
    </xf>
    <xf numFmtId="10" fontId="11" fillId="34" borderId="18" xfId="2" applyNumberFormat="1" applyFont="1" applyFill="1" applyBorder="1" applyAlignment="1">
      <alignment horizontal="center" vertical="center"/>
    </xf>
    <xf numFmtId="10" fontId="73" fillId="35" borderId="18" xfId="2" applyNumberFormat="1" applyFont="1" applyFill="1" applyBorder="1" applyAlignment="1">
      <alignment horizontal="center" vertical="center"/>
    </xf>
    <xf numFmtId="0" fontId="11" fillId="36" borderId="18" xfId="2" applyNumberFormat="1" applyFont="1" applyFill="1" applyBorder="1" applyAlignment="1">
      <alignment horizontal="center" vertical="center"/>
    </xf>
    <xf numFmtId="43" fontId="11" fillId="0" borderId="18" xfId="1" applyFont="1" applyFill="1" applyBorder="1" applyAlignment="1">
      <alignment vertical="center"/>
    </xf>
    <xf numFmtId="0" fontId="11" fillId="0" borderId="18" xfId="2" applyNumberFormat="1" applyFont="1" applyFill="1" applyBorder="1" applyAlignment="1">
      <alignment horizontal="center" vertical="center"/>
    </xf>
    <xf numFmtId="0" fontId="74" fillId="0" borderId="8" xfId="0" applyFont="1" applyFill="1" applyBorder="1"/>
    <xf numFmtId="0" fontId="74" fillId="0" borderId="8" xfId="0" applyFont="1" applyFill="1" applyBorder="1" applyAlignment="1">
      <alignment horizontal="center" vertical="center"/>
    </xf>
    <xf numFmtId="0" fontId="74" fillId="0" borderId="8" xfId="0" applyFont="1" applyFill="1" applyBorder="1" applyAlignment="1">
      <alignment horizontal="center"/>
    </xf>
    <xf numFmtId="0" fontId="75" fillId="0" borderId="8" xfId="0" applyFont="1" applyFill="1" applyBorder="1" applyAlignment="1">
      <alignment horizontal="center" vertical="center"/>
    </xf>
    <xf numFmtId="0" fontId="76" fillId="37" borderId="8" xfId="0" applyFont="1" applyFill="1" applyBorder="1" applyAlignment="1">
      <alignment horizontal="center"/>
    </xf>
    <xf numFmtId="10" fontId="76" fillId="38" borderId="8" xfId="4" applyNumberFormat="1" applyFont="1" applyFill="1" applyBorder="1" applyAlignment="1">
      <alignment horizontal="center"/>
    </xf>
    <xf numFmtId="0" fontId="7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14" fillId="22" borderId="4" xfId="0" applyNumberFormat="1" applyFont="1" applyFill="1" applyBorder="1" applyAlignment="1">
      <alignment horizontal="center" vertical="center"/>
    </xf>
    <xf numFmtId="41" fontId="14" fillId="2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41" fontId="14" fillId="19" borderId="4" xfId="0" applyNumberFormat="1" applyFont="1" applyFill="1" applyBorder="1" applyAlignment="1">
      <alignment horizontal="center" vertical="center"/>
    </xf>
    <xf numFmtId="41" fontId="14" fillId="19" borderId="5" xfId="0" applyNumberFormat="1" applyFont="1" applyFill="1" applyBorder="1" applyAlignment="1">
      <alignment horizontal="center" vertical="center"/>
    </xf>
    <xf numFmtId="41" fontId="14" fillId="19" borderId="6" xfId="0" applyNumberFormat="1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41" fontId="14" fillId="21" borderId="4" xfId="0" applyNumberFormat="1" applyFont="1" applyFill="1" applyBorder="1" applyAlignment="1">
      <alignment horizontal="center" vertical="center"/>
    </xf>
    <xf numFmtId="41" fontId="14" fillId="21" borderId="5" xfId="0" applyNumberFormat="1" applyFont="1" applyFill="1" applyBorder="1" applyAlignment="1">
      <alignment horizontal="center" vertical="center"/>
    </xf>
    <xf numFmtId="41" fontId="14" fillId="21" borderId="6" xfId="0" applyNumberFormat="1" applyFont="1" applyFill="1" applyBorder="1" applyAlignment="1">
      <alignment horizontal="center" vertical="center"/>
    </xf>
    <xf numFmtId="41" fontId="14" fillId="4" borderId="4" xfId="0" applyNumberFormat="1" applyFont="1" applyFill="1" applyBorder="1" applyAlignment="1">
      <alignment horizontal="center" vertical="center"/>
    </xf>
    <xf numFmtId="41" fontId="14" fillId="4" borderId="5" xfId="0" applyNumberFormat="1" applyFont="1" applyFill="1" applyBorder="1" applyAlignment="1">
      <alignment horizontal="center" vertical="center"/>
    </xf>
    <xf numFmtId="41" fontId="14" fillId="4" borderId="6" xfId="0" applyNumberFormat="1" applyFont="1" applyFill="1" applyBorder="1" applyAlignment="1">
      <alignment horizontal="center" vertical="center"/>
    </xf>
    <xf numFmtId="0" fontId="16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27" fillId="29" borderId="9" xfId="0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0" fontId="22" fillId="0" borderId="8" xfId="0" applyFont="1" applyFill="1" applyBorder="1" applyAlignment="1">
      <alignment horizontal="left" vertical="center"/>
    </xf>
    <xf numFmtId="0" fontId="22" fillId="27" borderId="8" xfId="0" applyFont="1" applyFill="1" applyBorder="1" applyAlignment="1">
      <alignment horizontal="left" vertical="center"/>
    </xf>
    <xf numFmtId="0" fontId="77" fillId="0" borderId="0" xfId="0" applyFont="1"/>
  </cellXfs>
  <cellStyles count="1205">
    <cellStyle name="Comma" xfId="1" builtinId="3"/>
    <cellStyle name="Comma [0]" xfId="1204" builtinId="6"/>
    <cellStyle name="Comma [0] 2" xfId="9"/>
    <cellStyle name="Comma [0] 2 2" xfId="10"/>
    <cellStyle name="Comma [0] 2 2 2" xfId="11"/>
    <cellStyle name="Comma [0] 2 3" xfId="12"/>
    <cellStyle name="Comma [0] 2 4" xfId="13"/>
    <cellStyle name="Comma [0] 3" xfId="14"/>
    <cellStyle name="Comma [0] 3 2" xfId="15"/>
    <cellStyle name="Comma [0] 3 3" xfId="16"/>
    <cellStyle name="Comma [0] 3 4" xfId="17"/>
    <cellStyle name="Comma [0] 4" xfId="18"/>
    <cellStyle name="Comma [0] 4 2" xfId="19"/>
    <cellStyle name="Comma [0] 5" xfId="20"/>
    <cellStyle name="Comma [0] 5 2" xfId="21"/>
    <cellStyle name="Comma [0] 6" xfId="22"/>
    <cellStyle name="Comma [0] 7" xfId="23"/>
    <cellStyle name="Comma [0] 8" xfId="24"/>
    <cellStyle name="Comma [0] 9" xfId="25"/>
    <cellStyle name="Comma 10" xfId="26"/>
    <cellStyle name="Comma 10 2" xfId="3"/>
    <cellStyle name="Comma 10 3" xfId="27"/>
    <cellStyle name="Comma 104" xfId="5"/>
    <cellStyle name="Comma 11" xfId="28"/>
    <cellStyle name="Comma 11 2" xfId="29"/>
    <cellStyle name="Comma 11 3" xfId="30"/>
    <cellStyle name="Comma 11 4" xfId="31"/>
    <cellStyle name="Comma 12" xfId="32"/>
    <cellStyle name="Comma 12 2" xfId="33"/>
    <cellStyle name="Comma 12 3" xfId="34"/>
    <cellStyle name="Comma 13" xfId="35"/>
    <cellStyle name="Comma 13 2" xfId="36"/>
    <cellStyle name="Comma 13 3" xfId="37"/>
    <cellStyle name="Comma 14" xfId="38"/>
    <cellStyle name="Comma 14 2" xfId="39"/>
    <cellStyle name="Comma 14 3" xfId="40"/>
    <cellStyle name="Comma 15" xfId="41"/>
    <cellStyle name="Comma 16" xfId="42"/>
    <cellStyle name="Comma 17" xfId="43"/>
    <cellStyle name="Comma 18" xfId="44"/>
    <cellStyle name="Comma 19" xfId="45"/>
    <cellStyle name="Comma 2" xfId="46"/>
    <cellStyle name="Comma 2 10" xfId="47"/>
    <cellStyle name="Comma 2 2" xfId="48"/>
    <cellStyle name="Comma 2 3" xfId="49"/>
    <cellStyle name="Comma 2 4" xfId="50"/>
    <cellStyle name="Comma 20" xfId="51"/>
    <cellStyle name="Comma 20 2" xfId="52"/>
    <cellStyle name="Comma 21" xfId="53"/>
    <cellStyle name="Comma 21 2" xfId="54"/>
    <cellStyle name="Comma 22" xfId="55"/>
    <cellStyle name="Comma 23" xfId="56"/>
    <cellStyle name="Comma 24" xfId="57"/>
    <cellStyle name="Comma 24 2" xfId="6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7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8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68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29637</xdr:colOff>
      <xdr:row>2</xdr:row>
      <xdr:rowOff>19051</xdr:rowOff>
    </xdr:from>
    <xdr:to>
      <xdr:col>0</xdr:col>
      <xdr:colOff>357721</xdr:colOff>
      <xdr:row>2</xdr:row>
      <xdr:rowOff>304801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/>
      </xdr:nvSpPr>
      <xdr:spPr>
        <a:xfrm>
          <a:off x="86787" y="3800476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  <xdr:twoCellAnchor>
    <xdr:from>
      <xdr:col>0</xdr:col>
      <xdr:colOff>0</xdr:colOff>
      <xdr:row>11</xdr:row>
      <xdr:rowOff>19050</xdr:rowOff>
    </xdr:from>
    <xdr:to>
      <xdr:col>0</xdr:col>
      <xdr:colOff>328084</xdr:colOff>
      <xdr:row>12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/>
      </xdr:nvSpPr>
      <xdr:spPr>
        <a:xfrm>
          <a:off x="171450" y="41910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%20Bulanan/2.%20Target%20Februa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IYA/Target%20Bulanan/5.%20Target%20M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 refreshError="1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Benih Citra Asia, PT</v>
          </cell>
          <cell r="I13">
            <v>1920000</v>
          </cell>
          <cell r="L13">
            <v>0</v>
          </cell>
          <cell r="M13">
            <v>1920000</v>
          </cell>
        </row>
        <row r="14">
          <cell r="E14" t="str">
            <v>Benih Citra Asia, PT</v>
          </cell>
          <cell r="I14">
            <v>21000</v>
          </cell>
          <cell r="L14">
            <v>0</v>
          </cell>
          <cell r="M14">
            <v>21000</v>
          </cell>
        </row>
        <row r="15">
          <cell r="E15" t="str">
            <v>Han Cin</v>
          </cell>
          <cell r="I15">
            <v>8452500</v>
          </cell>
          <cell r="L15">
            <v>0</v>
          </cell>
          <cell r="M15">
            <v>8452500</v>
          </cell>
        </row>
        <row r="16">
          <cell r="E16" t="str">
            <v>Han Cin</v>
          </cell>
          <cell r="I16">
            <v>20845000</v>
          </cell>
          <cell r="L16">
            <v>0</v>
          </cell>
          <cell r="M16">
            <v>20845000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E31" t="str">
            <v>Kalatham, PT</v>
          </cell>
          <cell r="I31">
            <v>121297750</v>
          </cell>
          <cell r="L31">
            <v>0</v>
          </cell>
          <cell r="M31">
            <v>121297750</v>
          </cell>
        </row>
        <row r="32">
          <cell r="E32" t="str">
            <v>Kalatham, PT</v>
          </cell>
          <cell r="I32">
            <v>35564000</v>
          </cell>
          <cell r="L32">
            <v>0</v>
          </cell>
          <cell r="M32">
            <v>35564000</v>
          </cell>
        </row>
        <row r="33">
          <cell r="E33" t="str">
            <v>Nugroho Idi Sasetyo</v>
          </cell>
          <cell r="I33">
            <v>19755000</v>
          </cell>
          <cell r="L33">
            <v>0</v>
          </cell>
          <cell r="M33">
            <v>19755000</v>
          </cell>
        </row>
        <row r="34">
          <cell r="E34" t="str">
            <v>Nugroho Idi Sasetyo</v>
          </cell>
          <cell r="I34">
            <v>22350000</v>
          </cell>
          <cell r="L34">
            <v>0</v>
          </cell>
          <cell r="M34">
            <v>22350000</v>
          </cell>
        </row>
        <row r="35">
          <cell r="E35" t="str">
            <v>Nugroho Susilo/MSI</v>
          </cell>
          <cell r="I35">
            <v>15089000</v>
          </cell>
          <cell r="L35">
            <v>0</v>
          </cell>
          <cell r="M35">
            <v>15089000</v>
          </cell>
        </row>
        <row r="36">
          <cell r="E36" t="str">
            <v>Sumber Makmur/Agus Winoto</v>
          </cell>
          <cell r="I36">
            <v>5583000</v>
          </cell>
          <cell r="L36">
            <v>0</v>
          </cell>
          <cell r="M36">
            <v>5583000</v>
          </cell>
        </row>
        <row r="37">
          <cell r="E37" t="str">
            <v>Al Badar/Badar, H</v>
          </cell>
          <cell r="I37">
            <v>1680000</v>
          </cell>
          <cell r="L37">
            <v>0</v>
          </cell>
          <cell r="M37">
            <v>1680000</v>
          </cell>
        </row>
        <row r="38">
          <cell r="E38" t="str">
            <v>Al Badar/Badar, H</v>
          </cell>
          <cell r="I38">
            <v>540000</v>
          </cell>
          <cell r="L38">
            <v>0</v>
          </cell>
          <cell r="M38">
            <v>540000</v>
          </cell>
        </row>
        <row r="39">
          <cell r="E39" t="str">
            <v>Al Badar/Badar, H</v>
          </cell>
          <cell r="I39">
            <v>5260000</v>
          </cell>
          <cell r="L39">
            <v>0</v>
          </cell>
          <cell r="M39">
            <v>5260000</v>
          </cell>
        </row>
        <row r="40">
          <cell r="E40" t="str">
            <v>Aris/Tanindo</v>
          </cell>
          <cell r="I40">
            <v>18000000</v>
          </cell>
          <cell r="L40">
            <v>0</v>
          </cell>
          <cell r="M40">
            <v>18000000</v>
          </cell>
        </row>
        <row r="41">
          <cell r="E41" t="str">
            <v>Bima Tani Jaya/Kevin Pratama</v>
          </cell>
          <cell r="I41">
            <v>3800000</v>
          </cell>
          <cell r="L41">
            <v>0</v>
          </cell>
          <cell r="M41">
            <v>3800000</v>
          </cell>
        </row>
        <row r="42">
          <cell r="E42" t="str">
            <v>Bima Tani Jaya/Kevin Pratama</v>
          </cell>
          <cell r="I42">
            <v>9000000</v>
          </cell>
          <cell r="L42">
            <v>9000000</v>
          </cell>
          <cell r="M42">
            <v>0</v>
          </cell>
        </row>
        <row r="43">
          <cell r="E43" t="str">
            <v>Bima Tani Jaya/Kevin Pratama</v>
          </cell>
          <cell r="I43">
            <v>1950000</v>
          </cell>
          <cell r="L43">
            <v>0</v>
          </cell>
          <cell r="M43">
            <v>1950000</v>
          </cell>
        </row>
        <row r="44">
          <cell r="E44" t="str">
            <v>Bima Tani Jaya/Kevin Pratama</v>
          </cell>
          <cell r="I44">
            <v>10060000</v>
          </cell>
          <cell r="L44">
            <v>0</v>
          </cell>
          <cell r="M44">
            <v>10060000</v>
          </cell>
        </row>
        <row r="45">
          <cell r="E45" t="str">
            <v>Bima Tani Jaya/Kevin Pratama</v>
          </cell>
          <cell r="I45">
            <v>1365000</v>
          </cell>
          <cell r="L45">
            <v>0</v>
          </cell>
          <cell r="M45">
            <v>1365000</v>
          </cell>
        </row>
        <row r="46">
          <cell r="E46" t="str">
            <v>Bima Tani Jaya/Kevin Pratama</v>
          </cell>
          <cell r="I46">
            <v>6800000</v>
          </cell>
          <cell r="L46">
            <v>0</v>
          </cell>
          <cell r="M46">
            <v>6800000</v>
          </cell>
        </row>
        <row r="47">
          <cell r="E47" t="str">
            <v>Bima Tani Jaya/Kevin Pratama</v>
          </cell>
          <cell r="I47">
            <v>3780000</v>
          </cell>
          <cell r="L47">
            <v>0</v>
          </cell>
          <cell r="M47">
            <v>3780000</v>
          </cell>
        </row>
        <row r="48">
          <cell r="E48" t="str">
            <v>Bima Tani Jaya/Kevin Pratama</v>
          </cell>
          <cell r="I48">
            <v>3400000</v>
          </cell>
          <cell r="L48">
            <v>0</v>
          </cell>
          <cell r="M48">
            <v>3400000</v>
          </cell>
        </row>
        <row r="49">
          <cell r="E49" t="str">
            <v>Bima Tani Jaya/Kevin Pratama</v>
          </cell>
          <cell r="I49">
            <v>9500000</v>
          </cell>
          <cell r="L49">
            <v>0</v>
          </cell>
          <cell r="M49">
            <v>9500000</v>
          </cell>
        </row>
        <row r="50">
          <cell r="E50" t="str">
            <v>Bima Tani Jaya/Kevin Pratama</v>
          </cell>
          <cell r="I50">
            <v>225000</v>
          </cell>
          <cell r="L50">
            <v>0</v>
          </cell>
          <cell r="M50">
            <v>225000</v>
          </cell>
        </row>
        <row r="51">
          <cell r="E51" t="str">
            <v>Bima Tani Jaya/Kevin Pratama</v>
          </cell>
          <cell r="I51">
            <v>5700000</v>
          </cell>
          <cell r="L51">
            <v>0</v>
          </cell>
          <cell r="M51">
            <v>5700000</v>
          </cell>
        </row>
        <row r="52">
          <cell r="E52" t="str">
            <v>Bima Tani Jaya/Kevin Pratama</v>
          </cell>
          <cell r="I52">
            <v>9000000</v>
          </cell>
          <cell r="L52">
            <v>0</v>
          </cell>
          <cell r="M52">
            <v>9000000</v>
          </cell>
        </row>
        <row r="53">
          <cell r="E53" t="str">
            <v>Bima Tani Jaya/Kevin Pratama</v>
          </cell>
          <cell r="I53">
            <v>3800000</v>
          </cell>
          <cell r="L53">
            <v>0</v>
          </cell>
          <cell r="M53">
            <v>3800000</v>
          </cell>
        </row>
        <row r="54">
          <cell r="E54" t="str">
            <v>Bima Tani Jaya/Kevin Pratama</v>
          </cell>
          <cell r="I54">
            <v>2000000</v>
          </cell>
          <cell r="L54">
            <v>0</v>
          </cell>
          <cell r="M54">
            <v>2000000</v>
          </cell>
        </row>
        <row r="55">
          <cell r="E55" t="str">
            <v>Bima Tani Jaya/Kevin Pratama</v>
          </cell>
          <cell r="I55">
            <v>5100000</v>
          </cell>
          <cell r="L55">
            <v>0</v>
          </cell>
          <cell r="M55">
            <v>5100000</v>
          </cell>
        </row>
        <row r="56">
          <cell r="E56" t="str">
            <v>Bima Tani Jaya/Kevin Pratama</v>
          </cell>
          <cell r="I56">
            <v>11400000</v>
          </cell>
          <cell r="L56">
            <v>0</v>
          </cell>
          <cell r="M56">
            <v>11400000</v>
          </cell>
        </row>
        <row r="57">
          <cell r="E57" t="str">
            <v>Bima Tani Jaya/Kevin Pratama</v>
          </cell>
          <cell r="I57">
            <v>1150000</v>
          </cell>
          <cell r="L57">
            <v>0</v>
          </cell>
          <cell r="M57">
            <v>1150000</v>
          </cell>
        </row>
        <row r="58">
          <cell r="E58" t="str">
            <v>Bima Tani Jaya/Kevin Pratama</v>
          </cell>
          <cell r="I58">
            <v>9500000</v>
          </cell>
          <cell r="L58">
            <v>0</v>
          </cell>
          <cell r="M58">
            <v>9500000</v>
          </cell>
        </row>
        <row r="59">
          <cell r="E59" t="str">
            <v>Bima Tani Jaya/Kevin Pratama</v>
          </cell>
          <cell r="I59">
            <v>3400000</v>
          </cell>
          <cell r="L59">
            <v>0</v>
          </cell>
          <cell r="M59">
            <v>3400000</v>
          </cell>
        </row>
        <row r="60">
          <cell r="E60" t="str">
            <v>Bima Tani Jaya/Kevin Pratama</v>
          </cell>
          <cell r="I60">
            <v>1700000</v>
          </cell>
          <cell r="L60">
            <v>0</v>
          </cell>
          <cell r="M60">
            <v>1700000</v>
          </cell>
        </row>
        <row r="61">
          <cell r="E61" t="str">
            <v>Bumi Jaya, UD/Farida</v>
          </cell>
          <cell r="I61">
            <v>7031250</v>
          </cell>
          <cell r="L61">
            <v>0</v>
          </cell>
          <cell r="M61">
            <v>7031250</v>
          </cell>
        </row>
        <row r="62">
          <cell r="E62" t="str">
            <v>Cahaya Tani/Rudi</v>
          </cell>
          <cell r="I62">
            <v>1340000</v>
          </cell>
          <cell r="L62">
            <v>0</v>
          </cell>
          <cell r="M62">
            <v>1340000</v>
          </cell>
        </row>
        <row r="63">
          <cell r="E63" t="str">
            <v>Cahaya Tani/Rudi</v>
          </cell>
          <cell r="I63">
            <v>2300000</v>
          </cell>
          <cell r="L63">
            <v>0</v>
          </cell>
          <cell r="M63">
            <v>2300000</v>
          </cell>
        </row>
        <row r="64">
          <cell r="E64" t="str">
            <v>Damar Batur Nusantara</v>
          </cell>
          <cell r="I64">
            <v>46669500</v>
          </cell>
          <cell r="L64">
            <v>3500000</v>
          </cell>
          <cell r="M64">
            <v>43169500</v>
          </cell>
        </row>
        <row r="65">
          <cell r="E65" t="str">
            <v>Damar Batur Nusantara</v>
          </cell>
          <cell r="I65">
            <v>126000000</v>
          </cell>
          <cell r="L65">
            <v>0</v>
          </cell>
          <cell r="M65">
            <v>126000000</v>
          </cell>
        </row>
        <row r="66">
          <cell r="E66" t="str">
            <v>Damar Batur Nusantara</v>
          </cell>
          <cell r="I66">
            <v>2070000</v>
          </cell>
          <cell r="L66">
            <v>0</v>
          </cell>
          <cell r="M66">
            <v>2070000</v>
          </cell>
        </row>
        <row r="67">
          <cell r="E67" t="str">
            <v>Damar Batur Nusantara</v>
          </cell>
          <cell r="I67">
            <v>45000000</v>
          </cell>
          <cell r="L67">
            <v>0</v>
          </cell>
          <cell r="M67">
            <v>45000000</v>
          </cell>
        </row>
        <row r="68">
          <cell r="E68" t="str">
            <v>Damar Batur Nusantara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Damar Batur Nusantara</v>
          </cell>
          <cell r="I69">
            <v>55500000</v>
          </cell>
          <cell r="L69">
            <v>0</v>
          </cell>
          <cell r="M69">
            <v>55500000</v>
          </cell>
        </row>
        <row r="70">
          <cell r="E70" t="str">
            <v>Damar Batur Nusantara</v>
          </cell>
          <cell r="I70">
            <v>76125000</v>
          </cell>
          <cell r="L70">
            <v>0</v>
          </cell>
          <cell r="M70">
            <v>76125000</v>
          </cell>
        </row>
        <row r="71">
          <cell r="E71" t="str">
            <v>Damar Batur Nusantara</v>
          </cell>
          <cell r="I71">
            <v>82605000</v>
          </cell>
          <cell r="L71">
            <v>0</v>
          </cell>
          <cell r="M71">
            <v>82605000</v>
          </cell>
        </row>
        <row r="72">
          <cell r="E72" t="str">
            <v>Damar Batur Nusantara</v>
          </cell>
          <cell r="I72">
            <v>49100000</v>
          </cell>
          <cell r="L72">
            <v>0</v>
          </cell>
          <cell r="M72">
            <v>49100000</v>
          </cell>
        </row>
        <row r="73">
          <cell r="E73" t="str">
            <v>Damar Batur Nusantara</v>
          </cell>
          <cell r="I73">
            <v>13300000</v>
          </cell>
          <cell r="L73">
            <v>0</v>
          </cell>
          <cell r="M73">
            <v>13300000</v>
          </cell>
        </row>
        <row r="74">
          <cell r="E74" t="str">
            <v>Damar Batur Nusantara</v>
          </cell>
          <cell r="I74">
            <v>15200000</v>
          </cell>
          <cell r="L74">
            <v>0</v>
          </cell>
          <cell r="M74">
            <v>15200000</v>
          </cell>
        </row>
        <row r="75">
          <cell r="E75" t="str">
            <v>Damar Batur Nusantara</v>
          </cell>
          <cell r="I75">
            <v>2700000</v>
          </cell>
          <cell r="L75">
            <v>0</v>
          </cell>
          <cell r="M75">
            <v>2700000</v>
          </cell>
        </row>
        <row r="76">
          <cell r="E76" t="str">
            <v>Damar Batur Nusantara</v>
          </cell>
          <cell r="I76">
            <v>5312500</v>
          </cell>
          <cell r="L76">
            <v>0</v>
          </cell>
          <cell r="M76">
            <v>5312500</v>
          </cell>
        </row>
        <row r="77">
          <cell r="E77" t="str">
            <v>Damar Batur Nusantara</v>
          </cell>
          <cell r="I77">
            <v>2880000</v>
          </cell>
          <cell r="L77">
            <v>0</v>
          </cell>
          <cell r="M77">
            <v>2880000</v>
          </cell>
        </row>
        <row r="78">
          <cell r="E78" t="str">
            <v>Damar Batur Nusantara</v>
          </cell>
          <cell r="I78">
            <v>13875000</v>
          </cell>
          <cell r="L78">
            <v>0</v>
          </cell>
          <cell r="M78">
            <v>13875000</v>
          </cell>
        </row>
        <row r="79">
          <cell r="E79" t="str">
            <v>Danu/Bayer</v>
          </cell>
          <cell r="I79">
            <v>1744750</v>
          </cell>
          <cell r="L79">
            <v>0</v>
          </cell>
          <cell r="M79">
            <v>1744750</v>
          </cell>
        </row>
        <row r="80">
          <cell r="E80" t="str">
            <v>Luhur Tani/M. Itqon</v>
          </cell>
          <cell r="I80">
            <v>5750000</v>
          </cell>
          <cell r="L80">
            <v>2500000</v>
          </cell>
          <cell r="M80">
            <v>3250000</v>
          </cell>
        </row>
        <row r="81">
          <cell r="E81" t="str">
            <v>Putra Tani/Muzaiyin</v>
          </cell>
          <cell r="I81">
            <v>960000</v>
          </cell>
          <cell r="L81">
            <v>0</v>
          </cell>
          <cell r="M81">
            <v>960000</v>
          </cell>
        </row>
        <row r="82">
          <cell r="E82" t="str">
            <v>Riski Tani/Hadi</v>
          </cell>
          <cell r="I82">
            <v>24100000</v>
          </cell>
          <cell r="L82">
            <v>0</v>
          </cell>
          <cell r="M82">
            <v>24100000</v>
          </cell>
        </row>
        <row r="83">
          <cell r="E83" t="str">
            <v>Al Badar/Badar, H</v>
          </cell>
          <cell r="I83">
            <v>1800000</v>
          </cell>
          <cell r="L83">
            <v>0</v>
          </cell>
          <cell r="M83">
            <v>1800000</v>
          </cell>
        </row>
        <row r="84">
          <cell r="E84" t="str">
            <v>Al Badar/Badar, H</v>
          </cell>
          <cell r="I84">
            <v>13416000</v>
          </cell>
          <cell r="L84">
            <v>0</v>
          </cell>
          <cell r="M84">
            <v>13416000</v>
          </cell>
        </row>
        <row r="85">
          <cell r="E85" t="str">
            <v>Al Badar/Badar, H</v>
          </cell>
          <cell r="I85">
            <v>2835000</v>
          </cell>
          <cell r="L85">
            <v>0</v>
          </cell>
          <cell r="M85">
            <v>2835000</v>
          </cell>
        </row>
        <row r="86">
          <cell r="E86" t="str">
            <v>Al Badar/Badar, H</v>
          </cell>
          <cell r="I86">
            <v>5540000</v>
          </cell>
          <cell r="L86">
            <v>0</v>
          </cell>
          <cell r="M86">
            <v>5540000</v>
          </cell>
        </row>
        <row r="87">
          <cell r="E87" t="str">
            <v>Al Badar/Badar, H</v>
          </cell>
          <cell r="I87">
            <v>8341000</v>
          </cell>
          <cell r="L87">
            <v>0</v>
          </cell>
          <cell r="M87">
            <v>8341000</v>
          </cell>
        </row>
        <row r="88">
          <cell r="E88" t="str">
            <v>Al Badar/Badar, H</v>
          </cell>
          <cell r="I88">
            <v>1720000</v>
          </cell>
          <cell r="L88">
            <v>0</v>
          </cell>
          <cell r="M88">
            <v>1720000</v>
          </cell>
        </row>
        <row r="89">
          <cell r="E89" t="str">
            <v>Al Badar/Badar, H</v>
          </cell>
          <cell r="I89">
            <v>1750000</v>
          </cell>
          <cell r="L89">
            <v>0</v>
          </cell>
          <cell r="M89">
            <v>1750000</v>
          </cell>
        </row>
        <row r="90">
          <cell r="E90" t="str">
            <v>Al Badar/Badar, H</v>
          </cell>
          <cell r="I90">
            <v>1800000</v>
          </cell>
          <cell r="L90">
            <v>0</v>
          </cell>
          <cell r="M90">
            <v>1800000</v>
          </cell>
        </row>
        <row r="91">
          <cell r="E91" t="str">
            <v>Al Badar/Badar, H</v>
          </cell>
          <cell r="I91">
            <v>1500000</v>
          </cell>
          <cell r="L91">
            <v>0</v>
          </cell>
          <cell r="M91">
            <v>1500000</v>
          </cell>
        </row>
        <row r="92">
          <cell r="E92" t="str">
            <v>Al Badar/Badar, H</v>
          </cell>
          <cell r="I92">
            <v>3360000</v>
          </cell>
          <cell r="L92">
            <v>0</v>
          </cell>
          <cell r="M92">
            <v>3360000</v>
          </cell>
        </row>
        <row r="93">
          <cell r="E93" t="str">
            <v>Al Badar/Badar, H</v>
          </cell>
          <cell r="I93">
            <v>4240000</v>
          </cell>
          <cell r="L93">
            <v>4240000</v>
          </cell>
          <cell r="M93">
            <v>0</v>
          </cell>
        </row>
        <row r="94">
          <cell r="E94" t="str">
            <v>Aminah Jaya Tani/Slamet</v>
          </cell>
          <cell r="I94">
            <v>1000000</v>
          </cell>
          <cell r="L94">
            <v>0</v>
          </cell>
          <cell r="M94">
            <v>1000000</v>
          </cell>
        </row>
        <row r="95">
          <cell r="E95" t="str">
            <v>Anggoro Makmur/Yayuk</v>
          </cell>
          <cell r="I95">
            <v>1480000</v>
          </cell>
          <cell r="L95">
            <v>1480000</v>
          </cell>
          <cell r="M95">
            <v>0</v>
          </cell>
        </row>
        <row r="96">
          <cell r="E96" t="str">
            <v>Bang Jali/Achmad Gozali</v>
          </cell>
          <cell r="I96">
            <v>5000000</v>
          </cell>
          <cell r="L96">
            <v>5000000</v>
          </cell>
          <cell r="M96">
            <v>0</v>
          </cell>
        </row>
        <row r="97">
          <cell r="E97" t="str">
            <v>Bang Jali/Achmad Gozali</v>
          </cell>
          <cell r="I97">
            <v>1926000</v>
          </cell>
          <cell r="L97">
            <v>0</v>
          </cell>
          <cell r="M97">
            <v>1926000</v>
          </cell>
        </row>
        <row r="98">
          <cell r="E98" t="str">
            <v>Bang Jali/Achmad Gozali</v>
          </cell>
          <cell r="I98">
            <v>5500000</v>
          </cell>
          <cell r="L98">
            <v>0</v>
          </cell>
          <cell r="M98">
            <v>5500000</v>
          </cell>
        </row>
        <row r="99">
          <cell r="E99" t="str">
            <v>Bang Jali/Achmad Gozali</v>
          </cell>
          <cell r="I99">
            <v>3720000</v>
          </cell>
          <cell r="L99">
            <v>0</v>
          </cell>
          <cell r="M99">
            <v>3720000</v>
          </cell>
        </row>
        <row r="100">
          <cell r="E100" t="str">
            <v>Bang Jali/Achmad Gozali</v>
          </cell>
          <cell r="I100">
            <v>25400000</v>
          </cell>
          <cell r="L100">
            <v>0</v>
          </cell>
          <cell r="M100">
            <v>25400000</v>
          </cell>
        </row>
        <row r="101">
          <cell r="E101" t="str">
            <v>Bejo Langgeng, Toko</v>
          </cell>
          <cell r="I101">
            <v>4600000</v>
          </cell>
          <cell r="L101">
            <v>2000000</v>
          </cell>
          <cell r="M101">
            <v>2600000</v>
          </cell>
        </row>
        <row r="102">
          <cell r="E102" t="str">
            <v>Berkah Kayra/Nuyun</v>
          </cell>
          <cell r="I102">
            <v>778500</v>
          </cell>
          <cell r="L102">
            <v>778500</v>
          </cell>
          <cell r="M102">
            <v>0</v>
          </cell>
        </row>
        <row r="103">
          <cell r="E103" t="str">
            <v>Berkah Kayra/Nuyun</v>
          </cell>
          <cell r="I103">
            <v>945000</v>
          </cell>
          <cell r="L103">
            <v>451500</v>
          </cell>
          <cell r="M103">
            <v>493500</v>
          </cell>
        </row>
        <row r="104">
          <cell r="E104" t="str">
            <v>Berkah Kayra/Nuyun</v>
          </cell>
          <cell r="I104">
            <v>520000</v>
          </cell>
          <cell r="L104">
            <v>0</v>
          </cell>
          <cell r="M104">
            <v>520000</v>
          </cell>
        </row>
        <row r="105">
          <cell r="E105" t="str">
            <v>Berkah Kayra/Nuyun</v>
          </cell>
          <cell r="I105">
            <v>560000</v>
          </cell>
          <cell r="L105">
            <v>0</v>
          </cell>
          <cell r="M105">
            <v>560000</v>
          </cell>
        </row>
        <row r="106">
          <cell r="E106" t="str">
            <v>Berkah Tani/Intan Sri</v>
          </cell>
          <cell r="I106">
            <v>2000000</v>
          </cell>
          <cell r="L106">
            <v>0</v>
          </cell>
          <cell r="M106">
            <v>2000000</v>
          </cell>
        </row>
        <row r="107">
          <cell r="E107" t="str">
            <v>Berkah Tani/Intan Sri</v>
          </cell>
          <cell r="I107">
            <v>4140000</v>
          </cell>
          <cell r="L107">
            <v>0</v>
          </cell>
          <cell r="M107">
            <v>4140000</v>
          </cell>
        </row>
        <row r="108">
          <cell r="E108" t="str">
            <v>Bima Tani Jaya/Kevin Pratama</v>
          </cell>
          <cell r="I108">
            <v>8620000</v>
          </cell>
          <cell r="L108">
            <v>0</v>
          </cell>
          <cell r="M108">
            <v>8620000</v>
          </cell>
        </row>
        <row r="109">
          <cell r="E109" t="str">
            <v>Bima Tani Jaya/Kevin Pratama</v>
          </cell>
          <cell r="I109">
            <v>13300000</v>
          </cell>
          <cell r="L109">
            <v>0</v>
          </cell>
          <cell r="M109">
            <v>13300000</v>
          </cell>
        </row>
        <row r="110">
          <cell r="E110" t="str">
            <v>Bima Tani Jaya/Kevin Pratama</v>
          </cell>
          <cell r="I110">
            <v>1717500</v>
          </cell>
          <cell r="L110">
            <v>0</v>
          </cell>
          <cell r="M110">
            <v>1717500</v>
          </cell>
        </row>
        <row r="111">
          <cell r="E111" t="str">
            <v>Bima Tani Jaya/Kevin Pratama</v>
          </cell>
          <cell r="I111">
            <v>674500</v>
          </cell>
          <cell r="L111">
            <v>0</v>
          </cell>
          <cell r="M111">
            <v>674500</v>
          </cell>
        </row>
        <row r="112">
          <cell r="E112" t="str">
            <v>Bima Tani Jaya/Kevin Pratama</v>
          </cell>
          <cell r="I112">
            <v>285000</v>
          </cell>
          <cell r="L112">
            <v>0</v>
          </cell>
          <cell r="M112">
            <v>285000</v>
          </cell>
        </row>
        <row r="113">
          <cell r="E113" t="str">
            <v>Bima Tani Jaya/Kevin Pratama</v>
          </cell>
          <cell r="I113">
            <v>462500</v>
          </cell>
          <cell r="L113">
            <v>0</v>
          </cell>
          <cell r="M113">
            <v>462500</v>
          </cell>
        </row>
        <row r="114">
          <cell r="E114" t="str">
            <v>Bima Tani Jaya/Kevin Pratama</v>
          </cell>
          <cell r="I114">
            <v>1950000</v>
          </cell>
          <cell r="L114">
            <v>0</v>
          </cell>
          <cell r="M114">
            <v>1950000</v>
          </cell>
        </row>
        <row r="115">
          <cell r="E115" t="str">
            <v>Bima Tani Jaya/Kevin Pratama</v>
          </cell>
          <cell r="I115">
            <v>1720000</v>
          </cell>
          <cell r="L115">
            <v>0</v>
          </cell>
          <cell r="M115">
            <v>1720000</v>
          </cell>
        </row>
        <row r="116">
          <cell r="E116" t="str">
            <v>Bima Tani Jaya/Kevin Pratama</v>
          </cell>
          <cell r="I116">
            <v>852000</v>
          </cell>
          <cell r="L116">
            <v>0</v>
          </cell>
          <cell r="M116">
            <v>852000</v>
          </cell>
        </row>
        <row r="117">
          <cell r="E117" t="str">
            <v>Bima Tani Jaya/Kevin Pratama</v>
          </cell>
          <cell r="I117">
            <v>1395000</v>
          </cell>
          <cell r="L117">
            <v>0</v>
          </cell>
          <cell r="M117">
            <v>1395000</v>
          </cell>
        </row>
        <row r="118">
          <cell r="E118" t="str">
            <v>Bima Tani Jaya/Kevin Pratama</v>
          </cell>
          <cell r="I118">
            <v>540000</v>
          </cell>
          <cell r="L118">
            <v>0</v>
          </cell>
          <cell r="M118">
            <v>540000</v>
          </cell>
        </row>
        <row r="119">
          <cell r="E119" t="str">
            <v>Bima Tani Jaya/Kevin Pratama</v>
          </cell>
          <cell r="I119">
            <v>2000000</v>
          </cell>
          <cell r="L119">
            <v>0</v>
          </cell>
          <cell r="M119">
            <v>2000000</v>
          </cell>
        </row>
        <row r="120">
          <cell r="E120" t="str">
            <v>Bima Tani Jaya/Kevin Pratama</v>
          </cell>
          <cell r="I120">
            <v>1900000</v>
          </cell>
          <cell r="L120">
            <v>0</v>
          </cell>
          <cell r="M120">
            <v>1900000</v>
          </cell>
        </row>
        <row r="121">
          <cell r="E121" t="str">
            <v>Bima Tani Jaya/Kevin Pratama</v>
          </cell>
          <cell r="I121">
            <v>1836000</v>
          </cell>
          <cell r="L121">
            <v>0</v>
          </cell>
          <cell r="M121">
            <v>1836000</v>
          </cell>
        </row>
        <row r="122">
          <cell r="E122" t="str">
            <v>Bima Tani Jaya/Kevin Pratama</v>
          </cell>
          <cell r="I122">
            <v>5700000</v>
          </cell>
          <cell r="L122">
            <v>0</v>
          </cell>
          <cell r="M122">
            <v>5700000</v>
          </cell>
        </row>
        <row r="123">
          <cell r="E123" t="str">
            <v>Bima Tani Jaya/Kevin Pratama</v>
          </cell>
          <cell r="I123">
            <v>955000</v>
          </cell>
          <cell r="L123">
            <v>0</v>
          </cell>
          <cell r="M123">
            <v>955000</v>
          </cell>
        </row>
        <row r="124">
          <cell r="E124" t="str">
            <v>Bima Tani Jaya/Kevin Pratama</v>
          </cell>
          <cell r="I124">
            <v>3960000</v>
          </cell>
          <cell r="L124">
            <v>0</v>
          </cell>
          <cell r="M124">
            <v>3960000</v>
          </cell>
        </row>
        <row r="125">
          <cell r="E125" t="str">
            <v>Bima Tani Jaya/Kevin Pratama</v>
          </cell>
          <cell r="I125">
            <v>20800000</v>
          </cell>
          <cell r="L125">
            <v>0</v>
          </cell>
          <cell r="M125">
            <v>20800000</v>
          </cell>
        </row>
        <row r="126">
          <cell r="E126" t="str">
            <v>Bima Tani Jaya/Kevin Pratama</v>
          </cell>
          <cell r="I126">
            <v>1260000</v>
          </cell>
          <cell r="L126">
            <v>0</v>
          </cell>
          <cell r="M126">
            <v>1260000</v>
          </cell>
        </row>
        <row r="127">
          <cell r="E127" t="str">
            <v>Bima Tani Jaya/Kevin Pratama</v>
          </cell>
          <cell r="I127">
            <v>4000000</v>
          </cell>
          <cell r="L127">
            <v>4000000</v>
          </cell>
          <cell r="M127">
            <v>0</v>
          </cell>
        </row>
        <row r="128">
          <cell r="E128" t="str">
            <v>Bima Tani Jaya/Kevin Pratama</v>
          </cell>
          <cell r="I128">
            <v>718000</v>
          </cell>
          <cell r="L128">
            <v>0</v>
          </cell>
          <cell r="M128">
            <v>718000</v>
          </cell>
        </row>
        <row r="129">
          <cell r="E129" t="str">
            <v>Bima Tani Jaya/Kevin Pratama</v>
          </cell>
          <cell r="I129">
            <v>1635000</v>
          </cell>
          <cell r="L129">
            <v>0</v>
          </cell>
          <cell r="M129">
            <v>1635000</v>
          </cell>
        </row>
        <row r="130">
          <cell r="E130" t="str">
            <v>Bima Tani Jaya/Kevin Pratama</v>
          </cell>
          <cell r="I130">
            <v>415000</v>
          </cell>
          <cell r="L130">
            <v>0</v>
          </cell>
          <cell r="M130">
            <v>415000</v>
          </cell>
        </row>
        <row r="131">
          <cell r="E131" t="str">
            <v>Bima Tani Jaya/Kevin Pratama</v>
          </cell>
          <cell r="I131">
            <v>2060000</v>
          </cell>
          <cell r="L131">
            <v>0</v>
          </cell>
          <cell r="M131">
            <v>2060000</v>
          </cell>
        </row>
        <row r="132">
          <cell r="E132" t="str">
            <v>Bima Tani Jaya/Kevin Pratama</v>
          </cell>
          <cell r="I132">
            <v>8400000</v>
          </cell>
          <cell r="L132">
            <v>0</v>
          </cell>
          <cell r="M132">
            <v>8400000</v>
          </cell>
        </row>
        <row r="133">
          <cell r="E133" t="str">
            <v>Bima Tani Jaya/Kevin Pratama</v>
          </cell>
          <cell r="I133">
            <v>1347500</v>
          </cell>
          <cell r="L133">
            <v>0</v>
          </cell>
          <cell r="M133">
            <v>1347500</v>
          </cell>
        </row>
        <row r="134">
          <cell r="E134" t="str">
            <v>Bima Tani Jaya/Kevin Pratama</v>
          </cell>
          <cell r="I134">
            <v>3720000</v>
          </cell>
          <cell r="L134">
            <v>0</v>
          </cell>
          <cell r="M134">
            <v>3720000</v>
          </cell>
        </row>
        <row r="135">
          <cell r="E135" t="str">
            <v>Bina Mandiri, UD/Nurul</v>
          </cell>
          <cell r="I135">
            <v>4300000</v>
          </cell>
          <cell r="L135">
            <v>2000000</v>
          </cell>
          <cell r="M135">
            <v>2300000</v>
          </cell>
        </row>
        <row r="136">
          <cell r="E136" t="str">
            <v>Bintang Sejahtera</v>
          </cell>
          <cell r="I136">
            <v>3840000</v>
          </cell>
          <cell r="L136">
            <v>3840000</v>
          </cell>
          <cell r="M136">
            <v>0</v>
          </cell>
        </row>
        <row r="137">
          <cell r="E137" t="str">
            <v>Bintang Sejahtera</v>
          </cell>
          <cell r="I137">
            <v>3870000</v>
          </cell>
          <cell r="L137">
            <v>3870000</v>
          </cell>
          <cell r="M137">
            <v>0</v>
          </cell>
        </row>
        <row r="138">
          <cell r="E138" t="str">
            <v>Bumi Jaya, UD/Farida</v>
          </cell>
          <cell r="I138">
            <v>28356000</v>
          </cell>
          <cell r="L138">
            <v>20000000</v>
          </cell>
          <cell r="M138">
            <v>8356000</v>
          </cell>
        </row>
        <row r="139">
          <cell r="E139" t="str">
            <v>Bumi Jaya, UD/Farida</v>
          </cell>
          <cell r="I139">
            <v>12940000</v>
          </cell>
          <cell r="L139">
            <v>12940000</v>
          </cell>
          <cell r="M139">
            <v>0</v>
          </cell>
        </row>
        <row r="140">
          <cell r="E140" t="str">
            <v>Bumi Jaya, UD/Farida</v>
          </cell>
          <cell r="I140">
            <v>2860000</v>
          </cell>
          <cell r="L140">
            <v>0</v>
          </cell>
          <cell r="M140">
            <v>2860000</v>
          </cell>
        </row>
        <row r="141">
          <cell r="E141" t="str">
            <v>Bumi Jaya, UD/Farida</v>
          </cell>
          <cell r="I141">
            <v>1540000</v>
          </cell>
          <cell r="L141">
            <v>0</v>
          </cell>
          <cell r="M141">
            <v>1540000</v>
          </cell>
        </row>
        <row r="142">
          <cell r="E142" t="str">
            <v>Bumi Jaya, UD/Farida</v>
          </cell>
          <cell r="I142">
            <v>21200000</v>
          </cell>
          <cell r="L142">
            <v>0</v>
          </cell>
          <cell r="M142">
            <v>21200000</v>
          </cell>
        </row>
        <row r="143">
          <cell r="E143" t="str">
            <v>Bumi Jaya, UD/Farida</v>
          </cell>
          <cell r="I143">
            <v>11000000</v>
          </cell>
          <cell r="L143">
            <v>0</v>
          </cell>
          <cell r="M143">
            <v>11000000</v>
          </cell>
        </row>
        <row r="144">
          <cell r="E144" t="str">
            <v>Bumi Jaya, UD/Farida</v>
          </cell>
          <cell r="I144">
            <v>3650000</v>
          </cell>
          <cell r="L144">
            <v>0</v>
          </cell>
          <cell r="M144">
            <v>3650000</v>
          </cell>
        </row>
        <row r="145">
          <cell r="E145" t="str">
            <v>Bumi Jaya, UD/Farida</v>
          </cell>
          <cell r="I145">
            <v>11640000</v>
          </cell>
          <cell r="L145">
            <v>0</v>
          </cell>
          <cell r="M145">
            <v>11640000</v>
          </cell>
        </row>
        <row r="146">
          <cell r="E146" t="str">
            <v>Bumi Jaya, UD/Farida</v>
          </cell>
          <cell r="I146">
            <v>11000000</v>
          </cell>
          <cell r="L146">
            <v>0</v>
          </cell>
          <cell r="M146">
            <v>11000000</v>
          </cell>
        </row>
        <row r="147">
          <cell r="E147" t="str">
            <v>Bumi Jaya, UD/Farida</v>
          </cell>
          <cell r="I147">
            <v>7000000</v>
          </cell>
          <cell r="L147">
            <v>0</v>
          </cell>
          <cell r="M147">
            <v>7000000</v>
          </cell>
        </row>
        <row r="148">
          <cell r="E148" t="str">
            <v>Bumi Jaya, UD/Farida</v>
          </cell>
          <cell r="I148">
            <v>3500000</v>
          </cell>
          <cell r="L148">
            <v>0</v>
          </cell>
          <cell r="M148">
            <v>3500000</v>
          </cell>
        </row>
        <row r="149">
          <cell r="E149" t="str">
            <v>Bumi Jaya, UD/Farida</v>
          </cell>
          <cell r="I149">
            <v>24720000</v>
          </cell>
          <cell r="L149">
            <v>0</v>
          </cell>
          <cell r="M149">
            <v>24720000</v>
          </cell>
        </row>
        <row r="150">
          <cell r="E150" t="str">
            <v>Bumi Jaya, UD/Farida</v>
          </cell>
          <cell r="I150">
            <v>10412500</v>
          </cell>
          <cell r="L150">
            <v>0</v>
          </cell>
          <cell r="M150">
            <v>10412500</v>
          </cell>
        </row>
        <row r="151">
          <cell r="E151" t="str">
            <v>Bumi Jaya, UD/Farida</v>
          </cell>
          <cell r="I151">
            <v>700000</v>
          </cell>
          <cell r="L151">
            <v>0</v>
          </cell>
          <cell r="M151">
            <v>700000</v>
          </cell>
        </row>
        <row r="152">
          <cell r="E152" t="str">
            <v>Bumi Jaya, UD/Farida</v>
          </cell>
          <cell r="I152">
            <v>1430000</v>
          </cell>
          <cell r="L152">
            <v>0</v>
          </cell>
          <cell r="M152">
            <v>1430000</v>
          </cell>
        </row>
        <row r="153">
          <cell r="E153" t="str">
            <v>Bursa Tani/Brian</v>
          </cell>
          <cell r="I153">
            <v>12360000</v>
          </cell>
          <cell r="L153">
            <v>12360000</v>
          </cell>
          <cell r="M153">
            <v>0</v>
          </cell>
        </row>
        <row r="154">
          <cell r="E154" t="str">
            <v>Cahaya Tani/Rudi</v>
          </cell>
          <cell r="I154">
            <v>6657500</v>
          </cell>
          <cell r="L154">
            <v>0</v>
          </cell>
          <cell r="M154">
            <v>6657500</v>
          </cell>
        </row>
        <row r="155">
          <cell r="E155" t="str">
            <v>Cahaya Tani/Rudi</v>
          </cell>
          <cell r="I155">
            <v>470000</v>
          </cell>
          <cell r="L155">
            <v>0</v>
          </cell>
          <cell r="M155">
            <v>470000</v>
          </cell>
        </row>
        <row r="156">
          <cell r="E156" t="str">
            <v>Culture Agritech Interzona, CV</v>
          </cell>
          <cell r="I156">
            <v>433000000</v>
          </cell>
          <cell r="L156">
            <v>433000000</v>
          </cell>
          <cell r="M156">
            <v>0</v>
          </cell>
        </row>
        <row r="157">
          <cell r="E157" t="str">
            <v>Culture Agritech Interzona, CV</v>
          </cell>
          <cell r="I157">
            <v>1900000</v>
          </cell>
          <cell r="L157">
            <v>1900000</v>
          </cell>
          <cell r="M157">
            <v>0</v>
          </cell>
        </row>
        <row r="158">
          <cell r="E158" t="str">
            <v>Damar Batur Nusantara</v>
          </cell>
          <cell r="I158">
            <v>3060000</v>
          </cell>
          <cell r="L158">
            <v>0</v>
          </cell>
          <cell r="M158">
            <v>3060000</v>
          </cell>
        </row>
        <row r="159">
          <cell r="E159" t="str">
            <v>Damar Batur Nusantara</v>
          </cell>
          <cell r="I159">
            <v>2250000</v>
          </cell>
          <cell r="L159">
            <v>0</v>
          </cell>
          <cell r="M159">
            <v>2250000</v>
          </cell>
        </row>
        <row r="160">
          <cell r="E160" t="str">
            <v>Damar Batur Nusantara</v>
          </cell>
          <cell r="I160">
            <v>27750000</v>
          </cell>
          <cell r="L160">
            <v>0</v>
          </cell>
          <cell r="M160">
            <v>27750000</v>
          </cell>
        </row>
        <row r="161">
          <cell r="E161" t="str">
            <v>Damar Batur Nusantara</v>
          </cell>
          <cell r="I161">
            <v>47500000</v>
          </cell>
          <cell r="L161">
            <v>0</v>
          </cell>
          <cell r="M161">
            <v>47500000</v>
          </cell>
        </row>
        <row r="162">
          <cell r="E162" t="str">
            <v>Damar Batur Nusantara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Damar Batur Nusantara</v>
          </cell>
          <cell r="I163">
            <v>27750000</v>
          </cell>
          <cell r="L163">
            <v>0</v>
          </cell>
          <cell r="M163">
            <v>27750000</v>
          </cell>
        </row>
        <row r="164">
          <cell r="E164" t="str">
            <v>Damar Batur Nusantara</v>
          </cell>
          <cell r="I164">
            <v>14200000</v>
          </cell>
          <cell r="L164">
            <v>0</v>
          </cell>
          <cell r="M164">
            <v>14200000</v>
          </cell>
        </row>
        <row r="165">
          <cell r="E165" t="str">
            <v>Damar Batur Nusantara</v>
          </cell>
          <cell r="I165">
            <v>9450000</v>
          </cell>
          <cell r="L165">
            <v>0</v>
          </cell>
          <cell r="M165">
            <v>9450000</v>
          </cell>
        </row>
        <row r="166">
          <cell r="E166" t="str">
            <v>Damar Batur Nusantara</v>
          </cell>
          <cell r="I166">
            <v>96000000</v>
          </cell>
          <cell r="L166">
            <v>0</v>
          </cell>
          <cell r="M166">
            <v>96000000</v>
          </cell>
        </row>
        <row r="167">
          <cell r="E167" t="str">
            <v>Damar Batur Nusantara</v>
          </cell>
          <cell r="I167">
            <v>8180000</v>
          </cell>
          <cell r="L167">
            <v>0</v>
          </cell>
          <cell r="M167">
            <v>8180000</v>
          </cell>
        </row>
        <row r="168">
          <cell r="E168" t="str">
            <v>Damar Batur Nusantara</v>
          </cell>
          <cell r="I168">
            <v>5700000</v>
          </cell>
          <cell r="L168">
            <v>0</v>
          </cell>
          <cell r="M168">
            <v>5700000</v>
          </cell>
        </row>
        <row r="169">
          <cell r="E169" t="str">
            <v>Damar Batur Nusantara</v>
          </cell>
          <cell r="I169">
            <v>7200000</v>
          </cell>
          <cell r="L169">
            <v>0</v>
          </cell>
          <cell r="M169">
            <v>7200000</v>
          </cell>
        </row>
        <row r="170">
          <cell r="E170" t="str">
            <v>Damar Batur Nusantara</v>
          </cell>
          <cell r="I170">
            <v>2700000</v>
          </cell>
          <cell r="L170">
            <v>0</v>
          </cell>
          <cell r="M170">
            <v>2700000</v>
          </cell>
        </row>
        <row r="171">
          <cell r="E171" t="str">
            <v>Damar Batur Nusantara</v>
          </cell>
          <cell r="I171">
            <v>33000000</v>
          </cell>
          <cell r="L171">
            <v>0</v>
          </cell>
          <cell r="M171">
            <v>33000000</v>
          </cell>
        </row>
        <row r="172">
          <cell r="E172" t="str">
            <v>Damar Batur Nusantara</v>
          </cell>
          <cell r="I172">
            <v>17707500</v>
          </cell>
          <cell r="L172">
            <v>0</v>
          </cell>
          <cell r="M172">
            <v>17707500</v>
          </cell>
        </row>
        <row r="173">
          <cell r="E173" t="str">
            <v>Damar Batur Nusantara</v>
          </cell>
          <cell r="I173">
            <v>517500</v>
          </cell>
          <cell r="L173">
            <v>0</v>
          </cell>
          <cell r="M173">
            <v>517500</v>
          </cell>
        </row>
        <row r="174">
          <cell r="E174" t="str">
            <v>Damar Batur Nusantara</v>
          </cell>
          <cell r="I174">
            <v>5200000</v>
          </cell>
          <cell r="L174">
            <v>0</v>
          </cell>
          <cell r="M174">
            <v>5200000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2650000</v>
          </cell>
          <cell r="L176">
            <v>0</v>
          </cell>
          <cell r="M176">
            <v>2650000</v>
          </cell>
        </row>
        <row r="177">
          <cell r="E177" t="str">
            <v>Damar Batur Nusantara</v>
          </cell>
          <cell r="I177">
            <v>4980000</v>
          </cell>
          <cell r="L177">
            <v>0</v>
          </cell>
          <cell r="M177">
            <v>4980000</v>
          </cell>
        </row>
        <row r="178">
          <cell r="E178" t="str">
            <v>Damar Batur Nusantara</v>
          </cell>
          <cell r="I178">
            <v>155040000</v>
          </cell>
          <cell r="L178">
            <v>0</v>
          </cell>
          <cell r="M178">
            <v>155040000</v>
          </cell>
        </row>
        <row r="179">
          <cell r="E179" t="str">
            <v>Damar Batur Nusantara</v>
          </cell>
          <cell r="I179">
            <v>92500000</v>
          </cell>
          <cell r="L179">
            <v>92500000</v>
          </cell>
          <cell r="M179">
            <v>0</v>
          </cell>
        </row>
        <row r="180">
          <cell r="E180" t="str">
            <v>Damar Batur Nusantara</v>
          </cell>
          <cell r="I180">
            <v>9450000</v>
          </cell>
          <cell r="L180">
            <v>0</v>
          </cell>
          <cell r="M180">
            <v>9450000</v>
          </cell>
        </row>
        <row r="181">
          <cell r="E181" t="str">
            <v>Damar Batur Nusantara</v>
          </cell>
          <cell r="I181">
            <v>36000000</v>
          </cell>
          <cell r="L181">
            <v>0</v>
          </cell>
          <cell r="M181">
            <v>36000000</v>
          </cell>
        </row>
        <row r="182">
          <cell r="E182" t="str">
            <v>Damar Batur Nusantara</v>
          </cell>
          <cell r="I182">
            <v>5400000</v>
          </cell>
          <cell r="L182">
            <v>0</v>
          </cell>
          <cell r="M182">
            <v>5400000</v>
          </cell>
        </row>
        <row r="183">
          <cell r="E183" t="str">
            <v>Damar Batur Nusantara</v>
          </cell>
          <cell r="I183">
            <v>14000000</v>
          </cell>
          <cell r="L183">
            <v>14000000</v>
          </cell>
          <cell r="M183">
            <v>0</v>
          </cell>
        </row>
        <row r="184">
          <cell r="E184" t="str">
            <v>Dodik/Asiana</v>
          </cell>
          <cell r="I184">
            <v>9000000</v>
          </cell>
          <cell r="L184">
            <v>0</v>
          </cell>
          <cell r="M184">
            <v>9000000</v>
          </cell>
        </row>
        <row r="185">
          <cell r="E185" t="str">
            <v>Era Tani/Abdul Wakik</v>
          </cell>
          <cell r="I185">
            <v>2580000</v>
          </cell>
          <cell r="L185">
            <v>2580000</v>
          </cell>
          <cell r="M185">
            <v>0</v>
          </cell>
        </row>
        <row r="186">
          <cell r="E186" t="str">
            <v>Era Tani/Abdul Wakik</v>
          </cell>
          <cell r="I186">
            <v>4782500</v>
          </cell>
          <cell r="L186">
            <v>4782500</v>
          </cell>
          <cell r="M186">
            <v>0</v>
          </cell>
        </row>
        <row r="187">
          <cell r="E187" t="str">
            <v>Era Tani/Abdul Wakik</v>
          </cell>
          <cell r="I187">
            <v>1497500</v>
          </cell>
          <cell r="L187">
            <v>1497500</v>
          </cell>
          <cell r="M187">
            <v>0</v>
          </cell>
        </row>
        <row r="188">
          <cell r="E188" t="str">
            <v>Era Tani/Abdul Wakik</v>
          </cell>
          <cell r="I188">
            <v>1440000</v>
          </cell>
          <cell r="L188">
            <v>1440000</v>
          </cell>
          <cell r="M188">
            <v>0</v>
          </cell>
        </row>
        <row r="189">
          <cell r="E189" t="str">
            <v>Era Tani/Abdul Wakik</v>
          </cell>
          <cell r="I189">
            <v>5120000</v>
          </cell>
          <cell r="L189">
            <v>5120000</v>
          </cell>
          <cell r="M189">
            <v>0</v>
          </cell>
        </row>
        <row r="190">
          <cell r="E190" t="str">
            <v>F Nganjuk</v>
          </cell>
          <cell r="I190">
            <v>6000000</v>
          </cell>
          <cell r="L190">
            <v>6000000</v>
          </cell>
          <cell r="M190">
            <v>0</v>
          </cell>
        </row>
        <row r="191">
          <cell r="E191" t="str">
            <v>Fortuna Tani/Heru</v>
          </cell>
          <cell r="I191">
            <v>2025000</v>
          </cell>
          <cell r="L191">
            <v>0</v>
          </cell>
          <cell r="M191">
            <v>2025000</v>
          </cell>
        </row>
        <row r="192">
          <cell r="E192" t="str">
            <v>Griya Tani/Sri</v>
          </cell>
          <cell r="I192">
            <v>3862500</v>
          </cell>
          <cell r="L192">
            <v>0</v>
          </cell>
          <cell r="M192">
            <v>3862500</v>
          </cell>
        </row>
        <row r="193">
          <cell r="E193" t="str">
            <v>Harry Santoso</v>
          </cell>
          <cell r="I193">
            <v>4500000</v>
          </cell>
          <cell r="L193">
            <v>4500000</v>
          </cell>
          <cell r="M193">
            <v>0</v>
          </cell>
        </row>
        <row r="194">
          <cell r="E194" t="str">
            <v>Harry Santoso</v>
          </cell>
          <cell r="I194">
            <v>114250000</v>
          </cell>
          <cell r="L194">
            <v>114250000</v>
          </cell>
          <cell r="M194">
            <v>0</v>
          </cell>
        </row>
        <row r="195">
          <cell r="E195" t="str">
            <v>Harry Santoso</v>
          </cell>
          <cell r="I195">
            <v>124980500</v>
          </cell>
          <cell r="L195">
            <v>124980500</v>
          </cell>
          <cell r="M195">
            <v>0</v>
          </cell>
        </row>
        <row r="196">
          <cell r="E196" t="str">
            <v>Harry Santoso</v>
          </cell>
          <cell r="I196">
            <v>17305000</v>
          </cell>
          <cell r="L196">
            <v>17305000</v>
          </cell>
          <cell r="M196">
            <v>0</v>
          </cell>
        </row>
        <row r="197">
          <cell r="E197" t="str">
            <v>Harry Santoso</v>
          </cell>
          <cell r="I197">
            <v>88800000</v>
          </cell>
          <cell r="L197">
            <v>88800000</v>
          </cell>
          <cell r="M197">
            <v>0</v>
          </cell>
        </row>
        <row r="198">
          <cell r="E198" t="str">
            <v>Harry Santoso</v>
          </cell>
          <cell r="I198">
            <v>3840000</v>
          </cell>
          <cell r="L198">
            <v>3840000</v>
          </cell>
          <cell r="M198">
            <v>0</v>
          </cell>
        </row>
        <row r="199">
          <cell r="E199" t="str">
            <v>Harry Santoso</v>
          </cell>
          <cell r="I199">
            <v>46250000</v>
          </cell>
          <cell r="L199">
            <v>46250000</v>
          </cell>
          <cell r="M199">
            <v>0</v>
          </cell>
        </row>
        <row r="200">
          <cell r="E200" t="str">
            <v>Harry Santoso</v>
          </cell>
          <cell r="I200">
            <v>6750000</v>
          </cell>
          <cell r="L200">
            <v>6750000</v>
          </cell>
          <cell r="M200">
            <v>0</v>
          </cell>
        </row>
        <row r="201">
          <cell r="E201" t="str">
            <v>Harry Santoso</v>
          </cell>
          <cell r="I201">
            <v>6850000</v>
          </cell>
          <cell r="L201">
            <v>6850000</v>
          </cell>
          <cell r="M201">
            <v>0</v>
          </cell>
        </row>
        <row r="202">
          <cell r="E202" t="str">
            <v>Harry Santoso</v>
          </cell>
          <cell r="I202">
            <v>19905000</v>
          </cell>
          <cell r="L202">
            <v>19905000</v>
          </cell>
          <cell r="M202">
            <v>0</v>
          </cell>
        </row>
        <row r="203">
          <cell r="E203" t="str">
            <v>Harry Santoso</v>
          </cell>
          <cell r="I203">
            <v>25025000</v>
          </cell>
          <cell r="L203">
            <v>25025000</v>
          </cell>
          <cell r="M203">
            <v>0</v>
          </cell>
        </row>
        <row r="204">
          <cell r="E204" t="str">
            <v>Harry Santoso</v>
          </cell>
          <cell r="I204">
            <v>150000000</v>
          </cell>
          <cell r="L204">
            <v>150000000</v>
          </cell>
          <cell r="M204">
            <v>0</v>
          </cell>
        </row>
        <row r="205">
          <cell r="E205" t="str">
            <v>Harry Santoso</v>
          </cell>
          <cell r="I205">
            <v>670000</v>
          </cell>
          <cell r="L205">
            <v>670000</v>
          </cell>
          <cell r="M205">
            <v>0</v>
          </cell>
        </row>
        <row r="206">
          <cell r="E206" t="str">
            <v>Harry Santoso</v>
          </cell>
          <cell r="I206">
            <v>915000</v>
          </cell>
          <cell r="L206">
            <v>915000</v>
          </cell>
          <cell r="M206">
            <v>0</v>
          </cell>
        </row>
        <row r="207">
          <cell r="E207" t="str">
            <v>Harry Santoso</v>
          </cell>
          <cell r="I207">
            <v>190000</v>
          </cell>
          <cell r="L207">
            <v>190000</v>
          </cell>
          <cell r="M207">
            <v>0</v>
          </cell>
        </row>
        <row r="208">
          <cell r="E208" t="str">
            <v>Harry Santoso</v>
          </cell>
          <cell r="I208">
            <v>6750000</v>
          </cell>
          <cell r="L208">
            <v>6750000</v>
          </cell>
          <cell r="M208">
            <v>0</v>
          </cell>
        </row>
        <row r="209">
          <cell r="E209" t="str">
            <v>Harry Santoso</v>
          </cell>
          <cell r="I209">
            <v>114250000</v>
          </cell>
          <cell r="L209">
            <v>114250000</v>
          </cell>
          <cell r="M209">
            <v>0</v>
          </cell>
        </row>
        <row r="210">
          <cell r="E210" t="str">
            <v>Harry Santoso</v>
          </cell>
          <cell r="I210">
            <v>16080000</v>
          </cell>
          <cell r="L210">
            <v>16080000</v>
          </cell>
          <cell r="M210">
            <v>0</v>
          </cell>
        </row>
        <row r="211">
          <cell r="E211" t="str">
            <v>Harry Santoso</v>
          </cell>
          <cell r="I211">
            <v>12000000</v>
          </cell>
          <cell r="L211">
            <v>12000000</v>
          </cell>
          <cell r="M211">
            <v>0</v>
          </cell>
        </row>
        <row r="212">
          <cell r="E212" t="str">
            <v>Harry Santoso</v>
          </cell>
          <cell r="I212">
            <v>7830000</v>
          </cell>
          <cell r="L212">
            <v>7830000</v>
          </cell>
          <cell r="M212">
            <v>0</v>
          </cell>
        </row>
        <row r="213">
          <cell r="E213" t="str">
            <v>Harry Santoso</v>
          </cell>
          <cell r="I213">
            <v>24800000</v>
          </cell>
          <cell r="L213">
            <v>24800000</v>
          </cell>
          <cell r="M213">
            <v>0</v>
          </cell>
        </row>
        <row r="214">
          <cell r="E214" t="str">
            <v>Harry Santoso</v>
          </cell>
          <cell r="I214">
            <v>420000</v>
          </cell>
          <cell r="L214">
            <v>420000</v>
          </cell>
          <cell r="M214">
            <v>0</v>
          </cell>
        </row>
        <row r="215">
          <cell r="E215" t="str">
            <v>Harry Santoso</v>
          </cell>
          <cell r="I215">
            <v>190000</v>
          </cell>
          <cell r="L215">
            <v>190000</v>
          </cell>
          <cell r="M215">
            <v>0</v>
          </cell>
        </row>
        <row r="216">
          <cell r="E216" t="str">
            <v>Harry Santoso</v>
          </cell>
          <cell r="I216">
            <v>42000000</v>
          </cell>
          <cell r="L216">
            <v>42000000</v>
          </cell>
          <cell r="M216">
            <v>0</v>
          </cell>
        </row>
        <row r="217">
          <cell r="E217" t="str">
            <v>Harry Santoso</v>
          </cell>
          <cell r="I217">
            <v>80950000</v>
          </cell>
          <cell r="L217">
            <v>80950000</v>
          </cell>
          <cell r="M217">
            <v>0</v>
          </cell>
        </row>
        <row r="218">
          <cell r="E218" t="str">
            <v>Harry Santoso</v>
          </cell>
          <cell r="I218">
            <v>15000000</v>
          </cell>
          <cell r="L218">
            <v>15000000</v>
          </cell>
          <cell r="M218">
            <v>0</v>
          </cell>
        </row>
        <row r="219">
          <cell r="E219" t="str">
            <v>Harry Santoso</v>
          </cell>
          <cell r="I219">
            <v>46706000</v>
          </cell>
          <cell r="L219">
            <v>46706000</v>
          </cell>
          <cell r="M219">
            <v>0</v>
          </cell>
        </row>
        <row r="220">
          <cell r="E220" t="str">
            <v>Harry Santoso</v>
          </cell>
          <cell r="I220">
            <v>6940000</v>
          </cell>
          <cell r="L220">
            <v>6940000</v>
          </cell>
          <cell r="M220">
            <v>0</v>
          </cell>
        </row>
        <row r="221">
          <cell r="E221" t="str">
            <v>Harry Santoso</v>
          </cell>
          <cell r="I221">
            <v>15000000</v>
          </cell>
          <cell r="L221">
            <v>15000000</v>
          </cell>
          <cell r="M221">
            <v>0</v>
          </cell>
        </row>
        <row r="222">
          <cell r="E222" t="str">
            <v>Harry Santoso</v>
          </cell>
          <cell r="I222">
            <v>2925000</v>
          </cell>
          <cell r="L222">
            <v>2925000</v>
          </cell>
          <cell r="M222">
            <v>0</v>
          </cell>
        </row>
        <row r="223">
          <cell r="E223" t="str">
            <v>Harry Santoso</v>
          </cell>
          <cell r="I223">
            <v>95287500</v>
          </cell>
          <cell r="L223">
            <v>95287500</v>
          </cell>
          <cell r="M223">
            <v>0</v>
          </cell>
        </row>
        <row r="224">
          <cell r="E224" t="str">
            <v>Harry Santoso</v>
          </cell>
          <cell r="I224">
            <v>7800000</v>
          </cell>
          <cell r="L224">
            <v>7800000</v>
          </cell>
          <cell r="M224">
            <v>0</v>
          </cell>
        </row>
        <row r="225">
          <cell r="E225" t="str">
            <v>Harry Santoso</v>
          </cell>
          <cell r="I225">
            <v>12000000</v>
          </cell>
          <cell r="L225">
            <v>12000000</v>
          </cell>
          <cell r="M225">
            <v>0</v>
          </cell>
        </row>
        <row r="226">
          <cell r="E226" t="str">
            <v>Harry Santoso</v>
          </cell>
          <cell r="I226">
            <v>14770000</v>
          </cell>
          <cell r="L226">
            <v>14770000</v>
          </cell>
          <cell r="M226">
            <v>0</v>
          </cell>
        </row>
        <row r="227">
          <cell r="E227" t="str">
            <v>Harry Santoso</v>
          </cell>
          <cell r="I227">
            <v>3920000</v>
          </cell>
          <cell r="L227">
            <v>3920000</v>
          </cell>
          <cell r="M227">
            <v>0</v>
          </cell>
        </row>
        <row r="228">
          <cell r="E228" t="str">
            <v>Harry Santoso</v>
          </cell>
          <cell r="I228">
            <v>19800000</v>
          </cell>
          <cell r="L228">
            <v>19800000</v>
          </cell>
          <cell r="M228">
            <v>0</v>
          </cell>
        </row>
        <row r="229">
          <cell r="E229" t="str">
            <v>Harry Santoso</v>
          </cell>
          <cell r="I229">
            <v>4980000</v>
          </cell>
          <cell r="L229">
            <v>4980000</v>
          </cell>
          <cell r="M229">
            <v>0</v>
          </cell>
        </row>
        <row r="230">
          <cell r="E230" t="str">
            <v>Harry Santoso</v>
          </cell>
          <cell r="I230">
            <v>44675000</v>
          </cell>
          <cell r="L230">
            <v>44675000</v>
          </cell>
          <cell r="M230">
            <v>0</v>
          </cell>
        </row>
        <row r="231">
          <cell r="E231" t="str">
            <v>Harry Santoso</v>
          </cell>
          <cell r="I231">
            <v>7000000</v>
          </cell>
          <cell r="L231">
            <v>1361000</v>
          </cell>
          <cell r="M231">
            <v>5639000</v>
          </cell>
        </row>
        <row r="232">
          <cell r="E232" t="str">
            <v>Harry Santoso</v>
          </cell>
          <cell r="I232">
            <v>4200000</v>
          </cell>
          <cell r="L232">
            <v>0</v>
          </cell>
          <cell r="M232">
            <v>4200000</v>
          </cell>
        </row>
        <row r="233">
          <cell r="E233" t="str">
            <v>Harry Santoso</v>
          </cell>
          <cell r="I233">
            <v>8775000</v>
          </cell>
          <cell r="L233">
            <v>0</v>
          </cell>
          <cell r="M233">
            <v>8775000</v>
          </cell>
        </row>
        <row r="234">
          <cell r="E234" t="str">
            <v>Harry Santoso</v>
          </cell>
          <cell r="I234">
            <v>15000000</v>
          </cell>
          <cell r="L234">
            <v>0</v>
          </cell>
          <cell r="M234">
            <v>15000000</v>
          </cell>
        </row>
        <row r="235">
          <cell r="E235" t="str">
            <v>Harry Santoso</v>
          </cell>
          <cell r="I235">
            <v>14625000</v>
          </cell>
          <cell r="L235">
            <v>0</v>
          </cell>
          <cell r="M235">
            <v>14625000</v>
          </cell>
        </row>
        <row r="236">
          <cell r="E236" t="str">
            <v>Harry Santoso</v>
          </cell>
          <cell r="I236">
            <v>60125000</v>
          </cell>
          <cell r="L236">
            <v>0</v>
          </cell>
          <cell r="M236">
            <v>60125000</v>
          </cell>
        </row>
        <row r="237">
          <cell r="E237" t="str">
            <v>Harry Santoso</v>
          </cell>
          <cell r="I237">
            <v>32250000</v>
          </cell>
          <cell r="L237">
            <v>32250000</v>
          </cell>
          <cell r="M237">
            <v>0</v>
          </cell>
        </row>
        <row r="238">
          <cell r="E238" t="str">
            <v>Hasil Usaha, UD</v>
          </cell>
          <cell r="I238">
            <v>8500000</v>
          </cell>
          <cell r="L238">
            <v>8500000</v>
          </cell>
          <cell r="M238">
            <v>0</v>
          </cell>
        </row>
        <row r="239">
          <cell r="E239" t="str">
            <v>Hasil Usaha, UD</v>
          </cell>
          <cell r="I239">
            <v>13600000</v>
          </cell>
          <cell r="L239">
            <v>13600000</v>
          </cell>
          <cell r="M239">
            <v>0</v>
          </cell>
        </row>
        <row r="240">
          <cell r="E240" t="str">
            <v>Hasil Usaha, UD</v>
          </cell>
          <cell r="I240">
            <v>19500000</v>
          </cell>
          <cell r="L240">
            <v>19500000</v>
          </cell>
          <cell r="M240">
            <v>0</v>
          </cell>
        </row>
        <row r="241">
          <cell r="E241" t="str">
            <v>Hasil Usaha, UD</v>
          </cell>
          <cell r="I241">
            <v>13400000</v>
          </cell>
          <cell r="L241">
            <v>13400000</v>
          </cell>
          <cell r="M241">
            <v>0</v>
          </cell>
        </row>
        <row r="242">
          <cell r="E242" t="str">
            <v>Imam/Tanindo</v>
          </cell>
          <cell r="I242">
            <v>18000000</v>
          </cell>
          <cell r="L242">
            <v>0</v>
          </cell>
          <cell r="M242">
            <v>18000000</v>
          </cell>
        </row>
        <row r="243">
          <cell r="E243" t="str">
            <v>Ira Tani/Dani, H</v>
          </cell>
          <cell r="I243">
            <v>1680000</v>
          </cell>
          <cell r="L243">
            <v>0</v>
          </cell>
          <cell r="M243">
            <v>1680000</v>
          </cell>
        </row>
        <row r="244">
          <cell r="E244" t="str">
            <v>Ira Tani/Dani, H</v>
          </cell>
          <cell r="I244">
            <v>1500000</v>
          </cell>
          <cell r="L244">
            <v>0</v>
          </cell>
          <cell r="M244">
            <v>1500000</v>
          </cell>
        </row>
        <row r="245">
          <cell r="E245" t="str">
            <v>Lancar Barokah Tani/Abd Rosit</v>
          </cell>
          <cell r="I245">
            <v>3120000</v>
          </cell>
          <cell r="L245">
            <v>0</v>
          </cell>
          <cell r="M245">
            <v>3120000</v>
          </cell>
        </row>
        <row r="246">
          <cell r="E246" t="str">
            <v>Luhur Tani/M. Itqon</v>
          </cell>
          <cell r="I246">
            <v>2300000</v>
          </cell>
          <cell r="L246">
            <v>0</v>
          </cell>
          <cell r="M246">
            <v>2300000</v>
          </cell>
        </row>
        <row r="247">
          <cell r="E247" t="str">
            <v>Luhur Tani/M. Itqon</v>
          </cell>
          <cell r="I247">
            <v>6000000</v>
          </cell>
          <cell r="L247">
            <v>0</v>
          </cell>
          <cell r="M247">
            <v>6000000</v>
          </cell>
        </row>
        <row r="248">
          <cell r="E248" t="str">
            <v>Luhur Tani/M. Itqon</v>
          </cell>
          <cell r="I248">
            <v>3800000</v>
          </cell>
          <cell r="L248">
            <v>0</v>
          </cell>
          <cell r="M248">
            <v>3800000</v>
          </cell>
        </row>
        <row r="249">
          <cell r="E249" t="str">
            <v>Madya Tani/Halimatus</v>
          </cell>
          <cell r="I249">
            <v>53040000</v>
          </cell>
          <cell r="L249">
            <v>0</v>
          </cell>
          <cell r="M249">
            <v>53040000</v>
          </cell>
        </row>
        <row r="250">
          <cell r="E250" t="str">
            <v>Mahkota/Cik Cuan</v>
          </cell>
          <cell r="I250">
            <v>1700000</v>
          </cell>
          <cell r="L250">
            <v>1700000</v>
          </cell>
          <cell r="M250">
            <v>0</v>
          </cell>
        </row>
        <row r="251">
          <cell r="E251" t="str">
            <v>Mahkota/Cik Cuan</v>
          </cell>
          <cell r="I251">
            <v>2700000</v>
          </cell>
          <cell r="L251">
            <v>2700000</v>
          </cell>
          <cell r="M251">
            <v>0</v>
          </cell>
        </row>
        <row r="252">
          <cell r="E252" t="str">
            <v>Mahkota/Cik Cuan</v>
          </cell>
          <cell r="I252">
            <v>1900000</v>
          </cell>
          <cell r="L252">
            <v>1900000</v>
          </cell>
          <cell r="M252">
            <v>0</v>
          </cell>
        </row>
        <row r="253">
          <cell r="E253" t="str">
            <v>Mahkota/Cik Cuan</v>
          </cell>
          <cell r="I253">
            <v>9800000</v>
          </cell>
          <cell r="L253">
            <v>9800000</v>
          </cell>
          <cell r="M253">
            <v>0</v>
          </cell>
        </row>
        <row r="254">
          <cell r="E254" t="str">
            <v>Mahkota/Cik Cuan</v>
          </cell>
          <cell r="I254">
            <v>5925000</v>
          </cell>
          <cell r="L254">
            <v>5925000</v>
          </cell>
          <cell r="M254">
            <v>0</v>
          </cell>
        </row>
        <row r="255">
          <cell r="E255" t="str">
            <v>Mahkota/Cik Cuan</v>
          </cell>
          <cell r="I255">
            <v>5400000</v>
          </cell>
          <cell r="L255">
            <v>5400000</v>
          </cell>
          <cell r="M255">
            <v>0</v>
          </cell>
        </row>
        <row r="256">
          <cell r="E256" t="str">
            <v>Maju Tani/Dedi Kurniawan</v>
          </cell>
          <cell r="I256">
            <v>980000</v>
          </cell>
          <cell r="L256">
            <v>0</v>
          </cell>
          <cell r="M256">
            <v>980000</v>
          </cell>
        </row>
        <row r="257">
          <cell r="E257" t="str">
            <v>Merdeka Tani/Sugiono</v>
          </cell>
          <cell r="I257">
            <v>3520000</v>
          </cell>
          <cell r="L257">
            <v>0</v>
          </cell>
          <cell r="M257">
            <v>3520000</v>
          </cell>
        </row>
        <row r="258">
          <cell r="E258" t="str">
            <v>Merdeka Tani/Sugiono</v>
          </cell>
          <cell r="I258">
            <v>204000000</v>
          </cell>
          <cell r="L258">
            <v>0</v>
          </cell>
          <cell r="M258">
            <v>204000000</v>
          </cell>
        </row>
        <row r="259">
          <cell r="E259" t="str">
            <v>Merdeka Tani/Sugiono</v>
          </cell>
          <cell r="I259">
            <v>23662000</v>
          </cell>
          <cell r="L259">
            <v>0</v>
          </cell>
          <cell r="M259">
            <v>23662000</v>
          </cell>
        </row>
        <row r="260">
          <cell r="E260" t="str">
            <v>Merdeka Tani/Sugiono</v>
          </cell>
          <cell r="I260">
            <v>5400000</v>
          </cell>
          <cell r="L260">
            <v>0</v>
          </cell>
          <cell r="M260">
            <v>5400000</v>
          </cell>
        </row>
        <row r="261">
          <cell r="E261" t="str">
            <v>Merdeka Tani/Sugiono</v>
          </cell>
          <cell r="I261">
            <v>25600000</v>
          </cell>
          <cell r="L261">
            <v>0</v>
          </cell>
          <cell r="M261">
            <v>25600000</v>
          </cell>
        </row>
        <row r="262">
          <cell r="E262" t="str">
            <v>Permata, UD/Badar</v>
          </cell>
          <cell r="I262">
            <v>20640000</v>
          </cell>
          <cell r="L262">
            <v>0</v>
          </cell>
          <cell r="M262">
            <v>20640000</v>
          </cell>
        </row>
        <row r="263">
          <cell r="E263" t="str">
            <v>Permata, UD/Badar</v>
          </cell>
          <cell r="I263">
            <v>8690000</v>
          </cell>
          <cell r="L263">
            <v>8690000</v>
          </cell>
          <cell r="M263">
            <v>0</v>
          </cell>
        </row>
        <row r="264">
          <cell r="E264" t="str">
            <v>Permata, UD/Badar</v>
          </cell>
          <cell r="I264">
            <v>2760000</v>
          </cell>
          <cell r="L264">
            <v>2760000</v>
          </cell>
          <cell r="M264">
            <v>0</v>
          </cell>
        </row>
        <row r="265">
          <cell r="E265" t="str">
            <v>Permata, UD/Badar</v>
          </cell>
          <cell r="I265">
            <v>3400000</v>
          </cell>
          <cell r="L265">
            <v>3400000</v>
          </cell>
          <cell r="M265">
            <v>0</v>
          </cell>
        </row>
        <row r="266">
          <cell r="E266" t="str">
            <v>Permata, UD/Badar</v>
          </cell>
          <cell r="I266">
            <v>855000</v>
          </cell>
          <cell r="L266">
            <v>855000</v>
          </cell>
          <cell r="M266">
            <v>0</v>
          </cell>
        </row>
        <row r="267">
          <cell r="E267" t="str">
            <v>Permata, UD/Badar</v>
          </cell>
          <cell r="I267">
            <v>3300000</v>
          </cell>
          <cell r="L267">
            <v>3300000</v>
          </cell>
          <cell r="M267">
            <v>0</v>
          </cell>
        </row>
        <row r="268">
          <cell r="E268" t="str">
            <v>Permata, UD/Badar</v>
          </cell>
          <cell r="I268">
            <v>3500000</v>
          </cell>
          <cell r="L268">
            <v>3500000</v>
          </cell>
          <cell r="M268">
            <v>0</v>
          </cell>
        </row>
        <row r="269">
          <cell r="E269" t="str">
            <v>Permata, UD/Badar</v>
          </cell>
          <cell r="I269">
            <v>5535000</v>
          </cell>
          <cell r="L269">
            <v>5535000</v>
          </cell>
          <cell r="M269">
            <v>0</v>
          </cell>
        </row>
        <row r="270">
          <cell r="E270" t="str">
            <v>Puji Barokah Tani</v>
          </cell>
          <cell r="I270">
            <v>375000</v>
          </cell>
          <cell r="L270">
            <v>0</v>
          </cell>
          <cell r="M270">
            <v>375000</v>
          </cell>
        </row>
        <row r="271">
          <cell r="E271" t="str">
            <v>Puji Barokah Tani</v>
          </cell>
          <cell r="I271">
            <v>1700000</v>
          </cell>
          <cell r="L271">
            <v>0</v>
          </cell>
          <cell r="M271">
            <v>1700000</v>
          </cell>
        </row>
        <row r="272">
          <cell r="E272" t="str">
            <v>Putra Tani/Muzaiyin</v>
          </cell>
          <cell r="I272">
            <v>2200000</v>
          </cell>
          <cell r="L272">
            <v>0</v>
          </cell>
          <cell r="M272">
            <v>2200000</v>
          </cell>
        </row>
        <row r="273">
          <cell r="E273" t="str">
            <v>Raska, UD</v>
          </cell>
          <cell r="I273">
            <v>2076000</v>
          </cell>
          <cell r="L273">
            <v>2076000</v>
          </cell>
          <cell r="M273">
            <v>0</v>
          </cell>
        </row>
        <row r="274">
          <cell r="E274" t="str">
            <v>Raska, UD</v>
          </cell>
          <cell r="I274">
            <v>6420000</v>
          </cell>
          <cell r="L274">
            <v>0</v>
          </cell>
          <cell r="M274">
            <v>6420000</v>
          </cell>
        </row>
        <row r="275">
          <cell r="E275" t="str">
            <v>Rindi Tani</v>
          </cell>
          <cell r="I275">
            <v>2597800</v>
          </cell>
          <cell r="L275">
            <v>2597800</v>
          </cell>
          <cell r="M275">
            <v>0</v>
          </cell>
        </row>
        <row r="276">
          <cell r="E276" t="str">
            <v>Rindi Tani</v>
          </cell>
          <cell r="I276">
            <v>4542000</v>
          </cell>
          <cell r="L276">
            <v>0</v>
          </cell>
          <cell r="M276">
            <v>4542000</v>
          </cell>
        </row>
        <row r="277">
          <cell r="E277" t="str">
            <v>Riski Tani/Hadi</v>
          </cell>
          <cell r="I277">
            <v>19200000</v>
          </cell>
          <cell r="L277">
            <v>0</v>
          </cell>
          <cell r="M277">
            <v>19200000</v>
          </cell>
        </row>
        <row r="278">
          <cell r="E278" t="str">
            <v>Riski Tani/Hadi</v>
          </cell>
          <cell r="I278">
            <v>6200000</v>
          </cell>
          <cell r="L278">
            <v>0</v>
          </cell>
          <cell r="M278">
            <v>6200000</v>
          </cell>
        </row>
        <row r="279">
          <cell r="E279" t="str">
            <v>Riski Tani/Hadi</v>
          </cell>
          <cell r="I279">
            <v>8100000</v>
          </cell>
          <cell r="L279">
            <v>0</v>
          </cell>
          <cell r="M279">
            <v>8100000</v>
          </cell>
        </row>
        <row r="280">
          <cell r="E280" t="str">
            <v>Riski Tani/Hadi</v>
          </cell>
          <cell r="I280">
            <v>2000000</v>
          </cell>
          <cell r="L280">
            <v>0</v>
          </cell>
          <cell r="M280">
            <v>2000000</v>
          </cell>
        </row>
        <row r="281">
          <cell r="E281" t="str">
            <v>Riski Tani/Hadi</v>
          </cell>
          <cell r="I281">
            <v>10400000</v>
          </cell>
          <cell r="L281">
            <v>0</v>
          </cell>
          <cell r="M281">
            <v>10400000</v>
          </cell>
        </row>
        <row r="282">
          <cell r="E282" t="str">
            <v>Riski Tani/Hadi</v>
          </cell>
          <cell r="I282">
            <v>920000</v>
          </cell>
          <cell r="L282">
            <v>0</v>
          </cell>
          <cell r="M282">
            <v>920000</v>
          </cell>
        </row>
        <row r="283">
          <cell r="E283" t="str">
            <v>Riski Tani/Hadi</v>
          </cell>
          <cell r="I283">
            <v>5200000</v>
          </cell>
          <cell r="L283">
            <v>0</v>
          </cell>
          <cell r="M283">
            <v>5200000</v>
          </cell>
        </row>
        <row r="284">
          <cell r="E284" t="str">
            <v>Riski Tani/Hadi</v>
          </cell>
          <cell r="I284">
            <v>3800000</v>
          </cell>
          <cell r="L284">
            <v>0</v>
          </cell>
          <cell r="M284">
            <v>3800000</v>
          </cell>
        </row>
        <row r="285">
          <cell r="E285" t="str">
            <v>Riski Tani/Hadi</v>
          </cell>
          <cell r="I285">
            <v>3500000</v>
          </cell>
          <cell r="L285">
            <v>0</v>
          </cell>
          <cell r="M285">
            <v>3500000</v>
          </cell>
        </row>
        <row r="286">
          <cell r="E286" t="str">
            <v>Riski Tani/Hadi</v>
          </cell>
          <cell r="I286">
            <v>2962500</v>
          </cell>
          <cell r="L286">
            <v>0</v>
          </cell>
          <cell r="M286">
            <v>2962500</v>
          </cell>
        </row>
        <row r="287">
          <cell r="E287" t="str">
            <v>Riski Tani/Hadi</v>
          </cell>
          <cell r="I287">
            <v>5700000</v>
          </cell>
          <cell r="L287">
            <v>0</v>
          </cell>
          <cell r="M287">
            <v>5700000</v>
          </cell>
        </row>
        <row r="288">
          <cell r="E288" t="str">
            <v>Riski Tani/Hadi</v>
          </cell>
          <cell r="I288">
            <v>5420000</v>
          </cell>
          <cell r="L288">
            <v>0</v>
          </cell>
          <cell r="M288">
            <v>5420000</v>
          </cell>
        </row>
        <row r="289">
          <cell r="E289" t="str">
            <v>Riski Tani/Hadi</v>
          </cell>
          <cell r="I289">
            <v>17640000</v>
          </cell>
          <cell r="L289">
            <v>0</v>
          </cell>
          <cell r="M289">
            <v>17640000</v>
          </cell>
        </row>
        <row r="290">
          <cell r="E290" t="str">
            <v>Riski Tani/Hadi</v>
          </cell>
          <cell r="I290">
            <v>3500000</v>
          </cell>
          <cell r="L290">
            <v>0</v>
          </cell>
          <cell r="M290">
            <v>3500000</v>
          </cell>
        </row>
        <row r="291">
          <cell r="E291" t="str">
            <v>Riski Tani/Hadi</v>
          </cell>
          <cell r="I291">
            <v>1840000</v>
          </cell>
          <cell r="L291">
            <v>0</v>
          </cell>
          <cell r="M291">
            <v>1840000</v>
          </cell>
        </row>
        <row r="292">
          <cell r="E292" t="str">
            <v>Rizki, UD/Kusnyoto</v>
          </cell>
          <cell r="I292">
            <v>10400000</v>
          </cell>
          <cell r="L292">
            <v>2900000</v>
          </cell>
          <cell r="M292">
            <v>7500000</v>
          </cell>
        </row>
        <row r="293">
          <cell r="E293" t="str">
            <v>Sekumpul Tani/Nofal</v>
          </cell>
          <cell r="I293">
            <v>7000000</v>
          </cell>
          <cell r="L293">
            <v>0</v>
          </cell>
          <cell r="M293">
            <v>7000000</v>
          </cell>
        </row>
        <row r="294">
          <cell r="E294" t="str">
            <v>Semar/Wasto</v>
          </cell>
          <cell r="I294">
            <v>490000</v>
          </cell>
          <cell r="L294">
            <v>490000</v>
          </cell>
          <cell r="M294">
            <v>0</v>
          </cell>
        </row>
        <row r="295">
          <cell r="E295" t="str">
            <v>Semar/Wasto</v>
          </cell>
          <cell r="I295">
            <v>5272000</v>
          </cell>
          <cell r="L295">
            <v>5272000</v>
          </cell>
          <cell r="M295">
            <v>0</v>
          </cell>
        </row>
        <row r="296">
          <cell r="E296" t="str">
            <v>Sumber Tani/Eko Wardono</v>
          </cell>
          <cell r="I296">
            <v>8200000</v>
          </cell>
          <cell r="L296">
            <v>8200000</v>
          </cell>
          <cell r="M296">
            <v>0</v>
          </cell>
        </row>
        <row r="297">
          <cell r="E297" t="str">
            <v>Sumber Tani/Eko Wardono</v>
          </cell>
          <cell r="I297">
            <v>2640000</v>
          </cell>
          <cell r="L297">
            <v>2640000</v>
          </cell>
          <cell r="M297">
            <v>0</v>
          </cell>
        </row>
        <row r="298">
          <cell r="E298" t="str">
            <v>Sumber Tani/Eko Wardono</v>
          </cell>
          <cell r="I298">
            <v>9500000</v>
          </cell>
          <cell r="L298">
            <v>9500000</v>
          </cell>
          <cell r="M298">
            <v>0</v>
          </cell>
        </row>
        <row r="299">
          <cell r="E299" t="str">
            <v>Sumber Tani/Eko Wardono</v>
          </cell>
          <cell r="I299">
            <v>8210000</v>
          </cell>
          <cell r="L299">
            <v>0</v>
          </cell>
          <cell r="M299">
            <v>8210000</v>
          </cell>
        </row>
        <row r="300">
          <cell r="E300" t="str">
            <v>Sumber Tani/Eko Wardono</v>
          </cell>
          <cell r="I300">
            <v>1410000</v>
          </cell>
          <cell r="L300">
            <v>0</v>
          </cell>
          <cell r="M300">
            <v>1410000</v>
          </cell>
        </row>
        <row r="301">
          <cell r="E301" t="str">
            <v>Sumber Tani/Eko Wardono</v>
          </cell>
          <cell r="I301">
            <v>7730000</v>
          </cell>
          <cell r="L301">
            <v>0</v>
          </cell>
          <cell r="M301">
            <v>7730000</v>
          </cell>
        </row>
        <row r="302">
          <cell r="E302" t="str">
            <v>Sumber Tani/Eko Wardono</v>
          </cell>
          <cell r="I302">
            <v>7480000</v>
          </cell>
          <cell r="L302">
            <v>0</v>
          </cell>
          <cell r="M302">
            <v>7480000</v>
          </cell>
        </row>
        <row r="303">
          <cell r="E303" t="str">
            <v>Tani Jaya/Mul</v>
          </cell>
          <cell r="I303">
            <v>4525000</v>
          </cell>
          <cell r="L303">
            <v>4525000</v>
          </cell>
          <cell r="M303">
            <v>0</v>
          </cell>
        </row>
        <row r="304">
          <cell r="E304" t="str">
            <v>Tani Joss</v>
          </cell>
          <cell r="I304">
            <v>5968000</v>
          </cell>
          <cell r="L304">
            <v>0</v>
          </cell>
          <cell r="M304">
            <v>5968000</v>
          </cell>
        </row>
        <row r="305">
          <cell r="E305" t="str">
            <v>Tani Joss</v>
          </cell>
          <cell r="I305">
            <v>1510000</v>
          </cell>
          <cell r="L305">
            <v>0</v>
          </cell>
          <cell r="M305">
            <v>1510000</v>
          </cell>
        </row>
        <row r="306">
          <cell r="E306" t="str">
            <v>Tani Joss</v>
          </cell>
          <cell r="I306">
            <v>10803000</v>
          </cell>
          <cell r="L306">
            <v>0</v>
          </cell>
          <cell r="M306">
            <v>10803000</v>
          </cell>
        </row>
        <row r="307">
          <cell r="E307" t="str">
            <v>Tani Mulyo, UD/Bastian</v>
          </cell>
          <cell r="I307">
            <v>5100000</v>
          </cell>
          <cell r="L307">
            <v>0</v>
          </cell>
          <cell r="M307">
            <v>5100000</v>
          </cell>
        </row>
        <row r="308">
          <cell r="E308" t="str">
            <v>Tani Mulyo, UD/Bastian</v>
          </cell>
          <cell r="I308">
            <v>1965000</v>
          </cell>
          <cell r="L308">
            <v>0</v>
          </cell>
          <cell r="M308">
            <v>1965000</v>
          </cell>
        </row>
        <row r="309">
          <cell r="E309" t="str">
            <v>Tani Mulyo, UD/Bastian</v>
          </cell>
          <cell r="I309">
            <v>3090000</v>
          </cell>
          <cell r="L309">
            <v>0</v>
          </cell>
          <cell r="M309">
            <v>3090000</v>
          </cell>
        </row>
        <row r="310">
          <cell r="E310" t="str">
            <v>Tani Mulyo, UD/Bastian</v>
          </cell>
          <cell r="I310">
            <v>1960000</v>
          </cell>
          <cell r="L310">
            <v>0</v>
          </cell>
          <cell r="M310">
            <v>1960000</v>
          </cell>
        </row>
        <row r="311">
          <cell r="E311" t="str">
            <v>Tretan Tani/Anam</v>
          </cell>
          <cell r="I311">
            <v>6030000</v>
          </cell>
          <cell r="L311">
            <v>6030000</v>
          </cell>
          <cell r="M311">
            <v>0</v>
          </cell>
        </row>
        <row r="312">
          <cell r="E312" t="str">
            <v>Tretan Tani/Anam</v>
          </cell>
          <cell r="I312">
            <v>6030000</v>
          </cell>
          <cell r="L312">
            <v>6030000</v>
          </cell>
          <cell r="M312">
            <v>0</v>
          </cell>
        </row>
        <row r="313">
          <cell r="E313" t="str">
            <v>Usaha Tani/Maria (Rofiqi Asiana)</v>
          </cell>
          <cell r="I313">
            <v>3702000</v>
          </cell>
          <cell r="L313">
            <v>0</v>
          </cell>
          <cell r="M313">
            <v>3702000</v>
          </cell>
        </row>
        <row r="314">
          <cell r="E314" t="str">
            <v>Usaha Tani/Maria (Rofiqi Asiana)</v>
          </cell>
          <cell r="I314">
            <v>425000</v>
          </cell>
          <cell r="L314">
            <v>0</v>
          </cell>
          <cell r="M314">
            <v>425000</v>
          </cell>
        </row>
        <row r="315">
          <cell r="E315" t="str">
            <v>Wijaya/Retty</v>
          </cell>
          <cell r="I315">
            <v>3400000</v>
          </cell>
          <cell r="L315">
            <v>3400000</v>
          </cell>
          <cell r="M315">
            <v>0</v>
          </cell>
        </row>
        <row r="316">
          <cell r="E316" t="str">
            <v>Wira Tani, UD</v>
          </cell>
          <cell r="I316">
            <v>3885000</v>
          </cell>
          <cell r="L316">
            <v>0</v>
          </cell>
          <cell r="M316">
            <v>3885000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 refreshError="1"/>
      <sheetData sheetId="3" refreshError="1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TAGPD"/>
      <sheetName val="Simulasi"/>
      <sheetName val="Sheet2 "/>
      <sheetName val="Sheet1"/>
      <sheetName val="Sheet2"/>
    </sheetNames>
    <sheetDataSet>
      <sheetData sheetId="0">
        <row r="12">
          <cell r="E12" t="str">
            <v>Afan/JAI</v>
          </cell>
          <cell r="I12">
            <v>9627000</v>
          </cell>
          <cell r="L12">
            <v>0</v>
          </cell>
          <cell r="M12">
            <v>9627000</v>
          </cell>
        </row>
        <row r="13">
          <cell r="E13" t="str">
            <v>Afan/JAI</v>
          </cell>
          <cell r="I13">
            <v>10079800</v>
          </cell>
          <cell r="L13">
            <v>0</v>
          </cell>
          <cell r="M13">
            <v>10079800</v>
          </cell>
        </row>
        <row r="14">
          <cell r="E14" t="str">
            <v>Andri Pristianto</v>
          </cell>
          <cell r="I14">
            <v>903500</v>
          </cell>
          <cell r="L14">
            <v>0</v>
          </cell>
          <cell r="M14">
            <v>903500</v>
          </cell>
        </row>
        <row r="15">
          <cell r="E15" t="str">
            <v>Aris/Tanindo</v>
          </cell>
          <cell r="I15">
            <v>13000000</v>
          </cell>
          <cell r="L15">
            <v>0</v>
          </cell>
          <cell r="M15">
            <v>13000000</v>
          </cell>
        </row>
        <row r="16">
          <cell r="E16" t="str">
            <v>Benih Citra Asia, PT</v>
          </cell>
          <cell r="I16">
            <v>1920000</v>
          </cell>
          <cell r="L16">
            <v>0</v>
          </cell>
          <cell r="M16">
            <v>1920000</v>
          </cell>
        </row>
        <row r="17">
          <cell r="E17" t="str">
            <v>Benih Citra Asia, PT</v>
          </cell>
          <cell r="I17">
            <v>21000</v>
          </cell>
          <cell r="L17">
            <v>0</v>
          </cell>
          <cell r="M17">
            <v>21000</v>
          </cell>
        </row>
        <row r="18">
          <cell r="E18" t="str">
            <v>Helmi Sarwoko</v>
          </cell>
          <cell r="I18">
            <v>13480000</v>
          </cell>
          <cell r="L18">
            <v>0</v>
          </cell>
          <cell r="M18">
            <v>13480000</v>
          </cell>
        </row>
        <row r="19">
          <cell r="E19" t="str">
            <v>Helmi Sarwoko</v>
          </cell>
          <cell r="I19">
            <v>4650000</v>
          </cell>
          <cell r="L19">
            <v>0</v>
          </cell>
          <cell r="M19">
            <v>4650000</v>
          </cell>
        </row>
        <row r="20">
          <cell r="E20" t="str">
            <v>Imam/Tanindo</v>
          </cell>
          <cell r="I20">
            <v>13860000</v>
          </cell>
          <cell r="L20">
            <v>0</v>
          </cell>
          <cell r="M20">
            <v>13860000</v>
          </cell>
        </row>
        <row r="21">
          <cell r="E21" t="str">
            <v>Imam/Tanindo</v>
          </cell>
          <cell r="I21">
            <v>15000000</v>
          </cell>
          <cell r="L21">
            <v>0</v>
          </cell>
          <cell r="M21">
            <v>15000000</v>
          </cell>
        </row>
        <row r="22">
          <cell r="E22" t="str">
            <v>Imam/Tanindo</v>
          </cell>
          <cell r="I22">
            <v>12250000</v>
          </cell>
          <cell r="L22">
            <v>0</v>
          </cell>
          <cell r="M22">
            <v>12250000</v>
          </cell>
        </row>
        <row r="23">
          <cell r="E23" t="str">
            <v>Imam/Tanindo</v>
          </cell>
          <cell r="I23">
            <v>495000</v>
          </cell>
          <cell r="L23">
            <v>0</v>
          </cell>
          <cell r="M23">
            <v>495000</v>
          </cell>
        </row>
        <row r="24">
          <cell r="E24" t="str">
            <v>Imam/Tanindo</v>
          </cell>
          <cell r="I24">
            <v>495000</v>
          </cell>
          <cell r="L24">
            <v>0</v>
          </cell>
          <cell r="M24">
            <v>495000</v>
          </cell>
        </row>
        <row r="25">
          <cell r="E25" t="str">
            <v>Imam/Tanindo</v>
          </cell>
          <cell r="I25">
            <v>495000</v>
          </cell>
          <cell r="L25">
            <v>0</v>
          </cell>
          <cell r="M25">
            <v>495000</v>
          </cell>
        </row>
        <row r="26">
          <cell r="E26" t="str">
            <v>Imam/Tanindo</v>
          </cell>
          <cell r="I26">
            <v>495000</v>
          </cell>
          <cell r="L26">
            <v>0</v>
          </cell>
          <cell r="M26">
            <v>495000</v>
          </cell>
        </row>
        <row r="27">
          <cell r="E27" t="str">
            <v>Imam/Tanindo</v>
          </cell>
          <cell r="I27">
            <v>396000</v>
          </cell>
          <cell r="L27">
            <v>0</v>
          </cell>
          <cell r="M27">
            <v>396000</v>
          </cell>
        </row>
        <row r="28">
          <cell r="E28" t="str">
            <v>Imam/Tanindo</v>
          </cell>
          <cell r="I28">
            <v>16128500</v>
          </cell>
          <cell r="L28">
            <v>0</v>
          </cell>
          <cell r="M28">
            <v>16128500</v>
          </cell>
        </row>
        <row r="29">
          <cell r="E29" t="str">
            <v>Imam/Tanindo</v>
          </cell>
          <cell r="I29">
            <v>330000</v>
          </cell>
          <cell r="L29">
            <v>0</v>
          </cell>
          <cell r="M29">
            <v>330000</v>
          </cell>
        </row>
        <row r="30">
          <cell r="E30" t="str">
            <v>Imam/Tanindo</v>
          </cell>
          <cell r="I30">
            <v>825000</v>
          </cell>
          <cell r="L30">
            <v>0</v>
          </cell>
          <cell r="M30">
            <v>825000</v>
          </cell>
        </row>
        <row r="31">
          <cell r="E31" t="str">
            <v>Imam/Tanindo</v>
          </cell>
          <cell r="I31">
            <v>16700000</v>
          </cell>
          <cell r="L31">
            <v>0</v>
          </cell>
          <cell r="M31">
            <v>16700000</v>
          </cell>
        </row>
        <row r="32">
          <cell r="E32" t="str">
            <v>Imam/Tanindo</v>
          </cell>
          <cell r="I32">
            <v>18000000</v>
          </cell>
          <cell r="L32">
            <v>0</v>
          </cell>
          <cell r="M32">
            <v>18000000</v>
          </cell>
        </row>
        <row r="33">
          <cell r="E33" t="str">
            <v>Kalatham, PT</v>
          </cell>
          <cell r="I33">
            <v>121297750</v>
          </cell>
          <cell r="L33">
            <v>0</v>
          </cell>
          <cell r="M33">
            <v>121297750</v>
          </cell>
        </row>
        <row r="34">
          <cell r="E34" t="str">
            <v>Kalatham, PT</v>
          </cell>
          <cell r="I34">
            <v>35564000</v>
          </cell>
          <cell r="L34">
            <v>0</v>
          </cell>
          <cell r="M34">
            <v>35564000</v>
          </cell>
        </row>
        <row r="35">
          <cell r="E35" t="str">
            <v>Nugroho Idi Sasetyo</v>
          </cell>
          <cell r="I35">
            <v>19755000</v>
          </cell>
          <cell r="L35">
            <v>0</v>
          </cell>
          <cell r="M35">
            <v>19755000</v>
          </cell>
        </row>
        <row r="36">
          <cell r="E36" t="str">
            <v>Nugroho Idi Sasetyo</v>
          </cell>
          <cell r="I36">
            <v>22350000</v>
          </cell>
          <cell r="L36">
            <v>0</v>
          </cell>
          <cell r="M36">
            <v>22350000</v>
          </cell>
        </row>
        <row r="37">
          <cell r="E37" t="str">
            <v>Nugroho Susilo/MSI</v>
          </cell>
          <cell r="I37">
            <v>15089000</v>
          </cell>
          <cell r="L37">
            <v>0</v>
          </cell>
          <cell r="M37">
            <v>15089000</v>
          </cell>
        </row>
        <row r="38">
          <cell r="E38" t="str">
            <v>Sigit/Bayer</v>
          </cell>
          <cell r="I38">
            <v>3272750</v>
          </cell>
          <cell r="L38">
            <v>0</v>
          </cell>
          <cell r="M38">
            <v>3272750</v>
          </cell>
        </row>
        <row r="39">
          <cell r="E39" t="str">
            <v>Sumber Eka Tani/Alief</v>
          </cell>
          <cell r="I39">
            <v>2000000</v>
          </cell>
          <cell r="L39">
            <v>0</v>
          </cell>
          <cell r="M39">
            <v>2000000</v>
          </cell>
        </row>
        <row r="40">
          <cell r="E40" t="str">
            <v>Sumber Eka Tani/Alief</v>
          </cell>
          <cell r="I40">
            <v>7700000</v>
          </cell>
          <cell r="L40">
            <v>0</v>
          </cell>
          <cell r="M40">
            <v>7700000</v>
          </cell>
        </row>
        <row r="41">
          <cell r="E41" t="str">
            <v>Tani Makmur 2</v>
          </cell>
          <cell r="I41">
            <v>18000000</v>
          </cell>
          <cell r="L41">
            <v>0</v>
          </cell>
          <cell r="M41">
            <v>18000000</v>
          </cell>
        </row>
        <row r="42">
          <cell r="E42" t="str">
            <v>Wijaya/Retty</v>
          </cell>
          <cell r="I42">
            <v>4920000</v>
          </cell>
          <cell r="L42">
            <v>0</v>
          </cell>
          <cell r="M42">
            <v>4920000</v>
          </cell>
        </row>
        <row r="43">
          <cell r="E43" t="str">
            <v>Al Badar/Badar, H</v>
          </cell>
          <cell r="I43">
            <v>595000</v>
          </cell>
          <cell r="L43">
            <v>0</v>
          </cell>
          <cell r="M43">
            <v>595000</v>
          </cell>
        </row>
        <row r="44">
          <cell r="E44" t="str">
            <v>Al Badar/Badar, H</v>
          </cell>
          <cell r="I44">
            <v>4100000</v>
          </cell>
          <cell r="L44">
            <v>0</v>
          </cell>
          <cell r="M44">
            <v>4100000</v>
          </cell>
        </row>
        <row r="45">
          <cell r="E45" t="str">
            <v>Al Badar/Badar, H</v>
          </cell>
          <cell r="I45">
            <v>1720000</v>
          </cell>
          <cell r="L45">
            <v>0</v>
          </cell>
          <cell r="M45">
            <v>1720000</v>
          </cell>
        </row>
        <row r="46">
          <cell r="E46" t="str">
            <v>Al Badar/Badar, H</v>
          </cell>
          <cell r="I46">
            <v>1090000</v>
          </cell>
          <cell r="L46">
            <v>0</v>
          </cell>
          <cell r="M46">
            <v>1090000</v>
          </cell>
        </row>
        <row r="47">
          <cell r="E47" t="str">
            <v>Bumi Jaya, UD/Farida</v>
          </cell>
          <cell r="I47">
            <v>9800000</v>
          </cell>
          <cell r="L47">
            <v>0</v>
          </cell>
          <cell r="M47">
            <v>9800000</v>
          </cell>
        </row>
        <row r="48">
          <cell r="E48" t="str">
            <v>Bumi Jaya, UD/Farida</v>
          </cell>
          <cell r="I48">
            <v>21840000</v>
          </cell>
          <cell r="L48">
            <v>0</v>
          </cell>
          <cell r="M48">
            <v>21840000</v>
          </cell>
        </row>
        <row r="49">
          <cell r="E49" t="str">
            <v>Bumi Jaya, UD/Farida</v>
          </cell>
          <cell r="I49">
            <v>27750000</v>
          </cell>
          <cell r="L49">
            <v>0</v>
          </cell>
          <cell r="M49">
            <v>27750000</v>
          </cell>
        </row>
        <row r="50">
          <cell r="E50" t="str">
            <v>Bumi Jaya, UD/Farida</v>
          </cell>
          <cell r="I50">
            <v>5400000</v>
          </cell>
          <cell r="L50">
            <v>0</v>
          </cell>
          <cell r="M50">
            <v>5400000</v>
          </cell>
        </row>
        <row r="51">
          <cell r="E51" t="str">
            <v>Bumi Jaya, UD/Farida</v>
          </cell>
          <cell r="I51">
            <v>2795000</v>
          </cell>
          <cell r="L51">
            <v>0</v>
          </cell>
          <cell r="M51">
            <v>2795000</v>
          </cell>
        </row>
        <row r="52">
          <cell r="E52" t="str">
            <v>Bumi Jaya, UD/Farida</v>
          </cell>
          <cell r="I52">
            <v>11762800</v>
          </cell>
          <cell r="L52">
            <v>0</v>
          </cell>
          <cell r="M52">
            <v>11762800</v>
          </cell>
        </row>
        <row r="53">
          <cell r="E53" t="str">
            <v>Bumi Jaya, UD/Farida</v>
          </cell>
          <cell r="I53">
            <v>2190000</v>
          </cell>
          <cell r="L53">
            <v>0</v>
          </cell>
          <cell r="M53">
            <v>2190000</v>
          </cell>
        </row>
        <row r="54">
          <cell r="E54" t="str">
            <v>Bumi Jaya, UD/Farida</v>
          </cell>
          <cell r="I54">
            <v>1400000</v>
          </cell>
          <cell r="L54">
            <v>0</v>
          </cell>
          <cell r="M54">
            <v>1400000</v>
          </cell>
        </row>
        <row r="55">
          <cell r="E55" t="str">
            <v>Bumi Jaya, UD/Farida</v>
          </cell>
          <cell r="I55">
            <v>4560000</v>
          </cell>
          <cell r="L55">
            <v>0</v>
          </cell>
          <cell r="M55">
            <v>4560000</v>
          </cell>
        </row>
        <row r="56">
          <cell r="E56" t="str">
            <v>Damar Batur Nusantara</v>
          </cell>
          <cell r="I56">
            <v>3300000</v>
          </cell>
          <cell r="L56">
            <v>0</v>
          </cell>
          <cell r="M56">
            <v>3300000</v>
          </cell>
        </row>
        <row r="57">
          <cell r="E57" t="str">
            <v>Damar Batur Nusantara</v>
          </cell>
          <cell r="I57">
            <v>47500000</v>
          </cell>
          <cell r="L57">
            <v>0</v>
          </cell>
          <cell r="M57">
            <v>47500000</v>
          </cell>
        </row>
        <row r="58">
          <cell r="E58" t="str">
            <v>Damar Batur Nusantara</v>
          </cell>
          <cell r="I58">
            <v>12105000</v>
          </cell>
          <cell r="L58">
            <v>0</v>
          </cell>
          <cell r="M58">
            <v>12105000</v>
          </cell>
        </row>
        <row r="59">
          <cell r="E59" t="str">
            <v>Damar Batur Nusantara</v>
          </cell>
          <cell r="I59">
            <v>10000000</v>
          </cell>
          <cell r="L59">
            <v>0</v>
          </cell>
          <cell r="M59">
            <v>10000000</v>
          </cell>
        </row>
        <row r="60">
          <cell r="E60" t="str">
            <v>Damar Batur Nusantara</v>
          </cell>
          <cell r="I60">
            <v>50235000</v>
          </cell>
          <cell r="L60">
            <v>0</v>
          </cell>
          <cell r="M60">
            <v>50235000</v>
          </cell>
        </row>
        <row r="61">
          <cell r="E61" t="str">
            <v>Damar Batur Nusantara</v>
          </cell>
          <cell r="I61">
            <v>3480000</v>
          </cell>
          <cell r="L61">
            <v>0</v>
          </cell>
          <cell r="M61">
            <v>3480000</v>
          </cell>
        </row>
        <row r="62">
          <cell r="E62" t="str">
            <v>Damar Batur Nusantara</v>
          </cell>
          <cell r="I62">
            <v>34950000</v>
          </cell>
          <cell r="L62">
            <v>0</v>
          </cell>
          <cell r="M62">
            <v>34950000</v>
          </cell>
        </row>
        <row r="63">
          <cell r="E63" t="str">
            <v>Damar Batur Nusantara</v>
          </cell>
          <cell r="I63">
            <v>39022500</v>
          </cell>
          <cell r="L63">
            <v>0</v>
          </cell>
          <cell r="M63">
            <v>39022500</v>
          </cell>
        </row>
        <row r="64">
          <cell r="E64" t="str">
            <v>Damar Batur Nusantara</v>
          </cell>
          <cell r="I64">
            <v>32700000</v>
          </cell>
          <cell r="L64">
            <v>0</v>
          </cell>
          <cell r="M64">
            <v>32700000</v>
          </cell>
        </row>
        <row r="65">
          <cell r="E65" t="str">
            <v>Damar Batur Nusantara</v>
          </cell>
          <cell r="I65">
            <v>44200000</v>
          </cell>
          <cell r="L65">
            <v>0</v>
          </cell>
          <cell r="M65">
            <v>44200000</v>
          </cell>
        </row>
        <row r="66">
          <cell r="E66" t="str">
            <v>Damar Batur Nusantara</v>
          </cell>
          <cell r="I66">
            <v>2749500</v>
          </cell>
          <cell r="L66">
            <v>0</v>
          </cell>
          <cell r="M66">
            <v>2749500</v>
          </cell>
        </row>
        <row r="67">
          <cell r="E67" t="str">
            <v>Damar Batur Nusantara</v>
          </cell>
          <cell r="I67">
            <v>47500000</v>
          </cell>
          <cell r="L67">
            <v>0</v>
          </cell>
          <cell r="M67">
            <v>47500000</v>
          </cell>
        </row>
        <row r="68">
          <cell r="E68" t="str">
            <v>Damar Batur Nusantara</v>
          </cell>
          <cell r="I68">
            <v>105140000</v>
          </cell>
          <cell r="L68">
            <v>0</v>
          </cell>
          <cell r="M68">
            <v>105140000</v>
          </cell>
        </row>
        <row r="69">
          <cell r="E69" t="str">
            <v>Damar Batur Nusantara</v>
          </cell>
          <cell r="I69">
            <v>50400000</v>
          </cell>
          <cell r="L69">
            <v>0</v>
          </cell>
          <cell r="M69">
            <v>50400000</v>
          </cell>
        </row>
        <row r="70">
          <cell r="E70" t="str">
            <v>Eko Prayitno/MIA</v>
          </cell>
          <cell r="I70">
            <v>4523500</v>
          </cell>
          <cell r="L70">
            <v>0</v>
          </cell>
          <cell r="M70">
            <v>4523500</v>
          </cell>
        </row>
        <row r="71">
          <cell r="E71" t="str">
            <v>Luhur Tani/M. Itqon</v>
          </cell>
          <cell r="I71">
            <v>4500000</v>
          </cell>
          <cell r="L71">
            <v>0</v>
          </cell>
          <cell r="M71">
            <v>4500000</v>
          </cell>
        </row>
        <row r="72">
          <cell r="E72" t="str">
            <v>Luhur Tani/M. Itqon</v>
          </cell>
          <cell r="I72">
            <v>1000000</v>
          </cell>
          <cell r="L72">
            <v>0</v>
          </cell>
          <cell r="M72">
            <v>1000000</v>
          </cell>
        </row>
        <row r="73">
          <cell r="E73" t="str">
            <v>Moga Berkah/Robid</v>
          </cell>
          <cell r="I73">
            <v>2680000</v>
          </cell>
          <cell r="L73">
            <v>0</v>
          </cell>
          <cell r="M73">
            <v>2680000</v>
          </cell>
        </row>
        <row r="74">
          <cell r="E74" t="str">
            <v>Mulyadi/Kenso</v>
          </cell>
          <cell r="I74">
            <v>45000000</v>
          </cell>
          <cell r="L74">
            <v>5064000</v>
          </cell>
          <cell r="M74">
            <v>39936000</v>
          </cell>
        </row>
        <row r="75">
          <cell r="E75" t="str">
            <v>Puji Barokah Tani</v>
          </cell>
          <cell r="I75">
            <v>1100000</v>
          </cell>
          <cell r="L75">
            <v>0</v>
          </cell>
          <cell r="M75">
            <v>1100000</v>
          </cell>
        </row>
        <row r="76">
          <cell r="E76" t="str">
            <v>Riski Tani/Hadi</v>
          </cell>
          <cell r="I76">
            <v>20500000</v>
          </cell>
          <cell r="L76">
            <v>0</v>
          </cell>
          <cell r="M76">
            <v>20500000</v>
          </cell>
        </row>
        <row r="77">
          <cell r="E77" t="str">
            <v>Riski Tani/Hadi</v>
          </cell>
          <cell r="I77">
            <v>3800000</v>
          </cell>
          <cell r="L77">
            <v>0</v>
          </cell>
          <cell r="M77">
            <v>3800000</v>
          </cell>
        </row>
        <row r="78">
          <cell r="E78" t="str">
            <v>Riski Tani/Hadi</v>
          </cell>
          <cell r="I78">
            <v>4720000</v>
          </cell>
          <cell r="L78">
            <v>0</v>
          </cell>
          <cell r="M78">
            <v>4720000</v>
          </cell>
        </row>
        <row r="79">
          <cell r="E79" t="str">
            <v>Sahabat Tani/Abdul Rohman</v>
          </cell>
          <cell r="I79">
            <v>4760000</v>
          </cell>
          <cell r="L79">
            <v>0</v>
          </cell>
          <cell r="M79">
            <v>4760000</v>
          </cell>
        </row>
        <row r="80">
          <cell r="E80" t="str">
            <v>Sumber Eka Tani/Alief</v>
          </cell>
          <cell r="I80">
            <v>3985000</v>
          </cell>
          <cell r="L80">
            <v>0</v>
          </cell>
          <cell r="M80">
            <v>3985000</v>
          </cell>
        </row>
        <row r="81">
          <cell r="E81" t="str">
            <v>Sumber Tani/Farid</v>
          </cell>
          <cell r="I81">
            <v>20430000</v>
          </cell>
          <cell r="L81">
            <v>0</v>
          </cell>
          <cell r="M81">
            <v>20430000</v>
          </cell>
        </row>
        <row r="82">
          <cell r="E82" t="str">
            <v>Tani Jaya/Mul</v>
          </cell>
          <cell r="I82">
            <v>17360000</v>
          </cell>
          <cell r="L82">
            <v>0</v>
          </cell>
          <cell r="M82">
            <v>17360000</v>
          </cell>
        </row>
        <row r="83">
          <cell r="E83" t="str">
            <v>Tani Jaya/Mul</v>
          </cell>
          <cell r="I83">
            <v>6000000</v>
          </cell>
          <cell r="L83">
            <v>0</v>
          </cell>
          <cell r="M83">
            <v>6000000</v>
          </cell>
        </row>
        <row r="84">
          <cell r="E84" t="str">
            <v>Agro Suci/Bety</v>
          </cell>
          <cell r="I84">
            <v>1560000</v>
          </cell>
          <cell r="L84">
            <v>0</v>
          </cell>
          <cell r="M84">
            <v>1560000</v>
          </cell>
        </row>
        <row r="85">
          <cell r="E85" t="str">
            <v>Agro Suci/Bety</v>
          </cell>
          <cell r="I85">
            <v>48100000</v>
          </cell>
          <cell r="L85">
            <v>0</v>
          </cell>
          <cell r="M85">
            <v>48100000</v>
          </cell>
        </row>
        <row r="86">
          <cell r="E86" t="str">
            <v>Agro Suci/Bety</v>
          </cell>
          <cell r="I86">
            <v>90000</v>
          </cell>
          <cell r="L86">
            <v>0</v>
          </cell>
          <cell r="M86">
            <v>90000</v>
          </cell>
        </row>
        <row r="87">
          <cell r="E87" t="str">
            <v>Ahmad Arief/Syn</v>
          </cell>
          <cell r="I87">
            <v>1880000</v>
          </cell>
          <cell r="L87">
            <v>0</v>
          </cell>
          <cell r="M87">
            <v>1880000</v>
          </cell>
        </row>
        <row r="88">
          <cell r="E88" t="str">
            <v>Al Badar/Badar, H</v>
          </cell>
          <cell r="I88">
            <v>1840000</v>
          </cell>
          <cell r="L88">
            <v>0</v>
          </cell>
          <cell r="M88">
            <v>1840000</v>
          </cell>
        </row>
        <row r="89">
          <cell r="E89" t="str">
            <v>Al Badar/Badar, H</v>
          </cell>
          <cell r="I89">
            <v>7600000</v>
          </cell>
          <cell r="L89">
            <v>0</v>
          </cell>
          <cell r="M89">
            <v>7600000</v>
          </cell>
        </row>
        <row r="90">
          <cell r="E90" t="str">
            <v>Al Badar/Badar, H</v>
          </cell>
          <cell r="I90">
            <v>2720000</v>
          </cell>
          <cell r="L90">
            <v>0</v>
          </cell>
          <cell r="M90">
            <v>2720000</v>
          </cell>
        </row>
        <row r="91">
          <cell r="E91" t="str">
            <v>Al Badar/Badar, H</v>
          </cell>
          <cell r="I91">
            <v>1230000</v>
          </cell>
          <cell r="L91">
            <v>0</v>
          </cell>
          <cell r="M91">
            <v>1230000</v>
          </cell>
        </row>
        <row r="92">
          <cell r="E92" t="str">
            <v>Al Badar/Badar, H</v>
          </cell>
          <cell r="I92">
            <v>3350000</v>
          </cell>
          <cell r="L92">
            <v>0</v>
          </cell>
          <cell r="M92">
            <v>3350000</v>
          </cell>
        </row>
        <row r="93">
          <cell r="E93" t="str">
            <v>Al Badar/Badar, H</v>
          </cell>
          <cell r="I93">
            <v>4400000</v>
          </cell>
          <cell r="L93">
            <v>0</v>
          </cell>
          <cell r="M93">
            <v>4400000</v>
          </cell>
        </row>
        <row r="94">
          <cell r="E94" t="str">
            <v>Aminah Jaya Tani/Slamet</v>
          </cell>
          <cell r="I94">
            <v>1303000</v>
          </cell>
          <cell r="L94">
            <v>0</v>
          </cell>
          <cell r="M94">
            <v>1303000</v>
          </cell>
        </row>
        <row r="95">
          <cell r="E95" t="str">
            <v>Anggoro Makmur/Yayuk</v>
          </cell>
          <cell r="I95">
            <v>3472500</v>
          </cell>
          <cell r="L95">
            <v>0</v>
          </cell>
          <cell r="M95">
            <v>3472500</v>
          </cell>
        </row>
        <row r="96">
          <cell r="E96" t="str">
            <v>Anggoro Makmur/Yayuk</v>
          </cell>
          <cell r="I96">
            <v>4600000</v>
          </cell>
          <cell r="L96">
            <v>0</v>
          </cell>
          <cell r="M96">
            <v>4600000</v>
          </cell>
        </row>
        <row r="97">
          <cell r="E97" t="str">
            <v>Aris/Tanindo</v>
          </cell>
          <cell r="I97">
            <v>2300000</v>
          </cell>
          <cell r="L97">
            <v>0</v>
          </cell>
          <cell r="M97">
            <v>2300000</v>
          </cell>
        </row>
        <row r="98">
          <cell r="E98" t="str">
            <v>Aris/Tanindo</v>
          </cell>
          <cell r="I98">
            <v>17700000</v>
          </cell>
          <cell r="L98">
            <v>0</v>
          </cell>
          <cell r="M98">
            <v>17700000</v>
          </cell>
        </row>
        <row r="99">
          <cell r="E99" t="str">
            <v>Azis/Syngenta</v>
          </cell>
          <cell r="I99">
            <v>3760000</v>
          </cell>
          <cell r="L99">
            <v>0</v>
          </cell>
          <cell r="M99">
            <v>3760000</v>
          </cell>
        </row>
        <row r="100">
          <cell r="E100" t="str">
            <v>Bang Jali/Achmad Gozali</v>
          </cell>
          <cell r="I100">
            <v>14620000</v>
          </cell>
          <cell r="L100">
            <v>0</v>
          </cell>
          <cell r="M100">
            <v>14620000</v>
          </cell>
        </row>
        <row r="101">
          <cell r="E101" t="str">
            <v>Bang Jali/Achmad Gozali</v>
          </cell>
          <cell r="I101">
            <v>11340000</v>
          </cell>
          <cell r="L101">
            <v>0</v>
          </cell>
          <cell r="M101">
            <v>11340000</v>
          </cell>
        </row>
        <row r="102">
          <cell r="E102" t="str">
            <v>Berkah Tani/Intan Sri</v>
          </cell>
          <cell r="I102">
            <v>6300000</v>
          </cell>
          <cell r="L102">
            <v>0</v>
          </cell>
          <cell r="M102">
            <v>6300000</v>
          </cell>
        </row>
        <row r="103">
          <cell r="E103" t="str">
            <v>Bima Tani Jaya/Kevin Pratama</v>
          </cell>
          <cell r="I103">
            <v>7440000</v>
          </cell>
          <cell r="L103">
            <v>0</v>
          </cell>
          <cell r="M103">
            <v>7440000</v>
          </cell>
        </row>
        <row r="104">
          <cell r="E104" t="str">
            <v>Bima Tani Jaya/Kevin Pratama</v>
          </cell>
          <cell r="I104">
            <v>11000000</v>
          </cell>
          <cell r="L104">
            <v>0</v>
          </cell>
          <cell r="M104">
            <v>11000000</v>
          </cell>
        </row>
        <row r="105">
          <cell r="E105" t="str">
            <v>Bima Tani Jaya/Kevin Pratama</v>
          </cell>
          <cell r="I105">
            <v>9250000</v>
          </cell>
          <cell r="L105">
            <v>0</v>
          </cell>
          <cell r="M105">
            <v>9250000</v>
          </cell>
        </row>
        <row r="106">
          <cell r="E106" t="str">
            <v>Bintang Mulia Tani/Yuda</v>
          </cell>
          <cell r="I106">
            <v>3000000</v>
          </cell>
          <cell r="L106">
            <v>0</v>
          </cell>
          <cell r="M106">
            <v>3000000</v>
          </cell>
        </row>
        <row r="107">
          <cell r="E107" t="str">
            <v>Bintang Sejahtera</v>
          </cell>
          <cell r="I107">
            <v>3500000</v>
          </cell>
          <cell r="L107">
            <v>0</v>
          </cell>
          <cell r="M107">
            <v>3500000</v>
          </cell>
        </row>
        <row r="108">
          <cell r="E108" t="str">
            <v>Bumi Jaya, UD/Farida</v>
          </cell>
          <cell r="I108">
            <v>10275000</v>
          </cell>
          <cell r="L108">
            <v>0</v>
          </cell>
          <cell r="M108">
            <v>10275000</v>
          </cell>
        </row>
        <row r="109">
          <cell r="E109" t="str">
            <v>Bumi Jaya, UD/Farida</v>
          </cell>
          <cell r="I109">
            <v>560000</v>
          </cell>
          <cell r="L109">
            <v>0</v>
          </cell>
          <cell r="M109">
            <v>560000</v>
          </cell>
        </row>
        <row r="110">
          <cell r="E110" t="str">
            <v>Bumi Jaya, UD/Farida</v>
          </cell>
          <cell r="I110">
            <v>2800000</v>
          </cell>
          <cell r="L110">
            <v>0</v>
          </cell>
          <cell r="M110">
            <v>2800000</v>
          </cell>
        </row>
        <row r="111">
          <cell r="E111" t="str">
            <v>Bumi Jaya, UD/Farida</v>
          </cell>
          <cell r="I111">
            <v>8400000</v>
          </cell>
          <cell r="L111">
            <v>0</v>
          </cell>
          <cell r="M111">
            <v>8400000</v>
          </cell>
        </row>
        <row r="112">
          <cell r="E112" t="str">
            <v>Bumi Jaya, UD/Farida</v>
          </cell>
          <cell r="I112">
            <v>1975000</v>
          </cell>
          <cell r="L112">
            <v>0</v>
          </cell>
          <cell r="M112">
            <v>1975000</v>
          </cell>
        </row>
        <row r="113">
          <cell r="E113" t="str">
            <v>Bumi Jaya, UD/Farida</v>
          </cell>
          <cell r="I113">
            <v>17125000</v>
          </cell>
          <cell r="L113">
            <v>0</v>
          </cell>
          <cell r="M113">
            <v>17125000</v>
          </cell>
        </row>
        <row r="114">
          <cell r="E114" t="str">
            <v>Bumi Jaya, UD/Farida</v>
          </cell>
          <cell r="I114">
            <v>12380000</v>
          </cell>
          <cell r="L114">
            <v>0</v>
          </cell>
          <cell r="M114">
            <v>12380000</v>
          </cell>
        </row>
        <row r="115">
          <cell r="E115" t="str">
            <v>Bumi Jaya, UD/Farida</v>
          </cell>
          <cell r="I115">
            <v>5623000</v>
          </cell>
          <cell r="L115">
            <v>0</v>
          </cell>
          <cell r="M115">
            <v>5623000</v>
          </cell>
        </row>
        <row r="116">
          <cell r="E116" t="str">
            <v>Bumi Tani 2/Hafid</v>
          </cell>
          <cell r="I116">
            <v>2000000</v>
          </cell>
          <cell r="L116">
            <v>0</v>
          </cell>
          <cell r="M116">
            <v>2000000</v>
          </cell>
        </row>
        <row r="117">
          <cell r="E117" t="str">
            <v>Cahaya Tani/Rudi</v>
          </cell>
          <cell r="I117">
            <v>8818500</v>
          </cell>
          <cell r="L117">
            <v>0</v>
          </cell>
          <cell r="M117">
            <v>8818500</v>
          </cell>
        </row>
        <row r="118">
          <cell r="E118" t="str">
            <v>Cipta Tani/Mohammad Rohim</v>
          </cell>
          <cell r="I118">
            <v>2580000</v>
          </cell>
          <cell r="L118">
            <v>0</v>
          </cell>
          <cell r="M118">
            <v>2580000</v>
          </cell>
        </row>
        <row r="119">
          <cell r="E119" t="str">
            <v>Cipta Tani/Mohammad Rohim</v>
          </cell>
          <cell r="I119">
            <v>5080000</v>
          </cell>
          <cell r="L119">
            <v>0</v>
          </cell>
          <cell r="M119">
            <v>5080000</v>
          </cell>
        </row>
        <row r="120">
          <cell r="E120" t="str">
            <v>Cipta Tani/Mohammad Rohim</v>
          </cell>
          <cell r="I120">
            <v>6300000</v>
          </cell>
          <cell r="L120">
            <v>0</v>
          </cell>
          <cell r="M120">
            <v>6300000</v>
          </cell>
        </row>
        <row r="121">
          <cell r="E121" t="str">
            <v>Cipta Tani/Mohammad Rohim</v>
          </cell>
          <cell r="I121">
            <v>7440000</v>
          </cell>
          <cell r="L121">
            <v>0</v>
          </cell>
          <cell r="M121">
            <v>7440000</v>
          </cell>
        </row>
        <row r="122">
          <cell r="E122" t="str">
            <v>Cipta Tani/Mohammad Rohim</v>
          </cell>
          <cell r="I122">
            <v>1700000</v>
          </cell>
          <cell r="L122">
            <v>0</v>
          </cell>
          <cell r="M122">
            <v>1700000</v>
          </cell>
        </row>
        <row r="123">
          <cell r="E123" t="str">
            <v>Damar Batur Nusantara</v>
          </cell>
          <cell r="I123">
            <v>6600000</v>
          </cell>
          <cell r="L123">
            <v>0</v>
          </cell>
          <cell r="M123">
            <v>6600000</v>
          </cell>
        </row>
        <row r="124">
          <cell r="E124" t="str">
            <v>Damar Batur Nusantara</v>
          </cell>
          <cell r="I124">
            <v>48100000</v>
          </cell>
          <cell r="L124">
            <v>0</v>
          </cell>
          <cell r="M124">
            <v>48100000</v>
          </cell>
        </row>
        <row r="125">
          <cell r="E125" t="str">
            <v>Damar Batur Nusantara</v>
          </cell>
          <cell r="I125">
            <v>20000000</v>
          </cell>
          <cell r="L125">
            <v>0</v>
          </cell>
          <cell r="M125">
            <v>20000000</v>
          </cell>
        </row>
        <row r="126">
          <cell r="E126" t="str">
            <v>Damar Batur Nusantara</v>
          </cell>
          <cell r="I126">
            <v>20000000</v>
          </cell>
          <cell r="L126">
            <v>0</v>
          </cell>
          <cell r="M126">
            <v>20000000</v>
          </cell>
        </row>
        <row r="127">
          <cell r="E127" t="str">
            <v>Damar Batur Nusantara</v>
          </cell>
          <cell r="I127">
            <v>24750000</v>
          </cell>
          <cell r="L127">
            <v>0</v>
          </cell>
          <cell r="M127">
            <v>24750000</v>
          </cell>
        </row>
        <row r="128">
          <cell r="E128" t="str">
            <v>Damar Batur Nusantara</v>
          </cell>
          <cell r="I128">
            <v>215000000</v>
          </cell>
          <cell r="L128">
            <v>0</v>
          </cell>
          <cell r="M128">
            <v>215000000</v>
          </cell>
        </row>
        <row r="129">
          <cell r="E129" t="str">
            <v>Damar Batur Nusantara</v>
          </cell>
          <cell r="I129">
            <v>114000000</v>
          </cell>
          <cell r="L129">
            <v>0</v>
          </cell>
          <cell r="M129">
            <v>114000000</v>
          </cell>
        </row>
        <row r="130">
          <cell r="E130" t="str">
            <v>Damar Batur Nusantara</v>
          </cell>
          <cell r="I130">
            <v>98300000</v>
          </cell>
          <cell r="L130">
            <v>0</v>
          </cell>
          <cell r="M130">
            <v>98300000</v>
          </cell>
        </row>
        <row r="131">
          <cell r="E131" t="str">
            <v>Damar Batur Nusantara</v>
          </cell>
          <cell r="I131">
            <v>52200000</v>
          </cell>
          <cell r="L131">
            <v>0</v>
          </cell>
          <cell r="M131">
            <v>52200000</v>
          </cell>
        </row>
        <row r="132">
          <cell r="E132" t="str">
            <v>Damar Batur Nusantara</v>
          </cell>
          <cell r="I132">
            <v>48100000</v>
          </cell>
          <cell r="L132">
            <v>0</v>
          </cell>
          <cell r="M132">
            <v>48100000</v>
          </cell>
        </row>
        <row r="133">
          <cell r="E133" t="str">
            <v>Damar Batur Nusantara</v>
          </cell>
          <cell r="I133">
            <v>1447000</v>
          </cell>
          <cell r="L133">
            <v>0</v>
          </cell>
          <cell r="M133">
            <v>1447000</v>
          </cell>
        </row>
        <row r="134">
          <cell r="E134" t="str">
            <v>Damar Batur Nusantara</v>
          </cell>
          <cell r="I134">
            <v>29700000</v>
          </cell>
          <cell r="L134">
            <v>0</v>
          </cell>
          <cell r="M134">
            <v>29700000</v>
          </cell>
        </row>
        <row r="135">
          <cell r="E135" t="str">
            <v>Dodik/Asiana</v>
          </cell>
          <cell r="I135">
            <v>550000</v>
          </cell>
          <cell r="L135">
            <v>0</v>
          </cell>
          <cell r="M135">
            <v>550000</v>
          </cell>
        </row>
        <row r="136">
          <cell r="E136" t="str">
            <v>Dodik/Asiana</v>
          </cell>
          <cell r="I136">
            <v>5400000</v>
          </cell>
          <cell r="L136">
            <v>0</v>
          </cell>
          <cell r="M136">
            <v>5400000</v>
          </cell>
        </row>
        <row r="137">
          <cell r="E137" t="str">
            <v>Eka Jaya/Eko</v>
          </cell>
          <cell r="I137">
            <v>2850000</v>
          </cell>
          <cell r="L137">
            <v>0</v>
          </cell>
          <cell r="M137">
            <v>2850000</v>
          </cell>
        </row>
        <row r="138">
          <cell r="E138" t="str">
            <v>Eka Jaya/Eko</v>
          </cell>
          <cell r="I138">
            <v>1995000</v>
          </cell>
          <cell r="L138">
            <v>0</v>
          </cell>
          <cell r="M138">
            <v>1995000</v>
          </cell>
        </row>
        <row r="139">
          <cell r="E139" t="str">
            <v>Enggal Makmur/Dwi</v>
          </cell>
          <cell r="I139">
            <v>50000</v>
          </cell>
          <cell r="L139">
            <v>0</v>
          </cell>
          <cell r="M139">
            <v>50000</v>
          </cell>
        </row>
        <row r="140">
          <cell r="E140" t="str">
            <v>Era Tani/Abdul Wakik</v>
          </cell>
          <cell r="I140">
            <v>4600000</v>
          </cell>
          <cell r="L140">
            <v>0</v>
          </cell>
          <cell r="M140">
            <v>4600000</v>
          </cell>
        </row>
        <row r="141">
          <cell r="E141" t="str">
            <v>Era Tani/Abdul Wakik</v>
          </cell>
          <cell r="I141">
            <v>2580000</v>
          </cell>
          <cell r="L141">
            <v>0</v>
          </cell>
          <cell r="M141">
            <v>2580000</v>
          </cell>
        </row>
        <row r="142">
          <cell r="E142" t="str">
            <v>Era Tani/Abdul Wakik</v>
          </cell>
          <cell r="I142">
            <v>4910000</v>
          </cell>
          <cell r="L142">
            <v>0</v>
          </cell>
          <cell r="M142">
            <v>4910000</v>
          </cell>
        </row>
        <row r="143">
          <cell r="E143" t="str">
            <v>Era Tani/Abdul Wakik</v>
          </cell>
          <cell r="I143">
            <v>1885000</v>
          </cell>
          <cell r="L143">
            <v>0</v>
          </cell>
          <cell r="M143">
            <v>1885000</v>
          </cell>
        </row>
        <row r="144">
          <cell r="E144" t="str">
            <v>Era Tani/Abdul Wakik</v>
          </cell>
          <cell r="I144">
            <v>2455000</v>
          </cell>
          <cell r="L144">
            <v>0</v>
          </cell>
          <cell r="M144">
            <v>2455000</v>
          </cell>
        </row>
        <row r="145">
          <cell r="E145" t="str">
            <v>Era Tani/Abdul Wakik</v>
          </cell>
          <cell r="I145">
            <v>1260000</v>
          </cell>
          <cell r="L145">
            <v>0</v>
          </cell>
          <cell r="M145">
            <v>1260000</v>
          </cell>
        </row>
        <row r="146">
          <cell r="E146" t="str">
            <v>Fajar Prasetya/Syngenta</v>
          </cell>
          <cell r="I146">
            <v>1880000</v>
          </cell>
          <cell r="L146">
            <v>0</v>
          </cell>
          <cell r="M146">
            <v>1880000</v>
          </cell>
        </row>
        <row r="147">
          <cell r="E147" t="str">
            <v>Fortuna Tani/Heru</v>
          </cell>
          <cell r="I147">
            <v>5000000</v>
          </cell>
          <cell r="L147">
            <v>0</v>
          </cell>
          <cell r="M147">
            <v>5000000</v>
          </cell>
        </row>
        <row r="148">
          <cell r="E148" t="str">
            <v>Gemilang, Toko</v>
          </cell>
          <cell r="I148">
            <v>2300000</v>
          </cell>
          <cell r="L148">
            <v>0</v>
          </cell>
          <cell r="M148">
            <v>2300000</v>
          </cell>
        </row>
        <row r="149">
          <cell r="E149" t="str">
            <v>Gemilang, Toko</v>
          </cell>
          <cell r="I149">
            <v>5750000</v>
          </cell>
          <cell r="L149">
            <v>0</v>
          </cell>
          <cell r="M149">
            <v>5750000</v>
          </cell>
        </row>
        <row r="150">
          <cell r="E150" t="str">
            <v>Gemilang, Toko</v>
          </cell>
          <cell r="I150">
            <v>970000</v>
          </cell>
          <cell r="L150">
            <v>0</v>
          </cell>
          <cell r="M150">
            <v>970000</v>
          </cell>
        </row>
        <row r="151">
          <cell r="E151" t="str">
            <v>Griya Tani/Sri</v>
          </cell>
          <cell r="I151">
            <v>4497000</v>
          </cell>
          <cell r="L151">
            <v>0</v>
          </cell>
          <cell r="M151">
            <v>4497000</v>
          </cell>
        </row>
        <row r="152">
          <cell r="E152" t="str">
            <v>Griya Tani/Sri</v>
          </cell>
          <cell r="I152">
            <v>410000</v>
          </cell>
          <cell r="L152">
            <v>0</v>
          </cell>
          <cell r="M152">
            <v>410000</v>
          </cell>
        </row>
        <row r="153">
          <cell r="E153" t="str">
            <v>Hasil Tani/Marmi</v>
          </cell>
          <cell r="I153">
            <v>1315000</v>
          </cell>
          <cell r="L153">
            <v>0</v>
          </cell>
          <cell r="M153">
            <v>1315000</v>
          </cell>
        </row>
        <row r="154">
          <cell r="E154" t="str">
            <v>Hasil Usaha, UD</v>
          </cell>
          <cell r="I154">
            <v>90950000</v>
          </cell>
          <cell r="L154">
            <v>0</v>
          </cell>
          <cell r="M154">
            <v>90950000</v>
          </cell>
        </row>
        <row r="155">
          <cell r="E155" t="str">
            <v>Hasil Usaha, UD</v>
          </cell>
          <cell r="I155">
            <v>5820000</v>
          </cell>
          <cell r="L155">
            <v>0</v>
          </cell>
          <cell r="M155">
            <v>5820000</v>
          </cell>
        </row>
        <row r="156">
          <cell r="E156" t="str">
            <v>Hasil Usaha, UD</v>
          </cell>
          <cell r="I156">
            <v>1730000</v>
          </cell>
          <cell r="L156">
            <v>0</v>
          </cell>
          <cell r="M156">
            <v>1730000</v>
          </cell>
        </row>
        <row r="157">
          <cell r="E157" t="str">
            <v>Java Karlos Indonesia, PT</v>
          </cell>
          <cell r="I157">
            <v>82835000</v>
          </cell>
          <cell r="L157">
            <v>0</v>
          </cell>
          <cell r="M157">
            <v>82835000</v>
          </cell>
        </row>
        <row r="158">
          <cell r="E158" t="str">
            <v>Joyo Tani/Wiwik</v>
          </cell>
          <cell r="I158">
            <v>18500000</v>
          </cell>
          <cell r="L158">
            <v>0</v>
          </cell>
          <cell r="M158">
            <v>18500000</v>
          </cell>
        </row>
        <row r="159">
          <cell r="E159" t="str">
            <v>Joyo Tani/Wiwik</v>
          </cell>
          <cell r="I159">
            <v>1350000</v>
          </cell>
          <cell r="L159">
            <v>0</v>
          </cell>
          <cell r="M159">
            <v>1350000</v>
          </cell>
        </row>
        <row r="160">
          <cell r="E160" t="str">
            <v>Joyo Tani/Wiwik</v>
          </cell>
          <cell r="I160">
            <v>6160000</v>
          </cell>
          <cell r="L160">
            <v>0</v>
          </cell>
          <cell r="M160">
            <v>6160000</v>
          </cell>
        </row>
        <row r="161">
          <cell r="E161" t="str">
            <v>Kharisma/Nanang</v>
          </cell>
          <cell r="I161">
            <v>14700000</v>
          </cell>
          <cell r="L161">
            <v>0</v>
          </cell>
          <cell r="M161">
            <v>14700000</v>
          </cell>
        </row>
        <row r="162">
          <cell r="E162" t="str">
            <v>Kharisma/Nanang</v>
          </cell>
          <cell r="I162">
            <v>17500000</v>
          </cell>
          <cell r="L162">
            <v>0</v>
          </cell>
          <cell r="M162">
            <v>17500000</v>
          </cell>
        </row>
        <row r="163">
          <cell r="E163" t="str">
            <v>Lancar Barokah Tani/Abd Rosit</v>
          </cell>
          <cell r="I163">
            <v>12050000</v>
          </cell>
          <cell r="L163">
            <v>0</v>
          </cell>
          <cell r="M163">
            <v>12050000</v>
          </cell>
        </row>
        <row r="164">
          <cell r="E164" t="str">
            <v>Luhur Tani/M. Itqon</v>
          </cell>
          <cell r="I164">
            <v>2580000</v>
          </cell>
          <cell r="L164">
            <v>0</v>
          </cell>
          <cell r="M164">
            <v>2580000</v>
          </cell>
        </row>
        <row r="165">
          <cell r="E165" t="str">
            <v>Maju Tani/Dedi Kurniawan</v>
          </cell>
          <cell r="I165">
            <v>6120000</v>
          </cell>
          <cell r="L165">
            <v>0</v>
          </cell>
          <cell r="M165">
            <v>6120000</v>
          </cell>
        </row>
        <row r="166">
          <cell r="E166" t="str">
            <v>Maju Tani/Dedi Kurniawan</v>
          </cell>
          <cell r="I166">
            <v>1540000</v>
          </cell>
          <cell r="L166">
            <v>0</v>
          </cell>
          <cell r="M166">
            <v>1540000</v>
          </cell>
        </row>
        <row r="167">
          <cell r="E167" t="str">
            <v>Maju Tani/Dedi Kurniawan</v>
          </cell>
          <cell r="I167">
            <v>2800000</v>
          </cell>
          <cell r="L167">
            <v>0</v>
          </cell>
          <cell r="M167">
            <v>2800000</v>
          </cell>
        </row>
        <row r="168">
          <cell r="E168" t="str">
            <v>Maju Tani/Dedi Kurniawan</v>
          </cell>
          <cell r="I168">
            <v>3500000</v>
          </cell>
          <cell r="L168">
            <v>0</v>
          </cell>
          <cell r="M168">
            <v>3500000</v>
          </cell>
        </row>
        <row r="169">
          <cell r="E169" t="str">
            <v>Mandiri Tani Sejahtera/Yanda</v>
          </cell>
          <cell r="I169">
            <v>2220000</v>
          </cell>
          <cell r="L169">
            <v>0</v>
          </cell>
          <cell r="M169">
            <v>2220000</v>
          </cell>
        </row>
        <row r="170">
          <cell r="E170" t="str">
            <v>Media/Syngenta</v>
          </cell>
          <cell r="I170">
            <v>1880000</v>
          </cell>
          <cell r="L170">
            <v>0</v>
          </cell>
          <cell r="M170">
            <v>1880000</v>
          </cell>
        </row>
        <row r="171">
          <cell r="E171" t="str">
            <v>Merdeka Tani/Sugiono</v>
          </cell>
          <cell r="I171">
            <v>42600000</v>
          </cell>
          <cell r="L171">
            <v>0</v>
          </cell>
          <cell r="M171">
            <v>42600000</v>
          </cell>
        </row>
        <row r="172">
          <cell r="E172" t="str">
            <v>Merdeka Tani/Sugiono</v>
          </cell>
          <cell r="I172">
            <v>14000000</v>
          </cell>
          <cell r="L172">
            <v>0</v>
          </cell>
          <cell r="M172">
            <v>14000000</v>
          </cell>
        </row>
        <row r="173">
          <cell r="E173" t="str">
            <v>Merdeka Tani/Sugiono</v>
          </cell>
          <cell r="I173">
            <v>1035000</v>
          </cell>
          <cell r="L173">
            <v>0</v>
          </cell>
          <cell r="M173">
            <v>1035000</v>
          </cell>
        </row>
        <row r="174">
          <cell r="E174" t="str">
            <v>Merdeka Tani/Sugiono</v>
          </cell>
          <cell r="I174">
            <v>23550000</v>
          </cell>
          <cell r="L174">
            <v>0</v>
          </cell>
          <cell r="M174">
            <v>23550000</v>
          </cell>
        </row>
        <row r="175">
          <cell r="E175" t="str">
            <v>Merdeka Tani/Sugiono</v>
          </cell>
          <cell r="I175">
            <v>30000000</v>
          </cell>
          <cell r="L175">
            <v>0</v>
          </cell>
          <cell r="M175">
            <v>30000000</v>
          </cell>
        </row>
        <row r="176">
          <cell r="E176" t="str">
            <v>Merdeka Tani/Sugiono</v>
          </cell>
          <cell r="I176">
            <v>12620000</v>
          </cell>
          <cell r="L176">
            <v>0</v>
          </cell>
          <cell r="M176">
            <v>12620000</v>
          </cell>
        </row>
        <row r="177">
          <cell r="E177" t="str">
            <v>Merdeka Tani/Sugiono</v>
          </cell>
          <cell r="I177">
            <v>7680000</v>
          </cell>
          <cell r="L177">
            <v>0</v>
          </cell>
          <cell r="M177">
            <v>7680000</v>
          </cell>
        </row>
        <row r="178">
          <cell r="E178" t="str">
            <v>Merdeka Tani/Sugiono</v>
          </cell>
          <cell r="I178">
            <v>16080000</v>
          </cell>
          <cell r="L178">
            <v>0</v>
          </cell>
          <cell r="M178">
            <v>16080000</v>
          </cell>
        </row>
        <row r="179">
          <cell r="E179" t="str">
            <v>Merdeka Tani/Sugiono</v>
          </cell>
          <cell r="I179">
            <v>27000000</v>
          </cell>
          <cell r="L179">
            <v>0</v>
          </cell>
          <cell r="M179">
            <v>27000000</v>
          </cell>
        </row>
        <row r="180">
          <cell r="E180" t="str">
            <v>Merdeka Tani/Sugiono</v>
          </cell>
          <cell r="I180">
            <v>2700000</v>
          </cell>
          <cell r="L180">
            <v>0</v>
          </cell>
          <cell r="M180">
            <v>2700000</v>
          </cell>
        </row>
        <row r="181">
          <cell r="E181" t="str">
            <v>Moga Berkah/Robid</v>
          </cell>
          <cell r="I181">
            <v>4050000</v>
          </cell>
          <cell r="L181">
            <v>0</v>
          </cell>
          <cell r="M181">
            <v>4050000</v>
          </cell>
        </row>
        <row r="182">
          <cell r="E182" t="str">
            <v>Mubarok, Toko</v>
          </cell>
          <cell r="I182">
            <v>2100000</v>
          </cell>
          <cell r="L182">
            <v>0</v>
          </cell>
          <cell r="M182">
            <v>2100000</v>
          </cell>
        </row>
        <row r="183">
          <cell r="E183" t="str">
            <v>Mulyadi/Kenso</v>
          </cell>
          <cell r="I183">
            <v>67896000</v>
          </cell>
          <cell r="L183">
            <v>0</v>
          </cell>
          <cell r="M183">
            <v>67896000</v>
          </cell>
        </row>
        <row r="184">
          <cell r="E184" t="str">
            <v>Permata, UD/Badar</v>
          </cell>
          <cell r="I184">
            <v>27000000</v>
          </cell>
          <cell r="L184">
            <v>0</v>
          </cell>
          <cell r="M184">
            <v>27000000</v>
          </cell>
        </row>
        <row r="185">
          <cell r="E185" t="str">
            <v>Permata, UD/Badar</v>
          </cell>
          <cell r="I185">
            <v>6480800</v>
          </cell>
          <cell r="L185">
            <v>0</v>
          </cell>
          <cell r="M185">
            <v>6480800</v>
          </cell>
        </row>
        <row r="186">
          <cell r="E186" t="str">
            <v>Permata, UD/Badar</v>
          </cell>
          <cell r="I186">
            <v>1850000</v>
          </cell>
          <cell r="L186">
            <v>0</v>
          </cell>
          <cell r="M186">
            <v>1850000</v>
          </cell>
        </row>
        <row r="187">
          <cell r="E187" t="str">
            <v>Permata, UD/Badar</v>
          </cell>
          <cell r="I187">
            <v>2680000</v>
          </cell>
          <cell r="L187">
            <v>0</v>
          </cell>
          <cell r="M187">
            <v>2680000</v>
          </cell>
        </row>
        <row r="188">
          <cell r="E188" t="str">
            <v>Rahma Tani, CV</v>
          </cell>
          <cell r="I188">
            <v>1680000</v>
          </cell>
          <cell r="L188">
            <v>0</v>
          </cell>
          <cell r="M188">
            <v>1680000</v>
          </cell>
        </row>
        <row r="189">
          <cell r="E189" t="str">
            <v>Raska, UD</v>
          </cell>
          <cell r="I189">
            <v>4785000</v>
          </cell>
          <cell r="L189">
            <v>0</v>
          </cell>
          <cell r="M189">
            <v>4785000</v>
          </cell>
        </row>
        <row r="190">
          <cell r="E190" t="str">
            <v>Raska, UD</v>
          </cell>
          <cell r="I190">
            <v>2210000</v>
          </cell>
          <cell r="L190">
            <v>0</v>
          </cell>
          <cell r="M190">
            <v>2210000</v>
          </cell>
        </row>
        <row r="191">
          <cell r="E191" t="str">
            <v>Raska, UD</v>
          </cell>
          <cell r="I191">
            <v>5700000</v>
          </cell>
          <cell r="L191">
            <v>0</v>
          </cell>
          <cell r="M191">
            <v>5700000</v>
          </cell>
        </row>
        <row r="192">
          <cell r="E192" t="str">
            <v>Rindi Tani</v>
          </cell>
          <cell r="I192">
            <v>3380000</v>
          </cell>
          <cell r="L192">
            <v>0</v>
          </cell>
          <cell r="M192">
            <v>3380000</v>
          </cell>
        </row>
        <row r="193">
          <cell r="E193" t="str">
            <v>Rindi Tani</v>
          </cell>
          <cell r="I193">
            <v>1499500</v>
          </cell>
          <cell r="L193">
            <v>0</v>
          </cell>
          <cell r="M193">
            <v>1499500</v>
          </cell>
        </row>
        <row r="194">
          <cell r="E194" t="str">
            <v>Rindi Tani</v>
          </cell>
          <cell r="I194">
            <v>2880000</v>
          </cell>
          <cell r="L194">
            <v>0</v>
          </cell>
          <cell r="M194">
            <v>2880000</v>
          </cell>
        </row>
        <row r="195">
          <cell r="E195" t="str">
            <v>Riski Tani/Hadi</v>
          </cell>
          <cell r="I195">
            <v>9600000</v>
          </cell>
          <cell r="L195">
            <v>0</v>
          </cell>
          <cell r="M195">
            <v>9600000</v>
          </cell>
        </row>
        <row r="196">
          <cell r="E196" t="str">
            <v>Riski Tani/Hadi</v>
          </cell>
          <cell r="I196">
            <v>7440000</v>
          </cell>
          <cell r="L196">
            <v>0</v>
          </cell>
          <cell r="M196">
            <v>7440000</v>
          </cell>
        </row>
        <row r="197">
          <cell r="E197" t="str">
            <v>Riski Tani/Hadi</v>
          </cell>
          <cell r="I197">
            <v>6680000</v>
          </cell>
          <cell r="L197">
            <v>0</v>
          </cell>
          <cell r="M197">
            <v>6680000</v>
          </cell>
        </row>
        <row r="198">
          <cell r="E198" t="str">
            <v>Riski Tani/Hadi</v>
          </cell>
          <cell r="I198">
            <v>1380000</v>
          </cell>
          <cell r="L198">
            <v>0</v>
          </cell>
          <cell r="M198">
            <v>1380000</v>
          </cell>
        </row>
        <row r="199">
          <cell r="E199" t="str">
            <v>Riski Tani/Hadi</v>
          </cell>
          <cell r="I199">
            <v>6680000</v>
          </cell>
          <cell r="L199">
            <v>0</v>
          </cell>
          <cell r="M199">
            <v>6680000</v>
          </cell>
        </row>
        <row r="200">
          <cell r="E200" t="str">
            <v>Riski Tani/Hadi</v>
          </cell>
          <cell r="I200">
            <v>13712800</v>
          </cell>
          <cell r="L200">
            <v>0</v>
          </cell>
          <cell r="M200">
            <v>13712800</v>
          </cell>
        </row>
        <row r="201">
          <cell r="E201" t="str">
            <v>Riski Tani/Hadi</v>
          </cell>
          <cell r="I201">
            <v>7062500</v>
          </cell>
          <cell r="L201">
            <v>0</v>
          </cell>
          <cell r="M201">
            <v>7062500</v>
          </cell>
        </row>
        <row r="202">
          <cell r="E202" t="str">
            <v>Riski Tani/Hadi</v>
          </cell>
          <cell r="I202">
            <v>11675000</v>
          </cell>
          <cell r="L202">
            <v>0</v>
          </cell>
          <cell r="M202">
            <v>11675000</v>
          </cell>
        </row>
        <row r="203">
          <cell r="E203" t="str">
            <v>Riski Tani/Hadi</v>
          </cell>
          <cell r="I203">
            <v>14050000</v>
          </cell>
          <cell r="L203">
            <v>0</v>
          </cell>
          <cell r="M203">
            <v>14050000</v>
          </cell>
        </row>
        <row r="204">
          <cell r="E204" t="str">
            <v>Riski Tani/Hadi</v>
          </cell>
          <cell r="I204">
            <v>17500000</v>
          </cell>
          <cell r="L204">
            <v>0</v>
          </cell>
          <cell r="M204">
            <v>17500000</v>
          </cell>
        </row>
        <row r="205">
          <cell r="E205" t="str">
            <v>Rizki, UD/Kusnyoto</v>
          </cell>
          <cell r="I205">
            <v>2330000</v>
          </cell>
          <cell r="L205">
            <v>0</v>
          </cell>
          <cell r="M205">
            <v>2330000</v>
          </cell>
        </row>
        <row r="206">
          <cell r="E206" t="str">
            <v>Rizki, UD/Kusnyoto</v>
          </cell>
          <cell r="I206">
            <v>15460000</v>
          </cell>
          <cell r="L206">
            <v>0</v>
          </cell>
          <cell r="M206">
            <v>15460000</v>
          </cell>
        </row>
        <row r="207">
          <cell r="E207" t="str">
            <v>Rizki, UD/Kusnyoto</v>
          </cell>
          <cell r="I207">
            <v>2000000</v>
          </cell>
          <cell r="L207">
            <v>0</v>
          </cell>
          <cell r="M207">
            <v>2000000</v>
          </cell>
        </row>
        <row r="208">
          <cell r="E208" t="str">
            <v>Rudi Sari kresna/Iklar Viola Clasic</v>
          </cell>
          <cell r="I208">
            <v>18360000</v>
          </cell>
          <cell r="L208">
            <v>0</v>
          </cell>
          <cell r="M208">
            <v>18360000</v>
          </cell>
        </row>
        <row r="209">
          <cell r="E209" t="str">
            <v>Sadar Sari/Farid Firdaus</v>
          </cell>
          <cell r="I209">
            <v>1395000</v>
          </cell>
          <cell r="L209">
            <v>0</v>
          </cell>
          <cell r="M209">
            <v>1395000</v>
          </cell>
        </row>
        <row r="210">
          <cell r="E210" t="str">
            <v>Sadar Sari/Farid Firdaus</v>
          </cell>
          <cell r="I210">
            <v>1710000</v>
          </cell>
          <cell r="L210">
            <v>0</v>
          </cell>
          <cell r="M210">
            <v>1710000</v>
          </cell>
        </row>
        <row r="211">
          <cell r="E211" t="str">
            <v>Sadar Sari/Farid Firdaus</v>
          </cell>
          <cell r="I211">
            <v>4032000</v>
          </cell>
          <cell r="L211">
            <v>0</v>
          </cell>
          <cell r="M211">
            <v>4032000</v>
          </cell>
        </row>
        <row r="212">
          <cell r="E212" t="str">
            <v>Sadar Sari/Farid Firdaus</v>
          </cell>
          <cell r="I212">
            <v>7840000</v>
          </cell>
          <cell r="L212">
            <v>0</v>
          </cell>
          <cell r="M212">
            <v>7840000</v>
          </cell>
        </row>
        <row r="213">
          <cell r="E213" t="str">
            <v>Sahabat Tani/Abdul Rohman</v>
          </cell>
          <cell r="I213">
            <v>2080000</v>
          </cell>
          <cell r="L213">
            <v>0</v>
          </cell>
          <cell r="M213">
            <v>2080000</v>
          </cell>
        </row>
        <row r="214">
          <cell r="E214" t="str">
            <v>Sekar Tani/Matori</v>
          </cell>
          <cell r="I214">
            <v>23000000</v>
          </cell>
          <cell r="L214">
            <v>0</v>
          </cell>
          <cell r="M214">
            <v>23000000</v>
          </cell>
        </row>
        <row r="215">
          <cell r="E215" t="str">
            <v>Sekar Tani/Matori</v>
          </cell>
          <cell r="I215">
            <v>2680000</v>
          </cell>
          <cell r="L215">
            <v>0</v>
          </cell>
          <cell r="M215">
            <v>2680000</v>
          </cell>
        </row>
        <row r="216">
          <cell r="E216" t="str">
            <v>Sekumpul Tani/Nofal</v>
          </cell>
          <cell r="I216">
            <v>5580000</v>
          </cell>
          <cell r="L216">
            <v>0</v>
          </cell>
          <cell r="M216">
            <v>5580000</v>
          </cell>
        </row>
        <row r="217">
          <cell r="E217" t="str">
            <v>Sekumpul Tani/Nofal</v>
          </cell>
          <cell r="I217">
            <v>1700000</v>
          </cell>
          <cell r="L217">
            <v>0</v>
          </cell>
          <cell r="M217">
            <v>1700000</v>
          </cell>
        </row>
        <row r="218">
          <cell r="E218" t="str">
            <v>Serba Hasil/Ansori</v>
          </cell>
          <cell r="I218">
            <v>6520000</v>
          </cell>
          <cell r="L218">
            <v>0</v>
          </cell>
          <cell r="M218">
            <v>6520000</v>
          </cell>
        </row>
        <row r="219">
          <cell r="E219" t="str">
            <v>Serba Hasil/Ansori</v>
          </cell>
          <cell r="I219">
            <v>69000000</v>
          </cell>
          <cell r="L219">
            <v>0</v>
          </cell>
          <cell r="M219">
            <v>69000000</v>
          </cell>
        </row>
        <row r="220">
          <cell r="E220" t="str">
            <v>Serba Hasil/Ansori</v>
          </cell>
          <cell r="I220">
            <v>13790000</v>
          </cell>
          <cell r="L220">
            <v>0</v>
          </cell>
          <cell r="M220">
            <v>13790000</v>
          </cell>
        </row>
        <row r="221">
          <cell r="E221" t="str">
            <v>Sugeng Makmur, Toko</v>
          </cell>
          <cell r="I221">
            <v>4240000</v>
          </cell>
          <cell r="L221">
            <v>0</v>
          </cell>
          <cell r="M221">
            <v>4240000</v>
          </cell>
        </row>
        <row r="222">
          <cell r="E222" t="str">
            <v>Sugeng Makmur, Toko</v>
          </cell>
          <cell r="I222">
            <v>1864800</v>
          </cell>
          <cell r="L222">
            <v>0</v>
          </cell>
          <cell r="M222">
            <v>1864800</v>
          </cell>
        </row>
        <row r="223">
          <cell r="E223" t="str">
            <v>Sugeng Makmur, Toko</v>
          </cell>
          <cell r="I223">
            <v>2694000</v>
          </cell>
          <cell r="L223">
            <v>0</v>
          </cell>
          <cell r="M223">
            <v>2694000</v>
          </cell>
        </row>
        <row r="224">
          <cell r="E224" t="str">
            <v>Sugeng Makmur, Toko</v>
          </cell>
          <cell r="I224">
            <v>900000</v>
          </cell>
          <cell r="L224">
            <v>0</v>
          </cell>
          <cell r="M224">
            <v>900000</v>
          </cell>
        </row>
        <row r="225">
          <cell r="E225" t="str">
            <v>Sumber Tani/Eko Wardono</v>
          </cell>
          <cell r="I225">
            <v>2100000</v>
          </cell>
          <cell r="L225">
            <v>0</v>
          </cell>
          <cell r="M225">
            <v>2100000</v>
          </cell>
        </row>
        <row r="226">
          <cell r="E226" t="str">
            <v>Sumber Tani/Eko Wardono</v>
          </cell>
          <cell r="I226">
            <v>2860000</v>
          </cell>
          <cell r="L226">
            <v>0</v>
          </cell>
          <cell r="M226">
            <v>2860000</v>
          </cell>
        </row>
        <row r="227">
          <cell r="E227" t="str">
            <v>Sumber Tani/Eko Wardono</v>
          </cell>
          <cell r="I227">
            <v>7520000</v>
          </cell>
          <cell r="L227">
            <v>0</v>
          </cell>
          <cell r="M227">
            <v>7520000</v>
          </cell>
        </row>
        <row r="228">
          <cell r="E228" t="str">
            <v>Sumber Tani/Eko Wardono</v>
          </cell>
          <cell r="I228">
            <v>18200000</v>
          </cell>
          <cell r="L228">
            <v>0</v>
          </cell>
          <cell r="M228">
            <v>18200000</v>
          </cell>
        </row>
        <row r="229">
          <cell r="E229" t="str">
            <v>Sumber Tani/Eko Wardono</v>
          </cell>
          <cell r="I229">
            <v>7883000</v>
          </cell>
          <cell r="L229">
            <v>0</v>
          </cell>
          <cell r="M229">
            <v>7883000</v>
          </cell>
        </row>
        <row r="230">
          <cell r="E230" t="str">
            <v>Sumber Tani/Eko Wardono</v>
          </cell>
          <cell r="I230">
            <v>3720000</v>
          </cell>
          <cell r="L230">
            <v>0</v>
          </cell>
          <cell r="M230">
            <v>3720000</v>
          </cell>
        </row>
        <row r="231">
          <cell r="E231" t="str">
            <v>Sumber Tani/Eko Wardono</v>
          </cell>
          <cell r="I231">
            <v>13204800</v>
          </cell>
          <cell r="L231">
            <v>0</v>
          </cell>
          <cell r="M231">
            <v>13204800</v>
          </cell>
        </row>
        <row r="232">
          <cell r="E232" t="str">
            <v>Tani Jaya/Mul</v>
          </cell>
          <cell r="I232">
            <v>3110000</v>
          </cell>
          <cell r="L232">
            <v>0</v>
          </cell>
          <cell r="M232">
            <v>3110000</v>
          </cell>
        </row>
        <row r="233">
          <cell r="E233" t="str">
            <v>Tani Joss</v>
          </cell>
          <cell r="I233">
            <v>6567500</v>
          </cell>
          <cell r="L233">
            <v>0</v>
          </cell>
          <cell r="M233">
            <v>6567500</v>
          </cell>
        </row>
        <row r="234">
          <cell r="E234" t="str">
            <v>Tani Joss</v>
          </cell>
          <cell r="I234">
            <v>3900000</v>
          </cell>
          <cell r="L234">
            <v>0</v>
          </cell>
          <cell r="M234">
            <v>3900000</v>
          </cell>
        </row>
        <row r="235">
          <cell r="E235" t="str">
            <v>Tani Joss</v>
          </cell>
          <cell r="I235">
            <v>2720000</v>
          </cell>
          <cell r="L235">
            <v>0</v>
          </cell>
          <cell r="M235">
            <v>2720000</v>
          </cell>
        </row>
        <row r="236">
          <cell r="E236" t="str">
            <v>Tani Mulyo, UD/Bastian</v>
          </cell>
          <cell r="I236">
            <v>1940000</v>
          </cell>
          <cell r="L236">
            <v>0</v>
          </cell>
          <cell r="M236">
            <v>1940000</v>
          </cell>
        </row>
        <row r="237">
          <cell r="E237" t="str">
            <v>Tani Mulyo, UD/Bastian</v>
          </cell>
          <cell r="I237">
            <v>2475000</v>
          </cell>
          <cell r="L237">
            <v>0</v>
          </cell>
          <cell r="M237">
            <v>2475000</v>
          </cell>
        </row>
        <row r="238">
          <cell r="E238" t="str">
            <v>Tani Mulyo, UD/Bastian</v>
          </cell>
          <cell r="I238">
            <v>7157500</v>
          </cell>
          <cell r="L238">
            <v>0</v>
          </cell>
          <cell r="M238">
            <v>7157500</v>
          </cell>
        </row>
        <row r="239">
          <cell r="E239" t="str">
            <v>Tani Mulyo, UD/Bastian</v>
          </cell>
          <cell r="I239">
            <v>5160000</v>
          </cell>
          <cell r="L239">
            <v>0</v>
          </cell>
          <cell r="M239">
            <v>5160000</v>
          </cell>
        </row>
        <row r="240">
          <cell r="E240" t="str">
            <v>Tani Mulyo, UD/Bastian</v>
          </cell>
          <cell r="I240">
            <v>940000</v>
          </cell>
          <cell r="L240">
            <v>0</v>
          </cell>
          <cell r="M240">
            <v>940000</v>
          </cell>
        </row>
        <row r="241">
          <cell r="E241" t="str">
            <v>Tani Subur/Saiful</v>
          </cell>
          <cell r="I241">
            <v>6115000</v>
          </cell>
          <cell r="L241">
            <v>0</v>
          </cell>
          <cell r="M241">
            <v>6115000</v>
          </cell>
        </row>
        <row r="242">
          <cell r="E242" t="str">
            <v>Tani Subur/Saiful</v>
          </cell>
          <cell r="I242">
            <v>3600000</v>
          </cell>
          <cell r="L242">
            <v>0</v>
          </cell>
          <cell r="M242">
            <v>3600000</v>
          </cell>
        </row>
        <row r="243">
          <cell r="E243" t="str">
            <v>Tempurejo, PT</v>
          </cell>
          <cell r="I243">
            <v>71032500</v>
          </cell>
          <cell r="L243">
            <v>0</v>
          </cell>
          <cell r="M243">
            <v>71032500</v>
          </cell>
        </row>
        <row r="244">
          <cell r="E244" t="str">
            <v>Tempurejo, PT</v>
          </cell>
          <cell r="I244">
            <v>474520500</v>
          </cell>
          <cell r="L244">
            <v>0</v>
          </cell>
          <cell r="M244">
            <v>474520500</v>
          </cell>
        </row>
        <row r="245">
          <cell r="E245" t="str">
            <v>Tutut/Syngenta</v>
          </cell>
          <cell r="I245">
            <v>1880000</v>
          </cell>
          <cell r="L245">
            <v>0</v>
          </cell>
          <cell r="M245">
            <v>1880000</v>
          </cell>
        </row>
        <row r="246">
          <cell r="E246" t="str">
            <v>Tutut/Syngenta</v>
          </cell>
          <cell r="I246">
            <v>1902000</v>
          </cell>
          <cell r="L246">
            <v>0</v>
          </cell>
          <cell r="M246">
            <v>1902000</v>
          </cell>
        </row>
        <row r="247">
          <cell r="E247" t="str">
            <v>Varia Agro Mandiri, CV</v>
          </cell>
          <cell r="I247">
            <v>2925000</v>
          </cell>
          <cell r="L247">
            <v>0</v>
          </cell>
          <cell r="M247">
            <v>2925000</v>
          </cell>
        </row>
        <row r="248">
          <cell r="E248" t="str">
            <v>Wicak/Syngenta</v>
          </cell>
          <cell r="I248">
            <v>3760000</v>
          </cell>
          <cell r="L248">
            <v>0</v>
          </cell>
          <cell r="M248">
            <v>3760000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</sheetData>
      <sheetData sheetId="1"/>
      <sheetData sheetId="2">
        <row r="8">
          <cell r="E8" t="str">
            <v>D26004570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T26000385K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D26005433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D26006327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B26002962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D26004392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T26000437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D26006511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D26006626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D26003118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D26003305</v>
          </cell>
          <cell r="AP18">
            <v>0</v>
          </cell>
          <cell r="AQ18">
            <v>0</v>
          </cell>
          <cell r="AV18">
            <v>0</v>
          </cell>
        </row>
        <row r="19">
          <cell r="E19">
            <v>260022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D26003444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D26004037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B26003922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B26004130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B26004843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T26000422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D26005877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D26004673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T26000439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T26000516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T25000266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B25013635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B25013636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D25016962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T26000334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B26003796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T26000393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T26000394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T26000404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D26005035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B26005012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T26000508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D26006374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D26006721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R25000092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D26001073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D26001074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D26002954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D26002955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D26004576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D26006290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T26000164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D26005048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D26005659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D26003293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D26003294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B26003154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B26004008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D26004771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D26004786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B26004600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D26005847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D26006008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B26002420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D26006350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B26002540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B26003942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D26004980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D26005109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D26004389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D26004694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D26004695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D26004939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D26005040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B26004309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B26004400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B26004469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D26005690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D26005836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D26005992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D26006012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B26004829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B26004930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B26004931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D26004040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D26003680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D26003818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D26003819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B26003564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B26003629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D26004489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B26004850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D26006430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B26003270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D26003598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B26003742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B26003748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B26003749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B26003750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B26003751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D26004342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D26004379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N26000038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B26004095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B26004112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B26004113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D26005440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D26005441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D26005442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D26005444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B26004424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B26004576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B26004609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B26004861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B26004862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B26005208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B26005209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B26005210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B26005211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D26003875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D26003875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B26003822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B26003935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D26004765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D26004041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D26006339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B26005403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B26001838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B26003614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B26004365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D26005846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D26004541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B26003887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D26005788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D26006165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D26006232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D26003522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B26005251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L23000053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D26006678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B26003589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B26003625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B26003766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B26004015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B26002871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B26003005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B26003429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B26003789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B26003948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D26004676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B26004595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B26005287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D26006572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D26006652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B26002297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B26002900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B26002976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D26003189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B26003331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B26003332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D26003836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D26003837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D26004211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B26003654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B26004065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B26004241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D26005279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D26005280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D26005281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B26004496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B26004501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D26005628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D26005729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D26005777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B26004875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B26004876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B26005222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B26005227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B26005228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D26006654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D26006657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B26005422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B26005458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D26006667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D26006674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D25019161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D25019167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D25019167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D25019262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D25019519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D25019519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D25019520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D25019716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D26000239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D26000240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D26000240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D26000543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D26000544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D26000544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D26000545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D26000545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D26000990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D26000991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D26000991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D26000991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D26000992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D26000992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D26000992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D26001308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D26001308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D26001309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D26001550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D26001550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D26001550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D26001550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D26001551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D26001552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D26001711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D26001712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D26001712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D26001712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D26001713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D26001952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D26001952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D26001952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D26001953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D26001953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D26002263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D26002263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D26002264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D26002475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D26002475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D26002669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D26002669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D26002670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D26002670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D26002671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D26002671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D26002742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D26002743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D26002930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D26002930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D26002930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D26002930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D26002930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D26002931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D26002931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D26002989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D26003172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D26003172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D26003172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D26003172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D26003172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B26003171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B26003172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B26003173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D26003391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D26003391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D26003392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D26003392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D26003393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D26003393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B26003223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B26003223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B26003223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D26003404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D26003404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D26003887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D26003887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D26003887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D26003888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D26003889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D26003889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D26003890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D26003890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D26004103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D26004103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D26004104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D26004105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D26004105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D26004105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D26004105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D26004105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D26004106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D26004106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D26004163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D26004270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D26004272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D26004273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D26004273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D26004274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D26004274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D26004275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D26004275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D26004275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D26004275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D26004276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D26004276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D26004663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D26004663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D26004664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D26004664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D26004665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D26004666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D26004666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D26005066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D26005066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D26005066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D26005067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D26005067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D26005067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D26005067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D26005067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D26005067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D26005345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D26005345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D26005346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D26005346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D26005346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D26005346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D26005346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D26005347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D26005347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D26005348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D26005348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D26005828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D26005828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D26005829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D26005829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D26005829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D26005830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D26005830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D26005830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D26006196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D26006196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D26006196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D26006197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B26005017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B26005017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B26005018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B26005018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B26005019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B26005019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B26005019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B26005019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D26006529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D26006529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D26006710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D26006711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D26006712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D26006713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D26001872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D26005620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D26005621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T26000500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Z26001025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Z26001159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Z26001177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Z26001180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T26000243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T26000244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B26000648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T26000463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B26004703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B26004704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B26004812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B26004857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B26005328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T26000521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D25016698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C26000285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C26000330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B26002720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B26003144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D26003856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B26003869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D26005026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D26005429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D26005476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B26005350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T26000342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D26004207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D26004783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B26004265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B26004266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B26004849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B26005357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D25006386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D26005213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B26001177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B26002319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D26005921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D26006005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B26003739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B26003740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B26005360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B26005361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D26002031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D26002105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D26002145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D26002163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B26002669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D26004430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D26004475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D26005598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B26005175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B26005195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D26003278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D26006538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D26006539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Z26000977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Z26001152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B25012277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B26001516</v>
          </cell>
          <cell r="AP413">
            <v>0</v>
          </cell>
          <cell r="AQ413">
            <v>0</v>
          </cell>
          <cell r="AV413">
            <v>47100000</v>
          </cell>
        </row>
        <row r="414">
          <cell r="E414" t="str">
            <v>D26002028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D26002189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B26002630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D26003268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D26003297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D26003324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D26003331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D26003332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B26003178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D26003711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D26003712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D26003877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D26003909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D26003910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B26003516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D26003994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D26004005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D26004011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D26004447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B26004020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B26004075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D26004914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B26004430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D26005563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D26005695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D26006048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D26006213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D26006214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D26006685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Z26001146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B26003815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D26004709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D26004882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D26005199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B26003701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D26005932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D26005978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D26006371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D26006372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D26006123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D26006124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R26000021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R26000022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R26000023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R26000024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R26000025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R26000026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R26000027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D25017747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B26003984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D26004744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D26003726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B26005399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D26005235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D26005236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D26003528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B26005252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T26000438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B26003588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D26004870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B26005340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D26002126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D26002127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D26002853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B26003031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T26000250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D26004696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D26005516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D26005517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D26006070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D26006091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D26006092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B26005079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B26005100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D26004650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D26004651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B26004316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B26005415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B26005416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B26005417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D26002519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D26003149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D26003150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D26003179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D26005204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D26005398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B26005388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D26005805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C26000243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B26004310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D26005287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B26005469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D26001857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B26001812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B26001813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B26001918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B26001964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D26002205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D26002400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D26002838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D26002872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D26002948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B26002886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D26003223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D26003271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D26003272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D26004569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D26004584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D26004969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D26005090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B26004278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D26005591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D26005698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D26006455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B26005184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B26005459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D26003298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D26003280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D26003006</v>
          </cell>
          <cell r="AP532">
            <v>62180000</v>
          </cell>
          <cell r="AQ532">
            <v>0</v>
          </cell>
          <cell r="AV532">
            <v>0</v>
          </cell>
        </row>
        <row r="533">
          <cell r="E533" t="str">
            <v>D26003479</v>
          </cell>
          <cell r="AP533">
            <v>0</v>
          </cell>
          <cell r="AQ533">
            <v>0</v>
          </cell>
          <cell r="AV533">
            <v>28000000</v>
          </cell>
        </row>
        <row r="534">
          <cell r="E534" t="str">
            <v>D26003607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T26000333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D26004325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B26003866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B26004017</v>
          </cell>
          <cell r="AP538">
            <v>0</v>
          </cell>
          <cell r="AQ538">
            <v>0</v>
          </cell>
          <cell r="AV538">
            <v>35080000</v>
          </cell>
        </row>
        <row r="539">
          <cell r="E539" t="str">
            <v>B26004018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B26004412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D26005522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B26004466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D26005604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B26004526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B26004541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B26004975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B26005062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D26006379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D26006485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B26005285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B26005286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B26005338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B26003198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D26005122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D26005626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B26003354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B26005092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T25001852k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T26000207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B26003757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B26003951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B26004138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D26005013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T26000415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R26000002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R26000020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D26005038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D26005075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B26004346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D26005649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D26005650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B26004833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B26003845</v>
          </cell>
          <cell r="AP573">
            <v>0</v>
          </cell>
          <cell r="AQ573">
            <v>0</v>
          </cell>
          <cell r="AV573">
            <v>4300000</v>
          </cell>
        </row>
        <row r="574">
          <cell r="E574" t="str">
            <v>B26003846</v>
          </cell>
          <cell r="AP574">
            <v>0</v>
          </cell>
          <cell r="AQ574">
            <v>0</v>
          </cell>
          <cell r="AV574">
            <v>5160000</v>
          </cell>
        </row>
        <row r="575">
          <cell r="E575" t="str">
            <v>B26004293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B26004714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B26004715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D26005973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R25000110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R25000112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D26004865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N26000042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D26002101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D26002102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D26002474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B26002896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D26003138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D26003301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D26003488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D26003620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D26003882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B26003558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B26003940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D26004590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D26005358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B26004585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B26004587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D26005708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D26006270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B26005009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B26005329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B26005349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D26004733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D26006435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D26006653</v>
          </cell>
          <cell r="AP605">
            <v>0</v>
          </cell>
          <cell r="AQ605">
            <v>0</v>
          </cell>
          <cell r="AV605">
            <v>2560000</v>
          </cell>
        </row>
        <row r="606">
          <cell r="E606" t="str">
            <v>B26004089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B26004267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D26005272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D26005593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B26005377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D26000094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D26001588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D26001629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D26001673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B26001596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B26001912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D26002087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B26001952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D26002121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D26002137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D26002286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D26002383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D26002879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D26003197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D26003198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D26003203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B26003195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B26003260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D26003829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D26004127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D26004428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D26004469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D26005273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D26005316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D26005353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D26005354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D26005758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D26005879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B26005093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D26006646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D26003230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B26005193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B26005451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D26006686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D26003678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B26004438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T26000430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T26000431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T26000434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B26005225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D26005902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D26005910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B26005434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B26004420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D26005473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D26005474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B26003841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B26003857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D26004595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B26004078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B26004213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D26005163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>
            <v>260031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T26000427K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B26004678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B26004959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D26006637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D26004701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B26005276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D26006716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D26004380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D26004423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D26004573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B26004317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T26000400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T26000414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T26000423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D26005570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T26000461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T26000466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D26006106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D26006107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D26006108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B26004864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D26006176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D26006238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T26000497K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T26000498K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B26005014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D26006348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T26000503K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T26000504K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T26000505K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T26000514K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B26005229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B26005230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D26006514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D26006671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D26006702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D26006720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B26001734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D26001865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B26001874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D26002073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B26002068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B26002121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D26002315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D26002342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D26002426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B26002302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D26002479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D26003322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D26003548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D26003554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T26000327K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B26004515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B26004518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B26004536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B26004537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B26004539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B26004644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B26004645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D26005904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D26005970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B26002503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B26002504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D26002816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B26002739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B26002740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B26002772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B26002808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D26003027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B26003023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D26003986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B26003565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B26003901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T26000386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D26004805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D26004819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D26004896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D26004897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D26005007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D26006163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B26005174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D26006573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B26005454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B26005455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B26005456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B26005457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D26004036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D26004164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B26004219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D26005111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D26005112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D26005322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D26005642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D26005981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B26004810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D26006081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D26006082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D26004977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D26005004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D26005047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B26004178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D26005174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D26005568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B26004490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B26004604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B26004624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B26004625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B26004896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D26006277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D26006509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B26004173</v>
          </cell>
          <cell r="AP774">
            <v>0</v>
          </cell>
          <cell r="AQ774">
            <v>0</v>
          </cell>
          <cell r="AV774">
            <v>1960000</v>
          </cell>
        </row>
        <row r="775">
          <cell r="E775" t="str">
            <v>B26005376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D26005072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B26005104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D26006380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B26005406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B26005411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B26003181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D26003751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D26004574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D26006640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D26004811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B26004165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D26005029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B26004174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B26004255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B26004331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B26004332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D26005401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B26004433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B26004434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D26005460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D26005772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D26005784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B26004670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B26004815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B26004835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B26004836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D26006122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D26006247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B26005256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B26003930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D26004844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D26004845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D26004846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B26004059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D26005525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B26004546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B26004740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B26004741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B26005145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B26005154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N26000053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D26004490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D26004753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D26004954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D26005461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D26005625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B26002303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B26002360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D26002577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D26002963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D26003045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B26003147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B26003263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B26003393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D26004033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B26003608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B26003609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L26000015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D26004506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D26004892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B26004889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B26004946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D26006386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B26005465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T26000274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B26003400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B26003401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B26003752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D26004775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D26004791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B26004200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B26004201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D26001610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D26003764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B26004179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D25019292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D26003088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D26003124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B26002958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D26003700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D26003756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D26004511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D26005023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D26005046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D26005143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B26004398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B26004410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D26005906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D26005946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D26005956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B26004963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B26005449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B26003176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D26003399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B26003246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D26003504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B26003329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D26003738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D26003906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D26003908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B26003511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B26003518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D26004027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B26003545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D26004148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B26003638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D26004206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D26004225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B26003664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D26004404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D26004790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B26004103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B26004104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D26005034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B26004203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D26005087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D26005141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B26004248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D26005257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D26005260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B26004254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B26004257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B26004259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B26004281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B26004372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B26004403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B26004407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B26004408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B26004414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T26000445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T26000446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B26004570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B26004646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B26004650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D26005832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D26005907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B26004701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D26005929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D26005930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D26005936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D26005938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D26005954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B26004745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B26004760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D26006206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D26006225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D26006279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B26004989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B26005007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B26005035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D26006318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B26005049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B26005270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B26005279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B26005394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D26006661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B26001768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B26002104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B26002132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D26002239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B26002621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B26002622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D26002863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D26002987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D26003020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D26003483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D26003501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D26003536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D26004022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D26004023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D26004031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B26003706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B26003707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D26004672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D26005514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D26005519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D26006051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D26005300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B26004542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D26005857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D26004425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D26005818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D26006231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D26006240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B26000012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B26000987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B26001168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D26003468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D26004917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B26003680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B26003762</v>
          </cell>
          <cell r="AP966">
            <v>0</v>
          </cell>
          <cell r="AQ966">
            <v>0</v>
          </cell>
          <cell r="AV966">
            <v>6700000</v>
          </cell>
        </row>
        <row r="967">
          <cell r="E967" t="str">
            <v>D26005011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D26005495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D26005653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D26005654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D26005931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B26004788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B26005199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D26004921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B26003170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B26003908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B26003909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B26003912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D26004766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D26005198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D26005356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D26005395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B26004432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D26005782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D26006099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D26006105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B26005258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B26005259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B25009852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D26000095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B26000435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B26000767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D26001251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D26001556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D26001557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D26002538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D26003163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T26000487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B26004911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D26006211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D26006557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D26006115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D26003857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D26005355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D26004699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B26004337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D26005357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D26006580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D26006581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B26003991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C26000253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C26000254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B26004171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B26004172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D26001869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D26004408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D26004421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D26004422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D26004530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D26004591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D26004816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B26004142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D26006287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D26006383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D26006495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T26000171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B26002930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B26003797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B26003850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B26003851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D26005837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B26005414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D26005265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D26005574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T24001625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D24017664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B26001741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D26001988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D26002036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D26002142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D26002144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D26002274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D26002292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B26002204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D26002432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D26002662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D26002924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D26002959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D26002978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D26003055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B26002931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D26003308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D26003460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D26003486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D26003538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D26003604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B26003369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D26003855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D26003891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D26004102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D26004267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D26004277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D26004343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D26004344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D26004373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B26003803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D26004463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B26003974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D26004760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D26005073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B26004379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D26005462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B26004444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D26005589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D26005686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D26005891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D26005993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D26005994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D26006150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D26006151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B26004996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D26006305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D26006425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B26005124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D26006473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D26006474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B26005300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B26005400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B26005342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B26003238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B26003310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D26005498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D26005499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D26005518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D25019570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B26000367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B26000411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B26000588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B26001399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B26001909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B26001929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B26001930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B26002090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Z26000411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Z26000412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Z26000413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Z26000414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Z26000415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Z26000478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Z26000492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Z26000764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Z26000767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Z26000858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Z26000862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Z26000867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Z26000872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Z26000873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Z26000880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Z26000896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Z26000932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Z26000945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Z26000972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Z26000973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Z26000976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Z26001003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Z26001066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Z26001076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Z26001090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Z26001098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Z260017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Z26001110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Z26001113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Z26001129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Z26001182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D26003068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T26000220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D26004499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D26006623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D26006679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Z25003374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Z25003397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Z26000349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D26002192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D26002316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Z26000466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B26002534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B26002605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D26003226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Z26000807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D26004398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D26005244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Z26000961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B26004969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B26004970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B26004971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B26004973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Z26001122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Z26001125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B26005246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Z26001179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D26006695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Z26001206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T26000460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B26005397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T26000280K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D26004792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B26004250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B26005427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D26006677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B26004776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D26006591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D26003543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B26003382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B26003385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B26003386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D26004173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D26004174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D26004545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D26004546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D26005062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D26005063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D26005064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D26005197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B26005297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B26005084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B26003773</v>
          </cell>
          <cell r="AP1186">
            <v>0</v>
          </cell>
          <cell r="AQ1186">
            <v>0</v>
          </cell>
          <cell r="AV1186">
            <v>13862500</v>
          </cell>
        </row>
        <row r="1187">
          <cell r="E1187" t="str">
            <v>B26003934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D26005015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B26005253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B26004092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B26004093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B26004588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B26004589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B26005215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B26005216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B26005217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B26002907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D26005718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D26005762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D26006522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B26003254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D26003747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B26004088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B26002918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T26000235k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T26000237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D26006664</v>
          </cell>
          <cell r="AP1207">
            <v>0</v>
          </cell>
          <cell r="AQ1207">
            <v>0</v>
          </cell>
          <cell r="AV1207">
            <v>7700000</v>
          </cell>
        </row>
        <row r="1208">
          <cell r="E1208" t="str">
            <v>B26003025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B26003456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D26004876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B26004139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D26005196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D26005315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B26004847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D26006076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B26005239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B26005240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B26005241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D26002552</v>
          </cell>
          <cell r="AP1219">
            <v>0</v>
          </cell>
          <cell r="AQ1219">
            <v>0</v>
          </cell>
          <cell r="AV1219">
            <v>10000000</v>
          </cell>
        </row>
        <row r="1220">
          <cell r="E1220" t="str">
            <v>B26002879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D26003749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D26004317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D26004318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B26003936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D26005248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D26005282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D26006340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D26006341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B26005066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B26005326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T26000317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B26001561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B26002996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B26003398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D26003783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D26004551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D26004552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D26004818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B26004062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B26004143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D26005957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B26005177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B26005178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D26001742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B26001730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B26001840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B26001859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T26000139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B26002153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B26002324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D26002648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D26003032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T26000231k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D26003187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B26003123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B26003124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D26003495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D26003512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D26003591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B26003326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D26003634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B26003391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D26003795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D26003799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B26003448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B26003504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D26003959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D26003960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D26003983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B26003542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B26003543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B26003573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B26003690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B26003730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D26004372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D26004407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D26004466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D26004528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D26004529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D26004554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B26003985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B26004012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D26004794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D26004932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B26004123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B26004124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D26005060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D26005061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T26000417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D26005179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D26005250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B26004286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B26004294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D26005388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D26005481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D26005482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D26005515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B26004596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D26005872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D26006207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B26004974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B26005069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D26006413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B26005299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D26006568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D26006723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D26004723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D26004724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B26004049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B26004050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B26004524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B26004534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C26000142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D26006445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T26000348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B26004275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D26005765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D26005769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T26000229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D26006643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D26004113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D26004219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B26004439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B26004447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D26005720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B26004686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D26006703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D26006704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D26006611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D26006612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B26003710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B26003711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B26003712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B26003713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B26003950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D26004582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D26004996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D26004997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D26005293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D26005294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D26005295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D26005296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B26004462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D26005612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B26005142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B26005143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C26000345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B26003247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D26003628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D26004872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B26004890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D26003527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B26005250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D26003123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D26003390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B25005869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D25010517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B26005433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B26005453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D26002255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D26003515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D26005848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B26004658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D26005672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T26000149K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B26003119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B26003442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D26003885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B26003981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B26003982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B26004030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D26004781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D26005987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D26003769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D26003806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B26003775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D26004982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D26006450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D26006451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T26000406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B26003890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B26004135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B26004136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B26004801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B26004802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B26005245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B26003303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B26003587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D26004509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B26004100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D26005714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D26005715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B26005108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B26005085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B26003611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D26005261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D26005262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D26006517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T26000425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D26005339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D26005340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D26005341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D26005468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D26006189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D26006190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D26006191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D26006192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D26006193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T26000501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D26002748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D26004187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D26004188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B26004056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D26004875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B26004729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B26004998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Z26000821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Z26000927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Z26001155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Z26001157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D26005114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D26002682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D26002683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D26002710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D26002907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D26002913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D26002914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B26002910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B26003009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D26003593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D26003972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D26003985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B26003622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B26003807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B26003811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D26004668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B26003983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D26004907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D26004918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D26004924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D26005575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D26005783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B26004674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D26005941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D26005982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D26005983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D26005989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B26004888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D26006418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B26003361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B26003744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B26005076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B26005077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B25013215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B25013285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T26000453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T26000474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B26003980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D26004757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B26004263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B26004345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D26005020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D26005021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B26004464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D26005550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T26000447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D26006074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Z26000984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B26005345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D26006337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D26002160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B26002874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B26003549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D26004185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B26004388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B26004389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Z26000424</v>
          </cell>
          <cell r="AP1477">
            <v>0</v>
          </cell>
          <cell r="AQ1477">
            <v>0</v>
          </cell>
          <cell r="AV1477">
            <v>15400000</v>
          </cell>
        </row>
        <row r="1478">
          <cell r="E1478" t="str">
            <v>D26001383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D26002985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D26003050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B26002897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B26002898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B26002965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B26002970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D26003169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B26003000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B26003024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D26003232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B26003053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B26003096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B26003143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D26003374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D26003428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D26003429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D26003498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D26003499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D26003503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D26003558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D26003559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D26003627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D26003650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D26003706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B26003435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B26003436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D26003895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D26003954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D26003955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D26003956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D26003975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D26003976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D26004029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D26004030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D26004032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D26004079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D26004080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D26004136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D26004137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D26004169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D26004202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D26004586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D26004631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D26004656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D26004741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D26004742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D26004743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D26004759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D26004848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D26004849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D26004850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B26004109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B26004110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B26004117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B26004134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B26004160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B26004161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B26004216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B26004217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D26005083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D26005210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D26005217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D26005246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D26005264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D26005331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D26005406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B26004409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B26004421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D26005458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D26005508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D26005509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D26005510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B26004481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D26005594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D26005595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B26004482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D26005667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B26004598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D26005886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D26005887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D26006028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D26006029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D26006034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B26004830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B26004831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D26006209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D26006210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D26006345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D26006351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B26005089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B26005126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B26005147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B26005158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B26005191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D26006491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D26006492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D26006544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D26006559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D26006560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D26006570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N26000054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B26005381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B26005382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B26005430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D26006662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D26006697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D26006698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D26004693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D26005705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D26006042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D26006075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B26004394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D26005483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B26005421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D26004636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D26006587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B26005439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B26003660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B26004028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B26004094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B26004355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B26004756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B26004781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D26004645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D26005464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D26005679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D26005965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D26006520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D26006521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B26005284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B26005000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D25016516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N25000063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D26003524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D26004347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D26004374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D26005144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D26005184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B26003037</v>
          </cell>
          <cell r="AP1617">
            <v>0</v>
          </cell>
          <cell r="AQ1617">
            <v>0</v>
          </cell>
          <cell r="AV1617">
            <v>200000000</v>
          </cell>
        </row>
        <row r="1618">
          <cell r="E1618" t="str">
            <v>D26004252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D26004381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D26005158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D26005588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D26002530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D26004028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D26005658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D26004072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D26005712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B26005223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D26006598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Z26000427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Z26000437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Z26000549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Z26000550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Z26000787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Z26000788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Z26000813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Z26000814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Z26001033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Z26001143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Z26001144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Z26001176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Z26001195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Z26001196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D26002516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D26002615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D26002699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D26002794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D26002832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D26003078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D26003192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D26003199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D26003303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D26003478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D26003546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D26003810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B26003512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B26003554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D26004095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D26004100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D26004162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D26004217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D26004307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B26003783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B26003818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B26003933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D26004708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D26004895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D26004931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D26004959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B26004218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B26004249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D26005191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D26005528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D26005678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D26005890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D26005963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D26006065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B26004824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D26006212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B26004980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D26006307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B26005155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B26005156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D26006446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D26006463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D26006466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T26000253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T26000254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T26000183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B26003777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D26004471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D26005212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B26004367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B26004405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D26005564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Z26000605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Z26000609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B26003363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B26003973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D26002696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B26002616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D26005737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D26005738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D26005787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D26006036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D26006037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D24015365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D24015541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C25000192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C25000195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C25000196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C25000197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C25000198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C25000445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B25008299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B25008808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B25009712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M25000081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D25018593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B26005344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B26005283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T26000338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T26000339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D26005892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B26004706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B26004707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D26003701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D26005480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B26003384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D26003731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D26005186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B26004253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>
            <v>260032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D26005350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D26005351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>
            <v>260036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B26004669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B26004863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B26005389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B26003925</v>
          </cell>
          <cell r="AP1739">
            <v>0</v>
          </cell>
          <cell r="AQ1739">
            <v>0</v>
          </cell>
          <cell r="AV1739">
            <v>670000</v>
          </cell>
        </row>
        <row r="1740">
          <cell r="E1740" t="str">
            <v>D26004898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D26004899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D26005822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D26006194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B26004948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D26006285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B26004986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B26005200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D26006644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B26005008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D26002019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D26003126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D26003808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B26003847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D26004698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D26005277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B26004997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B26005103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B26005404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B26005466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B26005467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B26004098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B26004099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B26004613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D26005835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B26005288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D26006592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Z26000652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Z26000757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B26004844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B26005249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D26006550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D26006689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D26006441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D26003087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D26003122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D26006259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T26000251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T26000284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T26000331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D26004299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B26004500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D26006633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B26003275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D26006416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B26001319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D26003730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D26005201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D26006094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D26006095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B26004943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D26006252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D26004756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D26006402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T26000165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D26003030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D26003031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D26003040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T26000216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D26004721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T26000402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D26003356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T26000222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D26003688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D26004889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D26004945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B26004314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D26005308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D26005699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D26006274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D26006634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D26003737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D26003757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D26004990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D26004991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D26004991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D26005057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D26005230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D26005230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D26005949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D26006353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B26005190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D26005913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D26005117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B26004242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D26003814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B26003917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B26003963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D26004927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B26004506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B26005159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T25000698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T25000700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D26001199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B26003446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B26005243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B26005244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D26006555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D26001222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D26006083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D26006084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B25017107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B25017109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D26000485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D26000506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D26000575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D26000852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D26001446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D26001587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D26001625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D26001850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D26002100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D26002356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D26002976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D26003028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D26003039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D26003086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B26003035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D26003206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D26003767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D26004000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D26004180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D26004434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D26004581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D26004599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B26003958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D26005743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D26005811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D26006502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D26006507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D26006556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D26006683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T22000046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T22000053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T22000087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T22000122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T22000134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T22000139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T22000141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T22000167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T22000207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T22000231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T22000254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T22000265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T22000282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T22000316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T22000338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T22000378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T22000394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T22000405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T22000425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T22000456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T22000472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T22000491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T22000520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T22000560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T22000561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T22000580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T22000604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T22000664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T22000725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T22000772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T22000799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T23000003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T23000012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T23000013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T23000057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T23000064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T23000087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T23000120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D23001207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T23000149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T23000180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T23000184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T23000187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T23000252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T23000257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T23000275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T23000285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T23000332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T23000355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T23000382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T23000419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T23000426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T23000485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T23000492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T23000504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T23000507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T23000508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T23000509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T23000522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T23000524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T23000577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T23000584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T23000594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T23000630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T23000644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T23000686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T23000695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T23000741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T23000742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T23000772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T23000781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T23000782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T23000809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T23000845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T23000846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T23000860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T23000881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T23000884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T23000911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T23000912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T23000914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T23000919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T23000924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T23000935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T23000936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T23000986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T23000989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T23000994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T23000998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T23000999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T23001024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T23001025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T23001026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T23001057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T23001090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T23001094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T23001095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T23001103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T24000001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T24000018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T24000040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T24000113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T24000118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T24000126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T24000149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T24000166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T24000175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T24000176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T24000250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T24000251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T24000260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T24000265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T24000279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T24000299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T24000376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T24000384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T24000391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T24000392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T24000419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T24000448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T24000488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T24000489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T24000495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T24000496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T24000497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T24000498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T24000499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T24000519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T24000527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T24000598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T24000600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T24000601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T24000602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T24000603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T24000612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T24000631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T24000635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T24000673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T24000717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T24000718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T24000719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T24000720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T24000726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T24000727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T24000754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T24000755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T24000787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T24000936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T24000937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T24000938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T24000939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T24000946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T24000983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T24000984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T24000985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T24001077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T24001078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T24001079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T24001085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T24001086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T24001087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T24001088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T24001108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T24001119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T24001120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T24001121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T24001210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T24001211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T24001215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T24001220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T24001241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T24001249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T24001250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T24001265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T24001359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T24001360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T24001361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T24001369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T24001372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T24001380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T24001423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T24001424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T24001446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T24001447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T24001638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T24001639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T24001651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T24001652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T24001653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T24001654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T24001655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T24001697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T24001717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T24001721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T24001842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T25000023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T25000025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T25000026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T25000027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T25000028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T25000029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T25000035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T25000036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T25000091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T25000142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T25000157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T25000158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T25000161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T25000171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T25000172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T25000178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T25000328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T25000329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T25000357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T25000363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T25000364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T25000365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T25000366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T25000367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T25000368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T25000372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T25000432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T25000523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T25000546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T25000547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T25000548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T25000558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T25000559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T25000563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T25000564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T25000578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T25000626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T25000685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T25000686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T25000702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T25000706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T25000707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T25000734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T25000735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T25000740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T25000764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T25000770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R25000015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T25000878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T25000886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T25000887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T25000888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T25000895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T25000902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T25000903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T25000912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T25000914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T25000915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C25000475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T25000936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T25000956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T25000957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T25000958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D25009205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T25000988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T25000997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T25000999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T25001020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T25001022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T25001023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T25001024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T25001025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T25001033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T25001062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T25001078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T25001110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T25001162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T25001165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T25001173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T25001189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T25001203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T25001207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T25001222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T25001269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T25001294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T25001317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T25001323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T25001329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T25001330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T25001336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T25001343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T25001395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T25001408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T25001452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T25001456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T25001457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T25001458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T25001459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T25001460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T25001463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T25001464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T25001485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T25001497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T25001546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T25001592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T25001593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T25001604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T25001608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T25001627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T25001628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T25001629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T25001630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T25001683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T25001712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T25001729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T25001741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T25001742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T25001746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T25001750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T25001751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T25001752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T25001756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T25001757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T25001764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T25001765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T25001766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T25001767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T25001768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T25001769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T25001807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T25001832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T25001896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T26000004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T26000005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T26000007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T26000011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T26000012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T26000015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T26000020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T26000048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T26000069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T26000080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T26000084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T26000112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T26000113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T26000119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T26000130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T26000131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T26000137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T26000138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T26000141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T26000260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T26000266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T26000267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T26000276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T26000277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T26000278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T26000282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T26000322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T26000357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T26000358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T26000359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T26000390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T26000391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T26000409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T26000410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T26000450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T26000480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T26000525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T26000526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T26000527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T26000530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T26000531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T26000532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T26000533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D26004938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D26005556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D26006334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D26006436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B26005266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Z26001194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Z26001202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B26003570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B26003571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D26005428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D26005576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D26005577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B26005105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B26005106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D26006431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B26004271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T26000424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D26005878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T26000125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Z26000633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T26000401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T26000405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Z26000881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Z26001086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D26004470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D26004485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D26004486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D26005200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B26004791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D26006198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B26004913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D26006588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D26006599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B26005343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B26005352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B26005379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B26005472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D26006709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B26002527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D26002143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D26002276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D26005884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D26006342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D26004685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D26004758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D26005885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B26003352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B26003941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B26004016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D26005631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D26005640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D26005794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B26004805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B26005341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B26005359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B26003305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D26004934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D26005056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D26004519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D26004520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D26006378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D26002109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D26002495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D26003144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D26004283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B26003718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B26004426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B26004516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B26004517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D26005638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D26005683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D26005684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D26005696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T26000298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D26005706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D26006294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T26000311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D26006498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D26006499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B26001914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D26003263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D26003264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B26004364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B26002193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B26002580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D26002835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B26004230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B26005267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Z26000826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Z26000850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D26001951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D26002884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D26002894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D26003211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D26003240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D26003241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B26003138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D26003339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D26003401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D26003402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D26003621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D26003817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D26003851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D26004193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D26004212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D26004213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D26004260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D26004324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D26004433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D26004788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D26004826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D26005003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D26005170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D26005391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D26005392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D26005475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D26005543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D26006013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D26006058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D26006060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D26006063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D26006064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D26006183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D26006393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D26006469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D26006470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D26006481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D26006638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B26005412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D26006691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D26006708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T26000058K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D26006624</v>
          </cell>
          <cell r="AP2374">
            <v>0</v>
          </cell>
          <cell r="AQ2374">
            <v>0</v>
          </cell>
          <cell r="AV2374">
            <v>9000000</v>
          </cell>
        </row>
        <row r="2375">
          <cell r="E2375" t="str">
            <v>D26004831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D26004832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T26000056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D26001592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T26000126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D26002043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D26002083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B26002592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B26002793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B26003279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D26004074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D26004114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D26004115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D26004143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D26005377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D26005379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T26000436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B26005025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B26005435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D26006692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D26003047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B26003672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B26004047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B26004048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D26005223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D26005779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B26005409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B26005410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B26001747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B26001748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B26001749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B26001828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D26002604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D26002605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D26002606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D26002667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D26002668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B26002869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B26002905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B26002906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B26002989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B26003325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B26003327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B26003555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B26003556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D26004059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B26003808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B26003809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B26003810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D26004575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B26004046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D26004871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B26004237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B26004774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D26006006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D26006007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D26006043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T26000484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B26005135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B26005231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B26005232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B26005233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B26005234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D26006668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T26000107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B26003746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B26004347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D26006097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T26000490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D26004930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B26004586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D26006102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D26006147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B26004855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D26003549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B26003383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D26003696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D26004190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D26005731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D26005732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B26004738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B26004742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D26006585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D26006663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D26004750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D26004837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D26005123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D26005922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B26004083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T26000388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B26004037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D26005664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Z26001190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Z26001200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Z26001203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B26001119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B26001642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D26001961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D26001962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D26002535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B26003494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B26003495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D26004669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D26004728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D26004729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D26005134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B26004428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D26005526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D26002281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D26002367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D26002420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D26002491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B26002658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B26002993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T26000247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B26003335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D26003774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B26003531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D26004205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B26003964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D26004807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D26004909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B26005463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D26006669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B26003835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D26005624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D26006035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B26005275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T26000286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B26003907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B26004002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B26004003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B26004005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D26005532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D26002235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T26000154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T26000212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B26003145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D26003351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T26000272k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D26003622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D26003934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D26004004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D26004177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D26004198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B26003786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T26000380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B26003943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T26000387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B26004472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D26005819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D26005843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T26000467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D26005934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B26005118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B26005152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D26002825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B26003569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D26005176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D26006385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R26000019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T26000072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T26000075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T26000159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D26005703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D26005882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D26005746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B26005027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D26006442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D26006443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D26006497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B26005075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B26003643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B26003645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B26003646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D26004235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B26004229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D26005187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D26006254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B26005372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B26005405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D26005402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D26005094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D26005616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B26004597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D26005802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B26004717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B26004728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D26006009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B26005133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D26006525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B26005356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C26000343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C26000344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B26005471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D26006675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T25001873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B26000452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D26001889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D26006656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T26000499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T26000517k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B26003817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B26003828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D26004497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C26000244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B26004149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B26004348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D26006324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D26004058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B26004190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D26005492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L26000017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B26004080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B26004081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B26004082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B26004125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B26004177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B26004220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B26004578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D26005770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D26006494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B26003772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D26005825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D26005826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D26003965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B26002493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B26004148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D26005424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D26005425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B26005196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B26005281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T26000523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B26005423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D26005926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B26003505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B26003871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D26005380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B26004684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B26001474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B26002102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B26003151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D26006078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D26003437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D26003661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D26003668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C26000245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C26000246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D26005716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D26005717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B26004957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B26004958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B26004867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B26003994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D26004953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B26004354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B26005402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B26003635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D26003529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D26006519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D21000994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B25016767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B25016768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D26000258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D26000443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T26000091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D26001799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B26002045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B26002046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D26002265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D26002568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B26002666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B26002686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T26000193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B26002708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D26003021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B26002878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B26003146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D26003493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D26003531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D26003758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D26004014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T26000336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D26005676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B26004954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B26004955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T26000337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D26005394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B26004575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B26004431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D26005465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D26005467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D26005505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B26003721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D26005098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B26004423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B26005308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B26005309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D26006690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D26003064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B26002947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T26000269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B26003353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D26003881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B26003617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D26004184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D26004250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B26003753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B26003758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B26003836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D26004557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T26000383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T26000384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D26004715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T26000398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B26004108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D26004877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B26004287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B26004484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D26005801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T26000465k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D26006152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B26004902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B26005097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B26005153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B26005282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D26006618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D26006619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Z26000610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Z26000776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Z26000796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Z26000810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Z26000811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Z26000832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Z26000838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Z26000852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Z26000853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Z26000855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Z26000861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Z26000877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Z26000898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Z26000907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Z26000908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Z26000909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Z26000910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Z26000921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Z26000922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Z26000929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Z26000951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Z26000963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Z26000966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Z26000970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Z26000992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Z26001001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Z26001007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Z26001009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Z26001030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Z26001039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Z26001040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Z26001042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Z26001050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Z26001060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Z26001073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Z26001085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Z26001095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Z26001167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Z26001181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Z26001187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Z26001204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D26004614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D26005231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D26005933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D26006109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B26004964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B26004965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D26002498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D26003168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D26004808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D26004810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D26006715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D26004675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D26004681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B26001617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D26002275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D26002319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D26005807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D26003676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B26003893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B26003894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B26003895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B26003896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D26005096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D26005097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B26004479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B26004480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B26004880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B26004882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B26004883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B26004884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B26005235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B26005236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B26005237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D26003949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D26003950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D26003951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D26003952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B26004692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B26004693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B26004694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B26005428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B26005429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T26000127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T26000128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D26003564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Z26000165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Z26000295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Z26000760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Z26000869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Z26001097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Z26001115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B26003947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T26000399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D26005674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D26005675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B26004681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T26000476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D26004098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T26000343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B26004755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T26000303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D26004862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B26003043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B26003918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B26004273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D26006282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D25017877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D26004066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D26004543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D26004597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D26004803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D26004923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D26005133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B26004373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B26004392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B26004393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D26005546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D26005793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T26000464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D26005905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D26006038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D26006167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D26006220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D26006221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D26006338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B26005203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D26006616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D26006700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D26006701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N26000041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D26005493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D26006673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B26001310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B26001648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D26001893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D26002056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D26002258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B26002199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B26002922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B26002923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B26002940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B26003156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B26003157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D26003376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B26003315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D26004298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D26004382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D26004383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D26004384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D26004385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D26005095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D26005119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D26005127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D26005164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D26005434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B26004626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D26005860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D26005861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B26005052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B26005206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B26004782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B26004797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B26004798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T26000246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B26003044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B26003201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D26004812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B26004283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B26004311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D26005311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B26004381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D26005539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D26005607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D26005767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D26005768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D26005791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D26005809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D26005844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D26005880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D26005927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B26005006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D26006343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D26006370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B26005182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D26006479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B26005295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D26006680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B26004306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B26003460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B26004352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D26005697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B26005369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B26005431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B26005460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D26000841</v>
          </cell>
          <cell r="AP2898">
            <v>0</v>
          </cell>
          <cell r="AQ2898">
            <v>0</v>
          </cell>
          <cell r="AV2898">
            <v>5064000</v>
          </cell>
        </row>
        <row r="2899">
          <cell r="E2899" t="str">
            <v>B26002220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B26002130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B26002131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D26002290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D26002306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B26002265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B26002266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D26002471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T26000166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T26000177K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B26002557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B26002802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B26002803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B26002977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D26003228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D26003229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T26000281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D26003600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D26003733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B26003396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D26004020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D26004021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D26004047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B26003628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D26004843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D26004852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D26004853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D26005065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D26005445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D26005446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D26005447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B26004656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D26005942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B26004783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D26006073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D26006157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D26006158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T26000491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T26000492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B26004869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B26004901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T26000510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D26006420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D26006426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B26005134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B26005391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B26005464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B26005353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B26005437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D26003465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B26003266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D26005088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D26005276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B26005119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D26006411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D26005759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Z26000445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Z26000537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Z26000551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Z26000658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Z26000706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Z26000719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Z26000720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Z26000795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Z26000829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Z26000830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Z26000831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Z26000836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Z26000837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Z26000891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Z26000892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Z26000893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Z26000894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Z26000916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Z26001021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Z26001057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Z26001062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Z26001116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Z26001126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Z26001127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Z26001128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Z26001132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Z26001134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Z26001137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Z26001139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Z26001191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Z26001192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Z26001193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D26004501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D26004508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D26004527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D26005376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T26000435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D26005430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D26002343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D26002344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D26002345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D26006438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D26002196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T26000151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T26000302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B26004525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D26001285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D26001494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D26001494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D26001494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D26001494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D26001508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D26001508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D26001675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D26001675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D26001675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D26001675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D26001675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D26001675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D26001675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D26001676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D26001770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D26001770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D26001802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D26001802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D26002025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D26002025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D26002025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D26002430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D26002430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D26002430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D26002430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D26002430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D26002443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D26002443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D26002512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D26002512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D26002512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D26002512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D26002512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D26002512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D26002512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D26002512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D26002512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D26002513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D26002513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D26002513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D26002626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D26002627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D26002681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D26002681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D26002681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D26002681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D26002691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B26002751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B26002751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B26002751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B26002751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B26002751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B26002751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B26002775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D26002962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D26002986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D26002986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D26003007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B26003188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D26003643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D26003643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D26003643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D26003643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D26003646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D26003646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D26003646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D26003646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D26003736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D26003968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D26004209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B26003657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D26004386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D26004403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D26004427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D26004592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D26004616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D26004874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B26004141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D26004961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B26004182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D26005290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D26005619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D26005733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D26005858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D26005859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D26006186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Z26001104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Z26001104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Z26001104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Z26001145</v>
          </cell>
          <cell r="AP3091">
            <v>0</v>
          </cell>
          <cell r="AQ3091">
            <v>100000000</v>
          </cell>
          <cell r="AV3091">
            <v>0</v>
          </cell>
        </row>
        <row r="3092">
          <cell r="E3092" t="str">
            <v>Z26001145</v>
          </cell>
          <cell r="AP3092">
            <v>0</v>
          </cell>
          <cell r="AQ3092">
            <v>103750000</v>
          </cell>
          <cell r="AV3092">
            <v>0</v>
          </cell>
        </row>
        <row r="3093">
          <cell r="E3093" t="str">
            <v>Z26001145</v>
          </cell>
          <cell r="AP3093">
            <v>0</v>
          </cell>
          <cell r="AQ3093">
            <v>200000000</v>
          </cell>
          <cell r="AV3093">
            <v>0</v>
          </cell>
        </row>
        <row r="3094">
          <cell r="E3094" t="str">
            <v>B26005048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D26006424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D26006488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Z26001186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D25007908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D25015340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B26005176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D25010159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B26003067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D26003306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B26004826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D26006718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D26006719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T26000522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B26005026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D24016641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T26000346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Z26001070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D26005636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A26000617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A26000618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A26000619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A26000624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A26000627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A26000629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A26000631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A26000632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A26000633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A26000634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A26000635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A26000637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A26000639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A26000640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A26000641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A26000642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A26000643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A26000644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A26000645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A26000646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A26000647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A26000648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A26000651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A26000652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A26000653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A26000654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A26000655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A26000656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A26000657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A26000658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A26000659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A26000660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A26000661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A26000662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A26000663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A26000664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A26000665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A26000666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A26000667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A26000668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A26000669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A26000670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A26000671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A26000672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A26000674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A26000676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A26000677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A26000678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A26000680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A26000681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A26000615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A26000622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A26000628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A26000636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A26000638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A26000649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A26000650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A26000673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A26000675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A26000679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B26003768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B26004120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D26006077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D26006605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B26002299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B26002781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D26004908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D26005325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D26003112</v>
          </cell>
          <cell r="AP3181">
            <v>0</v>
          </cell>
          <cell r="AQ3181">
            <v>0</v>
          </cell>
          <cell r="AV3181">
            <v>15000000</v>
          </cell>
        </row>
        <row r="3182">
          <cell r="E3182" t="str">
            <v>B26005380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D26006636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B26004234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B26005332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B26005333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B26002952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B26003209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D26003569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D26003728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D26003878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D26003879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B26003486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B26003525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D26004019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B26003539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B26003856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B26003975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B26004001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D26004919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D26005014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B26004199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B26005045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D26006400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T26000511K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T26000512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C26000232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D26004417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D26004474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B26004043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B26004044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B26004044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B26004045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D26005082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D26005082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D26005082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D26005082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D26005254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D26005490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D26005491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D26005530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D26005600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D26005996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D26005997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B26004813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B26004814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D26006589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T26000325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D26005131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B26004750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B26005013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D26006328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B26005370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B26005371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D26003719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B26003945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B26003946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B26003949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B26004069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B26004456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B26004460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B26004461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D26005961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D26005968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B26004956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D26006268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D26006269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B26002758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B26002759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T26000205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T26000206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T26000209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T26000219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T26000233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D26003191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D26004562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D26004563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T26000420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B26004553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D26005710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D26005754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D26005755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D26005971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D26005972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D26005975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B26005298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B26004308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T26000477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T26000478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T26000479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T26000181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Z26001208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D26001198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D26006684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D26003421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T26000324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D26005728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B26004156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D26005544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D26006200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B26005367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D26006627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D26006693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B26004663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T26000223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B26003594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B26003785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D26004416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B26003881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B26004031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D26005327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B26004502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B26004601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D26005725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B26004618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B26004770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B26004933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B26005264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B26005346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D26004556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B26004162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D26005320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D26006648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D26006706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D26005267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D26006373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B25017144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D26001672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B26001616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D26001798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D26001809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B26001716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D26001860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B26001953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D26002118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B26002006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D26002187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D26002187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B26002192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D26002435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D26002436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D26002481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B26002378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B26002411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D26002570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D26002661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D26002734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D26002735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D26002756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D26002757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D26002847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D26002864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D26002897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D26003182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D26003224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B26003064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B26003079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B26003080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B26003083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D26003505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D26003505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D26003670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D26003717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T26000308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D26003797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T26000309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B26003427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B26003430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B26003459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D26003841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B26003478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B26003519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D26004081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D26004093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D26004101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B26003567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D26004166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D26004237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D26004238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D26004241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D26004242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D26004245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D26004248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D26004265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D26004265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B26003688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D26004271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D26004285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D26004285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B26003767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B26003802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D26004405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D26004458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D26004460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D26004460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D26004460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D26004465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B26003831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B26003852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B26003853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B26003854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D26004522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D26004523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D26004566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B26003906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D26004662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D26004682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D26004784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D26004785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D26004787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B26004133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D26005000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D26005001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D26005001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D26005001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D26005104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D26005154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D26005154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D26005154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D26005155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D26005156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B26004231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D26005224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D26005397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B26004419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B26004422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D26005487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D26005512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D26005579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D26005582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D26005643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D26005651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B26004591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D26005753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D26005773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D26005774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D26005774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D26005775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B26004610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B26004610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D26005833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D26005838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B26004775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D26006080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D26006087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D26006113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D26006134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D26006187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D26006188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D26006195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B26004962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B26005046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D26006406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B26005127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B26005167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B26005304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D26006578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B26005374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B26005375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D26006655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D26004613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B26004558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B26001681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D26006465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D26004580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B26004636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D26004117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T26000345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B26004004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D26005477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D26005660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D26005661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D26005776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B26005351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D26000627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B26003636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B26005149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D26002875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B26002706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D26002926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B26003129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B26003130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B26003206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D26003632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D26003647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B26003482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B26003483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Z26000750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D26004369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D26004705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D26005537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D26005851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D26005951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B26004748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D26006049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B26004898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B26004984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D26006462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D26006564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D26006665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B26002237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D26002453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D26006628</v>
          </cell>
          <cell r="AP3483">
            <v>0</v>
          </cell>
          <cell r="AQ3483">
            <v>0</v>
          </cell>
          <cell r="AV3483">
            <v>3370000</v>
          </cell>
        </row>
        <row r="3484">
          <cell r="E3484" t="str">
            <v>D26006629</v>
          </cell>
          <cell r="AP3484">
            <v>0</v>
          </cell>
          <cell r="AQ3484">
            <v>0</v>
          </cell>
          <cell r="AV3484">
            <v>340000</v>
          </cell>
        </row>
        <row r="3485">
          <cell r="E3485" t="str">
            <v>D26006647</v>
          </cell>
          <cell r="AP3485">
            <v>0</v>
          </cell>
          <cell r="AQ3485">
            <v>0</v>
          </cell>
          <cell r="AV3485">
            <v>820000</v>
          </cell>
        </row>
        <row r="3486">
          <cell r="E3486" t="str">
            <v>D26006600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D26002925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T26000226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D26002750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B26003428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D26003883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D26004680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D26004836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B26004295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D26005318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D26005333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D26005734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D26006398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D26004903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B26004368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D26005986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B26003885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B26003954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D26004834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D26004868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B26004066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B26004290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D26005301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D26005427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B26004531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D26005700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B26004758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B26004780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D26006085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B26004926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D26005031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B26004816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D26006311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B26005265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B26004211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D26005384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D26005385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D26006090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T25001374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B26003302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D26006293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B26005408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D26003537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B26005461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D26006535</v>
          </cell>
          <cell r="AP3530">
            <v>0</v>
          </cell>
          <cell r="AQ3530">
            <v>0</v>
          </cell>
          <cell r="AV3530">
            <v>460000000</v>
          </cell>
        </row>
        <row r="3531">
          <cell r="E3531" t="str">
            <v>D26006614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Z26000689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Z26000707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Z26000733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Z26000887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Z26000962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Z26000965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Z26001038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Z26001053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Z26001061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Z26001142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D26001942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B26004232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B26004677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D26006387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D26006660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D26002354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D26003742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T26000361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D26005270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D26000829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D26003671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D26003672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D26003673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D26003674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D26003675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B26003345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D26004319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D26004320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D26004338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D26004445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D26004467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D26004730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D26004731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D26006027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D26006052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D26006248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D26006302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D26006303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D26006304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D26006399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D26006449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D26006546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B26005337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T26000234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B26005214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T25000648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R25000130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D26003925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B26003905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D26004883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D26004886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B26005063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B26004928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D26006404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D26006405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T26000047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T26000109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B26002678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D26003412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B26004079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D26005393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D26006414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B26003007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B26004074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D26006101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D26006288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D26006586</v>
          </cell>
          <cell r="AP3598">
            <v>0</v>
          </cell>
          <cell r="AQ3598">
            <v>0</v>
          </cell>
          <cell r="AV3598">
            <v>1350000</v>
          </cell>
        </row>
        <row r="3599">
          <cell r="E3599" t="str">
            <v>T25001726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D26002809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D26003961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B26004661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D26006500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D26006501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T26000520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B26000065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B26000802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T26000052k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T26000053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B26000919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B26001531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B26001532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B26001543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B26002424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B26002426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D26002609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D26003827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D26004878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>
            <v>260040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B26005257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T26000295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D26004409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D26004410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D26004435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B26004638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B26004639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B26004796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B26005168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B26005169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D25017600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B26002928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B26002939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D26003286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B26003208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D26003466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D26003506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D26003639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D26003682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D26004090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D26004091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B26003764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D26004415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D26004746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D26005192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D26005195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D26005585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D26005920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B26004967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D26006461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B26004747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B26004437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B26004839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B26004903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B26004904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D26006487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B26003182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B26003183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B26003185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D26005115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D26005116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B26004874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B26002648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T26000240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B26003070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>
            <v>260023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D26003811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B26003452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D26004199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T26000236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T26000473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B26005450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T26000529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B26001878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D26002008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D26002009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B26001921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D26002465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D26002466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B26002646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B26003042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B26003192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B26003193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D26003651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D26003867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D26003868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D26004200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B26003791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B26003792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D26004441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D26004442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D26004449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D26005150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D26005153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B26004333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B26004334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D26005586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T26000448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B26004730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B26004731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B26004868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B26004870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B26004871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B26005031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D26006333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B26005136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B26005137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B26005424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D26001095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D26001096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D26001096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B26001106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B26001106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B26001107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B26001107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D26001336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D26001372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D26001372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D26001495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D26001495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D26001496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D26001517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D26001517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D26001688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D26001688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D26001689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D26001689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D26001718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D26001718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D26001743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D26001744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D26001744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D26002034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D26002035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D26002035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D26002148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D26002148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D26002149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D26002149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D26002150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D26002150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D26002207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T26000150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D26002240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D26002346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D26002346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D26002583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D26002583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B26002468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B26002468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B26002473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D26002625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D26002625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B26002633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B26002633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D26003000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D26003001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D26003108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D26003109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D26003110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D26003137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D26003161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D26003161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D26003162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D26003162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D26003176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D26003176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D26003177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D26003177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D26003178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D26003178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D26003256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D26003282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D26003283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D26003383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D26003383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D26003384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D26003384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D26003385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D26003386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D26003386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D26003416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D26003426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D26003539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D26003539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D26003539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D26003605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D26003605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D26003606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D26003606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D26003640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D26003640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D26003679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D26003679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D26003794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D26003794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C26000203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C26000203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C26000204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C26000204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D26004046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D26004203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D26004203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D26004204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D26004204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D26004204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D26004346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D26004507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D26004754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D26004755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D26004827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D26004828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D26004829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D26005049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D26005050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D26005055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D26005099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D26005291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D26005410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D26005411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D26005412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D26005413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D26005414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D26005415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D26005416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D26005417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D26005418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D26005419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D26005420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D26005421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D26005691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D26005692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D26005693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D26005911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D26005912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D26005925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D26006179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D26006180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D26006181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D26006182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T26000494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D26006349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D26006553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D26003183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D26004639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D26004640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B26004137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D26005106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B26004547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B26004637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B26004659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D26006228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D26003300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T26000335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B26004167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B26004168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B26005291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B26005292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D26005147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B26002818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D26004393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D26004718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D26004979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D26005145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D26004722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B26004507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D26005711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B26004641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B26004642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D26006575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D26006610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D26003687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D26003917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B26003669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D26004514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D26005022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B26004512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B26004752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B26005452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B26004362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D23006230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N25000011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B26004872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D26001948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T26000210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B26004906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D25019452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D26001815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D26001863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B26001824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B26002231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D26002450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B26002340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D26002553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D26002632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D26002643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D26002643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D26002715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D26002721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D26002975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D26003105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B26003006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D26003227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D26003251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D26003252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D26003596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D26004296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D26004339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D26004340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D26004340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D26004600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D26004885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D26004956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B26004192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D26005268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D26005364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D26005455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D26005457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B26004567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B26004568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D26006071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D26006142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B26004858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D26006177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D26006412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B26005201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B26005263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B26003321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B26003322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D25018569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B25017002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B25017003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B25017004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B25017041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B25017046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D26001049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D26001050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B26001138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D26006323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Z26000477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Z26000614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Z26000734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Z26000755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Z26000785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Z26000786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Z26000812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Z26000847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Z26000848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Z26000937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Z26000956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Z26000981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Z26000982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Z26000996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Z26000997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Z26001046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Z26001049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Z26001079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Z26001175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Z26001178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Z26001201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D26005523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B26004533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D26006166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B26005173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D26006456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T26000252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T26000347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D26004998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D26006397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B26005198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T26000329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B26004288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B26004289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B26004708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D26006459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D26006505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D26006506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B26004144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D26005205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B26004441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D26005554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B26004772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B26005074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B26003665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B26004488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B26004666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B26004927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D26005058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D26005059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B26004918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B26004935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B26004936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B26004937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D26004820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D26004821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D26005863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T26000470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D26005943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D26005974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B26005041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B26005042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B26005043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B26005086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D26006480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B26003731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B26003733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B26003734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L26000018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D26005128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D26005222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D26005275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B26004787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B26005130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D26006540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D26003842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D26003843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D26003844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B26003781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D26006243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D26002334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B26003232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Z26001114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B26003903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D26004922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D26005259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D26006601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B26003939</v>
          </cell>
          <cell r="AP4026">
            <v>0</v>
          </cell>
          <cell r="AQ4026">
            <v>0</v>
          </cell>
          <cell r="AV4026">
            <v>4928000</v>
          </cell>
        </row>
        <row r="4027">
          <cell r="E4027" t="str">
            <v>D26004601</v>
          </cell>
          <cell r="AP4027">
            <v>0</v>
          </cell>
          <cell r="AQ4027">
            <v>0</v>
          </cell>
          <cell r="AV4027">
            <v>25072000</v>
          </cell>
        </row>
        <row r="4028">
          <cell r="E4028" t="str">
            <v>D26004817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B26004404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B26004660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B26005218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D26005027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B26004450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D26005648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D26005652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B26004685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C26000249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B26004036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D26005387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D26005496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B26004732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B26004767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B26005248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D26006472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D26006515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B26005322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B26002838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D26003342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D26003343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B26003220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B26003242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D26003608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B26003407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D26004035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B26004227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D26005592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D26005647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B26004897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D26006295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B26005197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B26005302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D26006608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Z26000798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Z26000808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Z26000860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Z26000865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Z26000889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Z26000911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Z26001026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Z26001065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Z26001071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Z26001072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Z26001102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Z26001147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Z26001207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B26005221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T26000142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B26003904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D26005889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B26004753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D26006127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T26000057K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D26003349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D26003853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D26003926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D26004255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B26003995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D26005821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D26003555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B26003624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D26004333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D26004352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B26004209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B26004210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D26005407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D26005408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B26004494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D26005689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D26005771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B26004679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B26004680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B26004994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B26005363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T26000258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B26004353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D26006313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B26005331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D26004830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B26004145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B26004528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B26004550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D26005748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B26004777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B26004778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D26006153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B25016539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B25016540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D25019392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D25019402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B26000529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B26000530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B26000643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D26000729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D26002722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D26002723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D26004547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D26004548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D26004549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D26004550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D26004587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B26004458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D26005533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D26003551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D26003551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D26003595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D26003597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D26003709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D26004362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D26004362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D26004363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D26004985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D26004986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D26004987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D26005052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D26005052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D26005177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D26005284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B26004386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B26004508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B26004566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B26004566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D26006072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D26006120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D26006120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D26006121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D26006178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D26006419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B26005164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B26005165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D26006476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B26005385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D26002933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D26003791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D26004394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D26004402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N26000040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D26004521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B26004013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B26004023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B26004939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Z26000233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D26001097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B26005436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D26002637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B26003484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B26003769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D26004443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D26005953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D26003156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D26004253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D26004315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D26005662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D26005663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D26006026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T25001866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T26000194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B26003747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D26006561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D26005330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T26000364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D26003557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B26003728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B26003741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B26004380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D26006440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B26005157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T26000515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D26005610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D26006645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B26005440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B26005441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T26000201k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T26000496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D26001960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T26000133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B26004771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B26004794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D26006635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T26000328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D26005237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D26005238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D26005756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T26000462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D26005867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B26005082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B26005448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B26004592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B26004594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B26005311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B26005312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B26005313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B26005314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D26001528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D26003475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B26003788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D26006286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B26004899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T26000495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B26001694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D26001787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D26002030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D26002361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B26002289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D26002511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D26003477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B26003392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D26004525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T26000379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D26006184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D26006291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D26006563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D26001851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D26001851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D26001851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D26001851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D26001852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D26001852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D26001885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D26004533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D26004646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D26004925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D26004937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>
            <v>260029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B26004166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D26005132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D26005249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D26005252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D26005900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D26005901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B26004735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D26003716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D26003897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B26003487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B26003613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D26004208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D26004222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D26004251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D26004294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B26003840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B26003872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B26003880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B26003886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D26004635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B26003966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B26004034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D26004950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B26004157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B26004158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D26004964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D26004965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D26005093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B26004274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D26005299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D26005470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D26005803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D26005893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B26004682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B26004769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D26006004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D26006039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B26004944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B26004951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D26006439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B26005219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B26005442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B26005443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D26006694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B26003738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D26004357</v>
          </cell>
          <cell r="AP4299">
            <v>0</v>
          </cell>
          <cell r="AQ4299">
            <v>0</v>
          </cell>
          <cell r="AV4299">
            <v>13440000</v>
          </cell>
        </row>
        <row r="4300">
          <cell r="E4300" t="str">
            <v>D26004856</v>
          </cell>
          <cell r="AP4300">
            <v>0</v>
          </cell>
          <cell r="AQ4300">
            <v>0</v>
          </cell>
          <cell r="AV4300">
            <v>26460000</v>
          </cell>
        </row>
        <row r="4301">
          <cell r="E4301" t="str">
            <v>B26004341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D26006576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B26005398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D26006699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Z26000871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Z26000874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Z26000875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Z26000935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Z26001000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Z26001018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Z26001068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Z26001069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Z26001077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Z26001197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Z26001198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D26002438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B26002941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D26004293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D26004312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B26004021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D26005681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B26004548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D26006356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D26006388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B26003152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B26003153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L26000011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D26003449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D26003759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B26003501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D26003987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D26004304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D26004608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D26004955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D26005194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D26005239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D26005253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D26005553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D26005903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B26004719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D26006202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B26005001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B26005030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N26000050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D26006504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N26000055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B26005392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D26006554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B26005015</v>
          </cell>
          <cell r="AP4349">
            <v>0</v>
          </cell>
          <cell r="AQ4349">
            <v>0</v>
          </cell>
          <cell r="AV4349">
            <v>17587500</v>
          </cell>
        </row>
        <row r="4350">
          <cell r="E4350" t="str">
            <v>D26002600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D26002601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N26000023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B26002832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B26002833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D26003629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D26003630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B26003620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B26003621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D26004941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D26004942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D26004943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D26004960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B26004605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B26004606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B26004793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B26005098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B26005099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B26005101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D26006569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D25019432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D25019433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D25019434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D25019435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D25019436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D25019437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N25000086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D26005864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T26000471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T26000472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D26006717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D26006233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D26006649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B26003864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D26004622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D26005010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D26005520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B26004452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D26006642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T25001874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D26003037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D26004628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D26004629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D26004634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D26004674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D26004948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B26004176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D26005633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B26004648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B26004649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D26005908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B26004845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B26004938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B26005109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B26005140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B26005141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D26006594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D26003234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D26003337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D26003389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D26003410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T26000283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B26003324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D26003645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D26003787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D26004073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D26004159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B26003756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B26003827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D26004542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B26003916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D26004625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C26000257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D26004691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D26004749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D26004972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D26005045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D26005168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B26004251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B26004285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B26004411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B26004540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B26004653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D26005937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B26004736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D26006089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B26004914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B26004945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B26005151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D26006444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B26005277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B26005390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B26005426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D26006688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B26000964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B26000965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D26002347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D26005897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T26000228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D26004284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D26005785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D26005786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D26006368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D26006369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D26004418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D26005896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T26000294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T26000451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B26004152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D26005076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D26003091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D26004618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B25012496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D25017825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B25016277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B26001931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B26003776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D26004568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B26003962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D26004800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T26000502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D26006375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B26005255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B26005396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B26001262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T26000105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D26002855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B26002819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B26002820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B26005320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D26002140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B26002067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D26002422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D26002639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D26004230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D26004658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D26004734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D26004890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D26005129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D26005136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D26005263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D26005304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D26005305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D26005501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D26005581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D26005597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D26005670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D26005671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D26005701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D26005702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D26006149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D26006265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D26006432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D26006508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B26005278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D26004310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D26005959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T26000248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B26003509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B26004657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D26006722</v>
          </cell>
          <cell r="AP4510">
            <v>0</v>
          </cell>
          <cell r="AQ4510">
            <v>0</v>
          </cell>
          <cell r="AV4510">
            <v>2655000</v>
          </cell>
        </row>
        <row r="4511">
          <cell r="E4511" t="str">
            <v>D26003058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B26003286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B26003317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B26003351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B26003368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D26004171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D26004262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B26004128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D26005140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B26004402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D26005534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D26005535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D26005856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B26004983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B26005114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D26006566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B26005354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T26000489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B26003612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D26004311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B26003842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D26005969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D26005622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D26005923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B26004852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D26006496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D26006549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B26005362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T26000307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D26004257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B26003784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T26000368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T25001515k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T25001519K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D26002285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D26002296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D26000042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B26000271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D26000591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D26000816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D26000831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D26001378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D26001908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D26002060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B26002342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D26003155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D26003180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D26003363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T26000268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B26003337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D26003631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T26000299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B26003425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D26005422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B26004683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D26005918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D26005919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B26005273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B26005280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B26005316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B26005321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B26003222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D26004624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D26005459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B26004486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D26003358</v>
          </cell>
          <cell r="AP4576">
            <v>500</v>
          </cell>
          <cell r="AQ4576">
            <v>0</v>
          </cell>
          <cell r="AV4576">
            <v>574000</v>
          </cell>
        </row>
        <row r="4577">
          <cell r="E4577" t="str">
            <v>B26005386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B26003159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B26003160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D26003338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D26003901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D26003916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B26003534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D26004055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D26005118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D26005513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D26006218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D26006381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D26006401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B26005272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B26005432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B26001120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B26001210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B26001520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B26001579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D26003214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D26003892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D26004491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B26004198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B26002685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D26000069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B26003468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D26004859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D26004860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B26004235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D26005181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D26005182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B26004527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D26006050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B26005125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D26003394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B26003457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B26003535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D26004057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D26004314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B26003899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B26003956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D26004813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B26004277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D26005806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B26004621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D26005939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D26006242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B26005005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B26005102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B26005121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D26006547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B26005419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D26005507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B26003437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B26003438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D26003848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D26003849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D26004110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D26004111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D26004484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B26004063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B26004064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B26004101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B26004102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D26005368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D26005369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B26004671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B26004672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D26006365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D26006389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D26006391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D26006392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D26006607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B25016192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D26006260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D26006261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D26006262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B26002398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D26003462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B26005401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B26005420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B26005383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T26000397K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B26003790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B26003875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D26004971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B26004212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B26004435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B26004972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B26004982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B26005444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B26005445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B26005446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B26005447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Z26000994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D26002090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D26002117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B26002079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D26002287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D26002288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B26002177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D26002321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D26002327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B26002203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B26002235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D26002922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D26002922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D26002922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D26002923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B26002945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D26003255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D26003352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B26003243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D26003526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D26004239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B26003659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D26004249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B26003770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D26004462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D26004494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D26004920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D26005329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D26005796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B26004823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B26005110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B26005111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B26005192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B26005366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D26006658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B26005413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B26005418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B26005468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D26006119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D26006687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R25000016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D26004806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B26005365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B26003696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D26003574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T26000288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D26006659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T26000227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B26004223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B26005393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D26006696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D26005214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B26005364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D26003387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D26003388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D26005025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B26004909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D26004052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D26005590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D26006357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B26003414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B26003441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D26004814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D26004815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D26004858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D26005451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D26005489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B26005242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D26006705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D26006707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T26000408K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D26006366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D26005561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D26005815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B26004848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B26005181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D26006513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D26006541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B26005330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D26003443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D26003455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B26003703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B26003704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B26003705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B26003723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B26003795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B26003898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D26004659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D26004901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B26004503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B26004651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B26004652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B26005034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Z26000517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Z26000619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Z26000638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T26000332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Z26000731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Z26000739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Z26000741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Z26000752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Z26000769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Z26000770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Z26000828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Z26000843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Z26000883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Z26001032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Z26001036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Z26001037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B26004544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D26006582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D26006583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B26004463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B26004478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T26000449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B26005293</v>
          </cell>
          <cell r="AP4786">
            <v>0</v>
          </cell>
          <cell r="AQ4786">
            <v>0</v>
          </cell>
          <cell r="AV4786">
            <v>395000</v>
          </cell>
        </row>
        <row r="4787">
          <cell r="E4787" t="str">
            <v>B26005294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D26002151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D26002958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D26004053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B26003584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D26004974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D26004975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B26004312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D26005958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B26004743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B26003416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B26003417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B26003418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T26000407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D26004003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D26004018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B26003677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D26004747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B26004245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D26005450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T26000271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B26001429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B26001660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D26002942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D26002943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D26002956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D26002960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D26003458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D26003886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N26000034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D26003918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B26003765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B26003870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B26003882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T26000382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D26005091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B26004443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B26004473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D26005823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D26006447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N26000052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D26006493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B26002019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D26002429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D26003484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D26003485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B26003334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D26003603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B26003823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B26004413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D26005804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B26005189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B26005425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B26005462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B25016320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B26001436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D26002652</v>
          </cell>
          <cell r="AP4843">
            <v>0</v>
          </cell>
          <cell r="AQ4843">
            <v>0</v>
          </cell>
          <cell r="AV4843">
            <v>79800000</v>
          </cell>
        </row>
        <row r="4844">
          <cell r="E4844" t="str">
            <v>D26004978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B26005059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T26000316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D26004736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D26005375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B26004519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B26004562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D26006329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D26006330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B26005373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B26005384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B26004060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B26004697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B26004698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D26004537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D26004725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D26004835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D26005566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D26006484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B26002927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D26003259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D26005317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B26004358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D26005469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B26005120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D26006460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D26006625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T26000259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B26004170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T26000416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B26004427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B26004489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T26000506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B26005186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B26005187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B26005188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T26000528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D26004468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B26003838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B26004131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B26004627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B26005021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B26005022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B26005122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B26005129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B26005347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Z26000265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D26003921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D26001678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D26001679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D26001680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T26000108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D26002649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D26002650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D26002651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D26002673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T26000202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D26003473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D26004167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B26005269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B26005317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B26005318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D26004565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D26006518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B26003700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D26004297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D26004503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B26003889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B26003959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D26005274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D26005336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B26004329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D26005824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D26006017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D26006018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B26004900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D26005371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B26004569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C26000255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C26000260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D26005486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D26005500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B26004806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B26004807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B26004856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D26006422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D26006630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D26006631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D26002353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D26005225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B26004276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D26005366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D26005367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D26004151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B26003655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D26004448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B26003961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D26005283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B26004734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B26004765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T26000426K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T26000534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D26004459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D26004688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D26004689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D26004789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D26004916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B26004118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D26005125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D26005126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D26005361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D26005362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D26005363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D26005874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D26005875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B26004687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D26005909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B26005138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B26005139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D26006650</v>
          </cell>
          <cell r="AP4963">
            <v>0</v>
          </cell>
          <cell r="AQ4963">
            <v>3678000</v>
          </cell>
          <cell r="AV4963">
            <v>0</v>
          </cell>
        </row>
        <row r="4964">
          <cell r="E4964" t="str">
            <v>D26006651</v>
          </cell>
          <cell r="AP4964">
            <v>0</v>
          </cell>
          <cell r="AQ4964">
            <v>740750</v>
          </cell>
          <cell r="AV4964">
            <v>0</v>
          </cell>
        </row>
        <row r="4965">
          <cell r="E4965" t="str">
            <v>D26001731</v>
          </cell>
          <cell r="AP4965">
            <v>0</v>
          </cell>
          <cell r="AQ4965">
            <v>0</v>
          </cell>
          <cell r="AV4965">
            <v>97500000</v>
          </cell>
        </row>
        <row r="4966">
          <cell r="E4966" t="str">
            <v>D26001755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B26001805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D26002032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D26002266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D26002328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D26002672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D26003340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D26003373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D26003973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D26004069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D26004944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D26005193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D26005883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D26005948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D26006114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B26005131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B26005238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D26006621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D26006641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D26003173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D26003648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D26003649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D26005028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B26004543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Z26001153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Z26001189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B26001715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D26001861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D26001877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B26001801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B26001900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D26002095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D26002324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B26002216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B26002277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D26002593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B26002520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D26002712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D26003202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D26003225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D26003523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D26003768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D26003825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D26003831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D26003845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D26003898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D26003899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D26003900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D26003941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B26003517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D26004024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D26004431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D26004432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D26004518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B26004025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B26004061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D26004951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D26004952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D26005215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D26005524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D26005778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B26004655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D26005894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D26005979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B26004733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D26006236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B26005032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B26005033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B26005115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B26005162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D26006530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D26006531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D26006620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D26004426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B26003965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D26005980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B26004709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D26004888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B26005172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D26001653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D26001653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D26002452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D26004365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B26001772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B26000016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D26006403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B26002743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B26002763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B26002858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D26003816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D26004329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D26004647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D26004648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D26005053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D26005054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B26004228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B26004302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B26004322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D26006022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D26006023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D26006159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B26005179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B26005180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D26003762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D26003763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D26005673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D26005812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R25000105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B26004555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B26004556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B26004557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D26006410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T26000170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D26006565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D26005639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D26006088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B26005470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T26000469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T26000486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D26006458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B26005290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B26001784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B26002991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B26003210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D26005726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B26005171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B26005407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D26005641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D26006172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B26004073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B26004579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B26004580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B26003546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D26004220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T26000241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D26004857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B26004491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T26000454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D26005792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B26005117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B26005132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B26003311</v>
          </cell>
          <cell r="AP5107">
            <v>0</v>
          </cell>
          <cell r="AQ5107">
            <v>0</v>
          </cell>
          <cell r="AV5107">
            <v>1620000</v>
          </cell>
        </row>
        <row r="5108">
          <cell r="E5108" t="str">
            <v>D26003624</v>
          </cell>
          <cell r="AP5108">
            <v>0</v>
          </cell>
          <cell r="AQ5108">
            <v>0</v>
          </cell>
          <cell r="AV5108">
            <v>1008000</v>
          </cell>
        </row>
        <row r="5109">
          <cell r="E5109" t="str">
            <v>B26003596</v>
          </cell>
          <cell r="AP5109">
            <v>0</v>
          </cell>
          <cell r="AQ5109">
            <v>0</v>
          </cell>
          <cell r="AV5109">
            <v>5200000</v>
          </cell>
        </row>
        <row r="5110">
          <cell r="E5110" t="str">
            <v>B26003597</v>
          </cell>
          <cell r="AP5110">
            <v>0</v>
          </cell>
          <cell r="AQ5110">
            <v>0</v>
          </cell>
          <cell r="AV5110">
            <v>2325000</v>
          </cell>
        </row>
        <row r="5111">
          <cell r="E5111" t="str">
            <v>D26004327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B26004033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D26004933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D26004957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D26005727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D26005751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D26005985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B26004766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B26004840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D26006376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D26006468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D26006483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D26006681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D26003521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D26003725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B26005254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D26002517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D26003194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D26003771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D26003793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D26004118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D26004313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D26004697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D26004880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D26004992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D26004993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B26004634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B26004635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D26005840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B26005378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B26005387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D26006632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D26006639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B26003691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D26004833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B26004640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D26002397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B26002607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D26002892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B26002790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D26003083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D26003413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D26003438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B26003299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B26005301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B26005303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B26005473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Z26000792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Z26000890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D26006276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D26006283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D26004043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D26004711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D26005208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D26003316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B26003364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D26003721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D26003823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B26003873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D26004764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D26004881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D26004984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B26004207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B26004296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D26005740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D26005966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D26006003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D26006284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B26001718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D26002373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D26003128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B26005123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D26001978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T26000140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D26002380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B26002331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D26003284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D26003684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B26003405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B26003431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B26003492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D26003924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D26004067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D26004243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D26004244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D26004291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D26004354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B26003874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B26003876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B26004011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B26004163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D26004976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D26005012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B26004375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B26004376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B26004504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B26004505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B26004739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D26006021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D26006222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D26006227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D26006360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D26006364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B26005213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D26006516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D26006532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D26006613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D26006617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D26006622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D26003520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B26005289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B26004022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B26004026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B26005296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D26002972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D26005547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B26004643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D26006201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D26001363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T26000238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B26005081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B26005226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B26003678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D26004292</v>
          </cell>
          <cell r="AP5234">
            <v>0</v>
          </cell>
          <cell r="AQ5234">
            <v>0</v>
          </cell>
          <cell r="AV5234">
            <v>2870000</v>
          </cell>
        </row>
        <row r="5235">
          <cell r="E5235" t="str">
            <v>D26005233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D26006562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D26005760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D26005761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D26006066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D26006067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B26004917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D26006714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T24000579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T26000094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T26000095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D26005627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B26004617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B26004763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B26005002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D26006577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D26006584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B26003264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B26003544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B26003593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D26004424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B26004535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D26005873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D26005895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B26004722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D26006281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D26006574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D26006615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D25017697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D26002415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B26004599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D26006111</v>
          </cell>
          <cell r="AP5266">
            <v>0</v>
          </cell>
          <cell r="AQ5266">
            <v>0</v>
          </cell>
          <cell r="AV5266">
            <v>0</v>
          </cell>
        </row>
        <row r="5268">
          <cell r="E5268" t="str">
            <v>A26000682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B26005474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B26005475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B26005476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B26005477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B26005478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B26005479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B26005480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B26005481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B26005482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B26005483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B26005484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B26005485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B26005486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B26005487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B26005488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B26005489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B26005490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B26005491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B26005492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B26005493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B26005494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B26005495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B26005496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B26005497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B26005498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B26005499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B26005500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B26005501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B26005502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B26005503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B26005504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B26005505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B26005506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B26005507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B26005508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B26005509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B26005510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B26005511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B26005512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B26005513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B26005514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B26005515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B26005516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B26005517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B26005518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B26005519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B26005520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C26000348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D26006724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D26006725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D26006726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D26006727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D26006728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D26006729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D26006730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D26006731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D26006732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D26006733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D26006734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D26006735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D26006736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D26006737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D26006738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D26006739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D26006740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D26006741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D26006742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D26006743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D26006744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D26006745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D26006746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D26006747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D26006748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D26006749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D26006750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D26006751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D26006752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D26006753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D26006754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D26006755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D26006756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D26006757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D26006758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D26006759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D26006760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D26006761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D26006762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D26006763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D26006764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D26006765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D26006766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D26006767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D26006768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D26006769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D26006770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D26006771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D26006772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D26006773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D26006774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D26006775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D26006776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D26006777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D26006778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D26006779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D26006780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D26006781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D26006782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D26006783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D26006784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D26006785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D26006786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D26006787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D26006788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D26006789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D26006790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D26006791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D26006792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D26006793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D26006794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D26006795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D26006796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D26006797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D26006798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D26006799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D26006800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D26006801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D26006802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D26006803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D26006804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D26006805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D26006806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D26006807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D26006808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D26006809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D26006810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D26006811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D26006812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D26006813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D26006814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D26006815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D26006816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D26006817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M26000074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M26000075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T26000535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T26000536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T26000537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T26000538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Z26001209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Z26001210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Z26001211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Z26001212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Z26001213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Z26001214</v>
          </cell>
          <cell r="AP5422">
            <v>0</v>
          </cell>
          <cell r="AQ5422">
            <v>0</v>
          </cell>
          <cell r="AV5422">
            <v>0</v>
          </cell>
        </row>
        <row r="5424">
          <cell r="E5424" t="str">
            <v>x</v>
          </cell>
          <cell r="AP5424" t="str">
            <v>x</v>
          </cell>
          <cell r="AQ5424" t="str">
            <v>x</v>
          </cell>
          <cell r="AV5424" t="str">
            <v>x</v>
          </cell>
        </row>
        <row r="5425">
          <cell r="AP5425">
            <v>62180500</v>
          </cell>
          <cell r="AQ5425">
            <v>408168750</v>
          </cell>
          <cell r="AV5425">
            <v>1154871000</v>
          </cell>
        </row>
        <row r="5426">
          <cell r="AQ5426">
            <v>0</v>
          </cell>
        </row>
        <row r="5427">
          <cell r="AQ5427">
            <v>408168750</v>
          </cell>
        </row>
        <row r="5428">
          <cell r="AQ5428">
            <v>408168750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8"/>
  <sheetViews>
    <sheetView topLeftCell="A19" workbookViewId="0">
      <selection activeCell="G38" sqref="G38"/>
    </sheetView>
  </sheetViews>
  <sheetFormatPr defaultRowHeight="15"/>
  <cols>
    <col min="2" max="2" width="10" customWidth="1"/>
    <col min="5" max="5" width="9.7109375" customWidth="1"/>
  </cols>
  <sheetData>
    <row r="3" spans="1:20" ht="25.5">
      <c r="A3" s="148" t="s">
        <v>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" t="s">
        <v>1</v>
      </c>
      <c r="M3" s="2" t="s">
        <v>2</v>
      </c>
      <c r="N3" s="3" t="s">
        <v>3</v>
      </c>
      <c r="O3" s="1" t="s">
        <v>4</v>
      </c>
      <c r="P3" s="1" t="s">
        <v>4</v>
      </c>
      <c r="Q3" s="149" t="s">
        <v>5</v>
      </c>
      <c r="R3" s="149"/>
      <c r="S3" s="149"/>
      <c r="T3" s="3" t="s">
        <v>4</v>
      </c>
    </row>
    <row r="4" spans="1:20" ht="36">
      <c r="A4" s="4" t="s">
        <v>6</v>
      </c>
      <c r="B4" s="5" t="s">
        <v>7</v>
      </c>
      <c r="C4" s="6" t="s">
        <v>8</v>
      </c>
      <c r="D4" s="7" t="s">
        <v>9</v>
      </c>
      <c r="E4" s="150" t="s">
        <v>10</v>
      </c>
      <c r="F4" s="150"/>
      <c r="G4" s="8" t="s">
        <v>11</v>
      </c>
      <c r="H4" s="9" t="s">
        <v>12</v>
      </c>
      <c r="I4" s="10" t="s">
        <v>13</v>
      </c>
      <c r="J4" s="151" t="s">
        <v>14</v>
      </c>
      <c r="K4" s="151"/>
      <c r="L4" s="11" t="s">
        <v>15</v>
      </c>
      <c r="M4" s="12" t="s">
        <v>16</v>
      </c>
      <c r="N4" s="13" t="s">
        <v>17</v>
      </c>
      <c r="O4" s="11" t="s">
        <v>18</v>
      </c>
      <c r="P4" s="11" t="s">
        <v>19</v>
      </c>
      <c r="Q4" s="14" t="s">
        <v>20</v>
      </c>
      <c r="R4" s="14" t="s">
        <v>21</v>
      </c>
      <c r="S4" s="14" t="s">
        <v>2</v>
      </c>
      <c r="T4" s="13" t="s">
        <v>22</v>
      </c>
    </row>
    <row r="5" spans="1:20">
      <c r="A5" s="15" t="s">
        <v>23</v>
      </c>
      <c r="B5" s="16">
        <f>+E5+G5+H5+J5</f>
        <v>9416.06005</v>
      </c>
      <c r="C5" s="17">
        <v>0.96</v>
      </c>
      <c r="D5" s="18">
        <f>+F5</f>
        <v>0.92182417634433</v>
      </c>
      <c r="E5" s="16">
        <v>8679.9518000000007</v>
      </c>
      <c r="F5" s="19">
        <f t="shared" ref="F5:F7" si="0">+E5/B5</f>
        <v>0.92182417634433</v>
      </c>
      <c r="G5" s="16">
        <v>736.10825</v>
      </c>
      <c r="H5" s="16">
        <v>0</v>
      </c>
      <c r="I5" s="19">
        <f t="shared" ref="I5:I7" si="1">+(G5+H5)/B5</f>
        <v>7.8175823655670079E-2</v>
      </c>
      <c r="J5" s="16">
        <v>0</v>
      </c>
      <c r="K5" s="19">
        <f t="shared" ref="K5:K7" si="2">+J5/B5</f>
        <v>0</v>
      </c>
      <c r="L5" s="20">
        <v>0</v>
      </c>
      <c r="M5" s="21">
        <v>0.81610921356684918</v>
      </c>
      <c r="N5" s="22"/>
      <c r="O5" s="22"/>
      <c r="P5" s="22"/>
      <c r="Q5" s="23"/>
      <c r="R5" s="23"/>
      <c r="S5" s="19">
        <v>1</v>
      </c>
      <c r="T5" s="24">
        <v>0</v>
      </c>
    </row>
    <row r="6" spans="1:20">
      <c r="A6" s="15" t="s">
        <v>38</v>
      </c>
      <c r="B6" s="16">
        <f>+E6+G6+H6+J6</f>
        <v>9766.110999999999</v>
      </c>
      <c r="C6" s="17">
        <v>0.96</v>
      </c>
      <c r="D6" s="18">
        <f>AVERAGE(F5:F6)</f>
        <v>0.9155861518808408</v>
      </c>
      <c r="E6" s="16">
        <v>8880.7947499999991</v>
      </c>
      <c r="F6" s="17">
        <f t="shared" si="0"/>
        <v>0.90934812741735171</v>
      </c>
      <c r="G6" s="16">
        <v>692.52925000000005</v>
      </c>
      <c r="H6" s="16">
        <v>192.78700000000001</v>
      </c>
      <c r="I6" s="19">
        <f t="shared" si="1"/>
        <v>9.0651872582648327E-2</v>
      </c>
      <c r="J6" s="16">
        <v>0</v>
      </c>
      <c r="K6" s="17">
        <f t="shared" si="2"/>
        <v>0</v>
      </c>
      <c r="L6" s="20">
        <v>0</v>
      </c>
      <c r="M6" s="21">
        <v>0.65818400972603663</v>
      </c>
      <c r="N6" s="22"/>
      <c r="O6" s="22"/>
      <c r="P6" s="22"/>
      <c r="Q6" s="23"/>
      <c r="R6" s="23"/>
      <c r="S6" s="19">
        <v>1</v>
      </c>
      <c r="T6" s="24">
        <v>0</v>
      </c>
    </row>
    <row r="7" spans="1:20">
      <c r="A7" s="15" t="s">
        <v>148</v>
      </c>
      <c r="B7" s="16">
        <f>+E7+G7+H7+J7</f>
        <v>11667.250750000001</v>
      </c>
      <c r="C7" s="17">
        <v>0.96</v>
      </c>
      <c r="D7" s="18">
        <f>AVERAGE(F5:F7)</f>
        <v>0.92111824585704005</v>
      </c>
      <c r="E7" s="16">
        <v>10876.0062</v>
      </c>
      <c r="F7" s="19">
        <f t="shared" si="0"/>
        <v>0.93218243380943866</v>
      </c>
      <c r="G7" s="16">
        <v>783.64454999999998</v>
      </c>
      <c r="H7" s="16">
        <v>7.6</v>
      </c>
      <c r="I7" s="19">
        <f t="shared" si="1"/>
        <v>6.7817566190561215E-2</v>
      </c>
      <c r="J7" s="16">
        <v>0</v>
      </c>
      <c r="K7" s="19">
        <f t="shared" si="2"/>
        <v>0</v>
      </c>
      <c r="L7" s="103">
        <v>0.21739130434782608</v>
      </c>
      <c r="M7" s="21">
        <v>0.78257995819653581</v>
      </c>
      <c r="N7" s="22"/>
      <c r="O7" s="22"/>
      <c r="P7" s="22"/>
      <c r="Q7" s="23"/>
      <c r="R7" s="23"/>
      <c r="S7" s="19">
        <v>1</v>
      </c>
      <c r="T7" s="24">
        <v>0</v>
      </c>
    </row>
    <row r="8" spans="1:20">
      <c r="A8" s="128" t="s">
        <v>177</v>
      </c>
      <c r="B8" s="129">
        <v>11263.131400000002</v>
      </c>
      <c r="C8" s="130">
        <v>0.96</v>
      </c>
      <c r="D8" s="131">
        <v>0.9314660530374349</v>
      </c>
      <c r="E8" s="129">
        <v>10491.224550000001</v>
      </c>
      <c r="F8" s="132">
        <v>0.9314660530374349</v>
      </c>
      <c r="G8" s="129">
        <v>716.30730000000005</v>
      </c>
      <c r="H8" s="129">
        <v>55.599550000000001</v>
      </c>
      <c r="I8" s="132">
        <v>6.8533946962564957E-2</v>
      </c>
      <c r="J8" s="129">
        <v>0</v>
      </c>
      <c r="K8" s="132">
        <v>0</v>
      </c>
      <c r="L8" s="133">
        <v>0.16669999999999999</v>
      </c>
      <c r="M8" s="134">
        <v>0.84405659796254751</v>
      </c>
      <c r="N8" s="135"/>
      <c r="O8" s="135"/>
      <c r="P8" s="135"/>
      <c r="Q8" s="136"/>
      <c r="R8" s="136"/>
      <c r="S8" s="19">
        <v>1</v>
      </c>
      <c r="T8" s="137">
        <v>0</v>
      </c>
    </row>
    <row r="9" spans="1:20">
      <c r="A9" s="118"/>
      <c r="B9" s="119"/>
      <c r="C9" s="120"/>
      <c r="D9" s="121"/>
      <c r="E9" s="119"/>
      <c r="F9" s="122"/>
      <c r="G9" s="119"/>
      <c r="H9" s="119"/>
      <c r="I9" s="122"/>
      <c r="J9" s="119"/>
      <c r="K9" s="122"/>
      <c r="L9" s="123"/>
      <c r="M9" s="124"/>
      <c r="N9" s="125"/>
      <c r="O9" s="125"/>
      <c r="P9" s="125"/>
      <c r="Q9" s="126"/>
      <c r="R9" s="126"/>
      <c r="S9" s="122"/>
      <c r="T9" s="127"/>
    </row>
    <row r="10" spans="1:20">
      <c r="A10" s="118"/>
      <c r="B10" s="119"/>
      <c r="C10" s="120"/>
      <c r="D10" s="121"/>
      <c r="E10" s="119"/>
      <c r="F10" s="122"/>
      <c r="G10" s="119"/>
      <c r="H10" s="119"/>
      <c r="I10" s="122"/>
      <c r="J10" s="119"/>
      <c r="K10" s="122"/>
      <c r="L10" s="123"/>
      <c r="M10" s="124"/>
      <c r="N10" s="125"/>
      <c r="O10" s="125"/>
      <c r="P10" s="125"/>
      <c r="Q10" s="126"/>
      <c r="R10" s="126"/>
      <c r="S10" s="122"/>
      <c r="T10" s="127"/>
    </row>
    <row r="12" spans="1:20">
      <c r="A12" s="152" t="s">
        <v>24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</row>
    <row r="13" spans="1:20">
      <c r="A13" s="154" t="s">
        <v>6</v>
      </c>
      <c r="B13" s="155" t="s">
        <v>25</v>
      </c>
      <c r="C13" s="156"/>
      <c r="D13" s="156"/>
      <c r="E13" s="156"/>
      <c r="F13" s="156"/>
      <c r="G13" s="156"/>
      <c r="H13" s="157"/>
      <c r="I13" s="158" t="s">
        <v>8</v>
      </c>
      <c r="J13" s="159"/>
      <c r="K13" s="25" t="s">
        <v>26</v>
      </c>
      <c r="L13" s="25" t="s">
        <v>27</v>
      </c>
    </row>
    <row r="14" spans="1:20">
      <c r="A14" s="154"/>
      <c r="B14" s="160" t="s">
        <v>28</v>
      </c>
      <c r="C14" s="161"/>
      <c r="D14" s="161"/>
      <c r="E14" s="162"/>
      <c r="F14" s="163" t="s">
        <v>29</v>
      </c>
      <c r="G14" s="164"/>
      <c r="H14" s="165"/>
      <c r="I14" s="146" t="s">
        <v>30</v>
      </c>
      <c r="J14" s="147"/>
      <c r="K14" s="26" t="s">
        <v>31</v>
      </c>
      <c r="L14" s="26" t="s">
        <v>32</v>
      </c>
    </row>
    <row r="15" spans="1:20">
      <c r="A15" s="154"/>
      <c r="B15" s="27" t="s">
        <v>8</v>
      </c>
      <c r="C15" s="28" t="s">
        <v>2</v>
      </c>
      <c r="D15" s="28" t="s">
        <v>33</v>
      </c>
      <c r="E15" s="29" t="s">
        <v>34</v>
      </c>
      <c r="F15" s="28" t="s">
        <v>2</v>
      </c>
      <c r="G15" s="28" t="s">
        <v>33</v>
      </c>
      <c r="H15" s="29" t="s">
        <v>34</v>
      </c>
      <c r="I15" s="30" t="s">
        <v>33</v>
      </c>
      <c r="J15" s="30" t="s">
        <v>34</v>
      </c>
      <c r="K15" s="31" t="s">
        <v>35</v>
      </c>
      <c r="L15" s="31" t="s">
        <v>35</v>
      </c>
    </row>
    <row r="16" spans="1:20">
      <c r="A16" s="32" t="s">
        <v>23</v>
      </c>
      <c r="B16" s="33">
        <v>0.9</v>
      </c>
      <c r="C16" s="33">
        <f>+D16/(D16+E16)</f>
        <v>0.92481315711564616</v>
      </c>
      <c r="D16" s="34">
        <f>+G16</f>
        <v>11386.150025000004</v>
      </c>
      <c r="E16" s="34">
        <f>+H16</f>
        <v>925.68824999999993</v>
      </c>
      <c r="F16" s="35">
        <f t="shared" ref="F16:F19" si="3">+G16/(G16+H16)</f>
        <v>0.92481315711564616</v>
      </c>
      <c r="G16" s="36">
        <v>11386.150025000004</v>
      </c>
      <c r="H16" s="37">
        <v>925.68824999999993</v>
      </c>
      <c r="I16" s="36" t="s">
        <v>36</v>
      </c>
      <c r="J16" s="36" t="s">
        <v>37</v>
      </c>
      <c r="K16" s="38">
        <v>1</v>
      </c>
      <c r="L16" s="39">
        <v>0.28009418780782763</v>
      </c>
    </row>
    <row r="17" spans="1:12">
      <c r="A17" s="32" t="s">
        <v>38</v>
      </c>
      <c r="B17" s="33">
        <v>0.9</v>
      </c>
      <c r="C17" s="33">
        <f t="shared" ref="C17:C19" si="4">+D17/(D17+E17)</f>
        <v>0.94899654198078343</v>
      </c>
      <c r="D17" s="34">
        <f>+D16+G17</f>
        <v>24483.185725000003</v>
      </c>
      <c r="E17" s="34">
        <f>+E16+H17</f>
        <v>1315.8394999999998</v>
      </c>
      <c r="F17" s="35">
        <f t="shared" si="3"/>
        <v>0.97107245184289515</v>
      </c>
      <c r="G17" s="37">
        <v>13097.0357</v>
      </c>
      <c r="H17" s="37">
        <v>390.15124999999995</v>
      </c>
      <c r="I17" s="36" t="s">
        <v>36</v>
      </c>
      <c r="J17" s="36" t="s">
        <v>37</v>
      </c>
      <c r="K17" s="38">
        <v>0</v>
      </c>
      <c r="L17" s="39">
        <v>1.948149636045643E-2</v>
      </c>
    </row>
    <row r="18" spans="1:12">
      <c r="A18" s="32" t="s">
        <v>148</v>
      </c>
      <c r="B18" s="33">
        <v>0.9</v>
      </c>
      <c r="C18" s="104">
        <f t="shared" si="4"/>
        <v>0.94934324711922302</v>
      </c>
      <c r="D18" s="34">
        <f t="shared" ref="D18:E19" si="5">+D17+G18</f>
        <v>32578.536525000003</v>
      </c>
      <c r="E18" s="34">
        <f t="shared" si="5"/>
        <v>1738.38375</v>
      </c>
      <c r="F18" s="35">
        <f t="shared" si="3"/>
        <v>0.95039334864779768</v>
      </c>
      <c r="G18" s="37">
        <v>8095.3508000000011</v>
      </c>
      <c r="H18" s="37">
        <v>422.54425000000015</v>
      </c>
      <c r="I18" s="36" t="s">
        <v>36</v>
      </c>
      <c r="J18" s="36" t="s">
        <v>37</v>
      </c>
      <c r="K18" s="38">
        <v>0</v>
      </c>
      <c r="L18" s="108">
        <v>0.16</v>
      </c>
    </row>
    <row r="19" spans="1:12">
      <c r="A19" s="32" t="s">
        <v>177</v>
      </c>
      <c r="B19" s="33">
        <v>0.9</v>
      </c>
      <c r="C19" s="104">
        <f t="shared" si="4"/>
        <v>0.94397855531999364</v>
      </c>
      <c r="D19" s="34">
        <f t="shared" si="5"/>
        <v>46746.991000000009</v>
      </c>
      <c r="E19" s="34">
        <f t="shared" si="5"/>
        <v>2774.25155</v>
      </c>
      <c r="F19" s="35">
        <f t="shared" si="3"/>
        <v>0.93187017604176647</v>
      </c>
      <c r="G19" s="37">
        <v>14168.45447500001</v>
      </c>
      <c r="H19" s="37">
        <v>1035.8678</v>
      </c>
      <c r="I19" s="36" t="s">
        <v>36</v>
      </c>
      <c r="J19" s="36" t="s">
        <v>37</v>
      </c>
      <c r="K19" s="38">
        <v>0</v>
      </c>
      <c r="L19" s="39">
        <v>0.28000000000000003</v>
      </c>
    </row>
    <row r="22" spans="1:12">
      <c r="A22" s="40" t="s">
        <v>39</v>
      </c>
      <c r="B22" s="40" t="s">
        <v>40</v>
      </c>
      <c r="C22" s="40" t="s">
        <v>41</v>
      </c>
      <c r="D22" s="40" t="s">
        <v>42</v>
      </c>
      <c r="E22" s="40" t="s">
        <v>43</v>
      </c>
      <c r="F22" s="40" t="s">
        <v>44</v>
      </c>
      <c r="G22" s="40" t="s">
        <v>45</v>
      </c>
    </row>
    <row r="23" spans="1:12">
      <c r="A23" s="145">
        <v>1</v>
      </c>
      <c r="B23" s="41" t="s">
        <v>46</v>
      </c>
      <c r="C23" s="42">
        <v>387</v>
      </c>
      <c r="D23" s="43">
        <v>468</v>
      </c>
      <c r="E23" s="43">
        <v>609</v>
      </c>
      <c r="F23" s="43">
        <v>438</v>
      </c>
      <c r="G23" s="43">
        <v>889</v>
      </c>
    </row>
    <row r="24" spans="1:12">
      <c r="A24" s="145"/>
      <c r="B24" s="41" t="s">
        <v>47</v>
      </c>
      <c r="C24" s="42">
        <v>357</v>
      </c>
      <c r="D24" s="43">
        <v>455</v>
      </c>
      <c r="E24" s="42">
        <v>562</v>
      </c>
      <c r="F24" s="43">
        <v>415</v>
      </c>
      <c r="G24" s="43">
        <v>861</v>
      </c>
    </row>
    <row r="25" spans="1:12">
      <c r="A25" s="145"/>
      <c r="B25" s="41" t="s">
        <v>8</v>
      </c>
      <c r="C25" s="42">
        <v>30</v>
      </c>
      <c r="D25" s="42">
        <f>+D23-D24</f>
        <v>13</v>
      </c>
      <c r="E25" s="42">
        <f>+E23-E24</f>
        <v>47</v>
      </c>
      <c r="F25" s="42">
        <f>+F23-F24</f>
        <v>23</v>
      </c>
      <c r="G25" s="42">
        <v>28</v>
      </c>
    </row>
    <row r="26" spans="1:12">
      <c r="A26" s="145"/>
      <c r="B26" s="44" t="s">
        <v>2</v>
      </c>
      <c r="C26" s="45">
        <f>C24/C23</f>
        <v>0.92248062015503873</v>
      </c>
      <c r="D26" s="45">
        <f t="shared" ref="D26:G26" si="6">D24/D23</f>
        <v>0.97222222222222221</v>
      </c>
      <c r="E26" s="45">
        <f t="shared" si="6"/>
        <v>0.92282430213464695</v>
      </c>
      <c r="F26" s="45">
        <f t="shared" si="6"/>
        <v>0.94748858447488582</v>
      </c>
      <c r="G26" s="45">
        <f t="shared" si="6"/>
        <v>0.96850393700787396</v>
      </c>
    </row>
    <row r="27" spans="1:12">
      <c r="A27" s="145">
        <v>2</v>
      </c>
      <c r="B27" s="41" t="s">
        <v>46</v>
      </c>
      <c r="C27" s="42">
        <v>387</v>
      </c>
      <c r="D27" s="43">
        <v>468</v>
      </c>
      <c r="E27" s="43">
        <v>609</v>
      </c>
      <c r="F27" s="43">
        <v>440</v>
      </c>
      <c r="G27" s="43">
        <v>889</v>
      </c>
    </row>
    <row r="28" spans="1:12">
      <c r="A28" s="145"/>
      <c r="B28" s="41" t="s">
        <v>47</v>
      </c>
      <c r="C28" s="42">
        <v>363</v>
      </c>
      <c r="D28" s="43">
        <v>455</v>
      </c>
      <c r="E28" s="42">
        <v>564</v>
      </c>
      <c r="F28" s="43">
        <v>404</v>
      </c>
      <c r="G28" s="43">
        <v>863</v>
      </c>
    </row>
    <row r="29" spans="1:12">
      <c r="A29" s="145"/>
      <c r="B29" s="41" t="s">
        <v>8</v>
      </c>
      <c r="C29" s="42">
        <f t="shared" ref="C29:G29" si="7">+C27-C28</f>
        <v>24</v>
      </c>
      <c r="D29" s="42">
        <f t="shared" si="7"/>
        <v>13</v>
      </c>
      <c r="E29" s="42">
        <f t="shared" si="7"/>
        <v>45</v>
      </c>
      <c r="F29" s="42">
        <f t="shared" si="7"/>
        <v>36</v>
      </c>
      <c r="G29" s="42">
        <f t="shared" si="7"/>
        <v>26</v>
      </c>
    </row>
    <row r="30" spans="1:12">
      <c r="A30" s="145"/>
      <c r="B30" s="99" t="s">
        <v>2</v>
      </c>
      <c r="C30" s="100">
        <f>C28/C27</f>
        <v>0.93798449612403101</v>
      </c>
      <c r="D30" s="101">
        <f t="shared" ref="D30:E30" si="8">D28/D27</f>
        <v>0.97222222222222221</v>
      </c>
      <c r="E30" s="100">
        <f t="shared" si="8"/>
        <v>0.92610837438423643</v>
      </c>
      <c r="F30" s="101">
        <f t="shared" ref="F30:G30" si="9">F28/F27</f>
        <v>0.91818181818181821</v>
      </c>
      <c r="G30" s="100">
        <f t="shared" si="9"/>
        <v>0.97075365579302586</v>
      </c>
    </row>
    <row r="31" spans="1:12">
      <c r="A31" s="145">
        <v>3</v>
      </c>
      <c r="B31" s="41" t="s">
        <v>46</v>
      </c>
      <c r="C31" s="102">
        <v>610</v>
      </c>
      <c r="D31" s="43">
        <v>468</v>
      </c>
      <c r="E31" s="43">
        <v>387</v>
      </c>
      <c r="F31" s="43">
        <v>440</v>
      </c>
      <c r="G31" s="43">
        <v>889</v>
      </c>
    </row>
    <row r="32" spans="1:12">
      <c r="A32" s="145"/>
      <c r="B32" s="41" t="s">
        <v>47</v>
      </c>
      <c r="C32" s="102">
        <v>581</v>
      </c>
      <c r="D32" s="43">
        <v>454</v>
      </c>
      <c r="E32" s="102">
        <v>362</v>
      </c>
      <c r="F32" s="43">
        <v>416</v>
      </c>
      <c r="G32" s="43">
        <f>863-2</f>
        <v>861</v>
      </c>
    </row>
    <row r="33" spans="1:7">
      <c r="A33" s="145"/>
      <c r="B33" s="41" t="s">
        <v>8</v>
      </c>
      <c r="C33" s="105">
        <f t="shared" ref="C33:G33" si="10">+C31-C32</f>
        <v>29</v>
      </c>
      <c r="D33" s="106">
        <f t="shared" si="10"/>
        <v>14</v>
      </c>
      <c r="E33" s="106">
        <f t="shared" si="10"/>
        <v>25</v>
      </c>
      <c r="F33" s="107">
        <f t="shared" si="10"/>
        <v>24</v>
      </c>
      <c r="G33" s="106">
        <f t="shared" si="10"/>
        <v>28</v>
      </c>
    </row>
    <row r="34" spans="1:7">
      <c r="A34" s="145"/>
      <c r="B34" s="99" t="s">
        <v>2</v>
      </c>
      <c r="C34" s="100">
        <f>C32/C31</f>
        <v>0.95245901639344266</v>
      </c>
      <c r="D34" s="100">
        <f t="shared" ref="D34" si="11">D32/D31</f>
        <v>0.97008547008547008</v>
      </c>
      <c r="E34" s="100">
        <f>E32/E31</f>
        <v>0.93540051679586567</v>
      </c>
      <c r="F34" s="100">
        <f>F32/F31</f>
        <v>0.94545454545454544</v>
      </c>
      <c r="G34" s="100">
        <f t="shared" ref="G34" si="12">G32/G31</f>
        <v>0.96850393700787396</v>
      </c>
    </row>
    <row r="35" spans="1:7">
      <c r="A35" s="144">
        <v>4</v>
      </c>
      <c r="B35" s="138" t="s">
        <v>46</v>
      </c>
      <c r="C35" s="139">
        <v>625</v>
      </c>
      <c r="D35" s="140">
        <v>921</v>
      </c>
      <c r="E35" s="140">
        <v>402</v>
      </c>
      <c r="F35" s="140">
        <v>461</v>
      </c>
      <c r="G35" s="140">
        <v>902</v>
      </c>
    </row>
    <row r="36" spans="1:7">
      <c r="A36" s="144"/>
      <c r="B36" s="138" t="s">
        <v>47</v>
      </c>
      <c r="C36" s="139">
        <v>598</v>
      </c>
      <c r="D36" s="140">
        <v>888</v>
      </c>
      <c r="E36" s="139">
        <v>381</v>
      </c>
      <c r="F36" s="140">
        <v>429</v>
      </c>
      <c r="G36" s="140">
        <v>875</v>
      </c>
    </row>
    <row r="37" spans="1:7">
      <c r="A37" s="144"/>
      <c r="B37" s="138" t="s">
        <v>8</v>
      </c>
      <c r="C37" s="141">
        <f t="shared" ref="C37:G37" si="13">+C35-C36</f>
        <v>27</v>
      </c>
      <c r="D37" s="139">
        <f t="shared" si="13"/>
        <v>33</v>
      </c>
      <c r="E37" s="139">
        <f t="shared" si="13"/>
        <v>21</v>
      </c>
      <c r="F37" s="139">
        <f t="shared" si="13"/>
        <v>32</v>
      </c>
      <c r="G37" s="139">
        <f t="shared" si="13"/>
        <v>27</v>
      </c>
    </row>
    <row r="38" spans="1:7">
      <c r="A38" s="144"/>
      <c r="B38" s="142" t="s">
        <v>2</v>
      </c>
      <c r="C38" s="143">
        <f>C36/C35</f>
        <v>0.95679999999999998</v>
      </c>
      <c r="D38" s="143">
        <f t="shared" ref="D38" si="14">D36/D35</f>
        <v>0.96416938110749184</v>
      </c>
      <c r="E38" s="143">
        <f>E36/E35</f>
        <v>0.94776119402985071</v>
      </c>
      <c r="F38" s="143">
        <f>F36/F35</f>
        <v>0.93058568329718006</v>
      </c>
      <c r="G38" s="143">
        <f t="shared" ref="G38" si="15">G36/G35</f>
        <v>0.97006651884700668</v>
      </c>
    </row>
  </sheetData>
  <mergeCells count="15">
    <mergeCell ref="A3:K3"/>
    <mergeCell ref="Q3:S3"/>
    <mergeCell ref="E4:F4"/>
    <mergeCell ref="J4:K4"/>
    <mergeCell ref="A12:L12"/>
    <mergeCell ref="A35:A38"/>
    <mergeCell ref="A31:A34"/>
    <mergeCell ref="A27:A30"/>
    <mergeCell ref="I14:J14"/>
    <mergeCell ref="A23:A26"/>
    <mergeCell ref="A13:A15"/>
    <mergeCell ref="B13:H13"/>
    <mergeCell ref="I13:J13"/>
    <mergeCell ref="B14:E14"/>
    <mergeCell ref="F14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41"/>
  <sheetViews>
    <sheetView zoomScale="90" zoomScaleNormal="90" workbookViewId="0">
      <pane xSplit="3" ySplit="6" topLeftCell="F7" activePane="bottomRight" state="frozen"/>
      <selection pane="topRight" activeCell="C1" sqref="C1"/>
      <selection pane="bottomLeft" activeCell="A3" sqref="A3"/>
      <selection pane="bottomRight" activeCell="AG19" sqref="AG19"/>
    </sheetView>
  </sheetViews>
  <sheetFormatPr defaultRowHeight="15"/>
  <cols>
    <col min="1" max="1" width="7" style="172" customWidth="1"/>
    <col min="2" max="2" width="4.5703125" customWidth="1"/>
    <col min="3" max="3" width="21.7109375" customWidth="1"/>
    <col min="4" max="5" width="5.7109375" customWidth="1"/>
    <col min="6" max="6" width="6" customWidth="1"/>
    <col min="7" max="21" width="5.7109375" customWidth="1"/>
    <col min="22" max="22" width="4.7109375" customWidth="1"/>
    <col min="23" max="23" width="5" customWidth="1"/>
    <col min="24" max="24" width="5.140625" customWidth="1"/>
    <col min="25" max="34" width="5.7109375" customWidth="1"/>
    <col min="35" max="35" width="6.140625" customWidth="1"/>
    <col min="36" max="40" width="5.7109375" customWidth="1"/>
  </cols>
  <sheetData>
    <row r="1" spans="2:56" ht="15.75">
      <c r="B1" s="166" t="s">
        <v>48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</row>
    <row r="2" spans="2:56">
      <c r="B2" s="167" t="s">
        <v>178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46" t="s">
        <v>49</v>
      </c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2:56">
      <c r="B3" s="47"/>
      <c r="C3" s="48" t="s">
        <v>50</v>
      </c>
      <c r="D3" s="46" t="s">
        <v>51</v>
      </c>
      <c r="E3" s="49" t="s">
        <v>45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49</v>
      </c>
      <c r="U3" s="46"/>
      <c r="V3" s="46" t="s">
        <v>49</v>
      </c>
      <c r="W3" s="46" t="s">
        <v>49</v>
      </c>
      <c r="X3" s="46" t="s">
        <v>49</v>
      </c>
      <c r="Y3" s="46" t="s">
        <v>49</v>
      </c>
      <c r="Z3" s="46" t="s">
        <v>49</v>
      </c>
      <c r="AA3" s="46"/>
      <c r="AB3" s="46" t="s">
        <v>49</v>
      </c>
      <c r="AC3" s="46" t="s">
        <v>49</v>
      </c>
      <c r="AD3" s="46" t="s">
        <v>49</v>
      </c>
      <c r="AE3" s="46" t="s">
        <v>49</v>
      </c>
      <c r="AF3" s="46" t="s">
        <v>49</v>
      </c>
      <c r="AG3" s="46" t="s">
        <v>49</v>
      </c>
      <c r="AH3" s="46"/>
      <c r="AI3" s="46" t="s">
        <v>49</v>
      </c>
      <c r="AJ3" s="46" t="s">
        <v>49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2:56">
      <c r="B4" s="48"/>
      <c r="C4" s="48" t="s">
        <v>52</v>
      </c>
      <c r="D4" s="46" t="s">
        <v>51</v>
      </c>
      <c r="E4" s="49" t="s">
        <v>53</v>
      </c>
      <c r="F4" s="46"/>
      <c r="G4" s="46"/>
      <c r="H4" s="46"/>
      <c r="I4" s="46"/>
      <c r="J4" s="46"/>
      <c r="K4" s="46"/>
      <c r="L4" s="46"/>
      <c r="M4" s="46"/>
      <c r="N4" s="46" t="s">
        <v>49</v>
      </c>
      <c r="O4" s="46"/>
      <c r="P4" s="46"/>
      <c r="Q4" s="46"/>
      <c r="R4" s="46"/>
      <c r="S4" s="46"/>
      <c r="T4" s="46"/>
      <c r="U4" s="46"/>
      <c r="V4" s="46"/>
      <c r="W4" s="46"/>
      <c r="X4" s="46" t="s">
        <v>49</v>
      </c>
      <c r="Y4" s="46"/>
      <c r="Z4" s="46" t="s">
        <v>49</v>
      </c>
      <c r="AA4" s="46" t="s">
        <v>49</v>
      </c>
      <c r="AB4" s="46" t="s">
        <v>49</v>
      </c>
      <c r="AC4" s="46"/>
      <c r="AD4" s="46" t="s">
        <v>49</v>
      </c>
      <c r="AE4" s="46"/>
      <c r="AF4" s="46" t="s">
        <v>49</v>
      </c>
      <c r="AG4" s="46"/>
      <c r="AH4" s="46" t="s">
        <v>49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spans="2:56">
      <c r="B5" s="48"/>
      <c r="C5" s="48" t="s">
        <v>54</v>
      </c>
      <c r="D5" s="46" t="s">
        <v>51</v>
      </c>
      <c r="E5" s="49" t="s">
        <v>55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2:56" s="50" customFormat="1" ht="12.95" customHeight="1">
      <c r="B6" s="51" t="s">
        <v>56</v>
      </c>
      <c r="C6" s="51" t="s">
        <v>57</v>
      </c>
      <c r="D6" s="53">
        <v>1</v>
      </c>
      <c r="E6" s="53">
        <v>2</v>
      </c>
      <c r="F6" s="52">
        <v>3</v>
      </c>
      <c r="G6" s="53">
        <v>4</v>
      </c>
      <c r="H6" s="52">
        <v>5</v>
      </c>
      <c r="I6" s="53">
        <v>6</v>
      </c>
      <c r="J6" s="53">
        <v>7</v>
      </c>
      <c r="K6" s="53">
        <v>8</v>
      </c>
      <c r="L6" s="53">
        <v>9</v>
      </c>
      <c r="M6" s="53">
        <v>10</v>
      </c>
      <c r="N6" s="53">
        <v>11</v>
      </c>
      <c r="O6" s="52">
        <v>12</v>
      </c>
      <c r="P6" s="53">
        <v>13</v>
      </c>
      <c r="Q6" s="53">
        <v>14</v>
      </c>
      <c r="R6" s="53">
        <v>15</v>
      </c>
      <c r="S6" s="53">
        <v>16</v>
      </c>
      <c r="T6" s="53">
        <v>17</v>
      </c>
      <c r="U6" s="53">
        <v>18</v>
      </c>
      <c r="V6" s="52">
        <v>19</v>
      </c>
      <c r="W6" s="53">
        <v>20</v>
      </c>
      <c r="X6" s="53">
        <v>21</v>
      </c>
      <c r="Y6" s="53">
        <v>22</v>
      </c>
      <c r="Z6" s="53">
        <v>23</v>
      </c>
      <c r="AA6" s="53">
        <v>24</v>
      </c>
      <c r="AB6" s="53">
        <v>25</v>
      </c>
      <c r="AC6" s="52">
        <v>26</v>
      </c>
      <c r="AD6" s="53">
        <v>27</v>
      </c>
      <c r="AE6" s="53">
        <v>28</v>
      </c>
      <c r="AF6" s="53">
        <v>29</v>
      </c>
      <c r="AG6" s="53">
        <v>30</v>
      </c>
      <c r="AH6" s="53">
        <v>31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2:56" s="50" customFormat="1" ht="12.95" customHeight="1">
      <c r="B7" s="54">
        <v>1</v>
      </c>
      <c r="C7" s="170" t="s">
        <v>172</v>
      </c>
      <c r="D7" s="56"/>
      <c r="E7" s="56"/>
      <c r="F7" s="56"/>
      <c r="G7" s="56"/>
      <c r="H7" s="56"/>
      <c r="I7" s="56"/>
      <c r="J7" s="56"/>
      <c r="K7" s="56"/>
      <c r="L7" s="56" t="s">
        <v>58</v>
      </c>
      <c r="M7" s="56"/>
      <c r="N7" s="56"/>
      <c r="O7" s="56"/>
      <c r="P7" s="56"/>
      <c r="Q7" s="56" t="s">
        <v>58</v>
      </c>
      <c r="R7" s="56" t="s">
        <v>59</v>
      </c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7" t="s">
        <v>58</v>
      </c>
      <c r="AJ7" s="58" t="s">
        <v>60</v>
      </c>
      <c r="AK7" s="59" t="s">
        <v>59</v>
      </c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47"/>
      <c r="AX7" s="47"/>
      <c r="AY7" s="47"/>
      <c r="AZ7" s="47"/>
      <c r="BA7" s="47"/>
      <c r="BB7" s="47"/>
      <c r="BC7" s="47"/>
      <c r="BD7" s="47"/>
    </row>
    <row r="8" spans="2:56" s="50" customFormat="1" ht="12.95" customHeight="1">
      <c r="B8" s="54">
        <v>2</v>
      </c>
      <c r="C8" s="170" t="s">
        <v>130</v>
      </c>
      <c r="D8" s="56"/>
      <c r="E8" s="56" t="s">
        <v>58</v>
      </c>
      <c r="F8" s="56"/>
      <c r="G8" s="56"/>
      <c r="H8" s="56"/>
      <c r="I8" s="56" t="s">
        <v>58</v>
      </c>
      <c r="J8" s="56"/>
      <c r="K8" s="56"/>
      <c r="L8" s="56"/>
      <c r="M8" s="56"/>
      <c r="N8" s="56" t="s">
        <v>58</v>
      </c>
      <c r="O8" s="56"/>
      <c r="P8" s="56"/>
      <c r="Q8" s="56" t="s">
        <v>58</v>
      </c>
      <c r="R8" s="56"/>
      <c r="S8" s="56"/>
      <c r="T8" s="56"/>
      <c r="U8" s="56"/>
      <c r="V8" s="56"/>
      <c r="W8" s="56"/>
      <c r="X8" s="56"/>
      <c r="Y8" s="56" t="s">
        <v>58</v>
      </c>
      <c r="Z8" s="56"/>
      <c r="AA8" s="56"/>
      <c r="AB8" s="56"/>
      <c r="AC8" s="56"/>
      <c r="AD8" s="56"/>
      <c r="AE8" s="56" t="s">
        <v>60</v>
      </c>
      <c r="AF8" s="56"/>
      <c r="AG8" s="56"/>
      <c r="AH8" s="56"/>
      <c r="AI8" s="60">
        <f>COUNTIF(D7:AH143,"T")</f>
        <v>179</v>
      </c>
      <c r="AJ8" s="60">
        <f>COUNTIF(D7:AH143,"TB")</f>
        <v>40</v>
      </c>
      <c r="AK8" s="60">
        <f>COUNTIF(D7:AH143,"B")</f>
        <v>124</v>
      </c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47"/>
      <c r="AX8" s="47"/>
      <c r="AY8" s="47"/>
      <c r="AZ8" s="47"/>
      <c r="BA8" s="47"/>
      <c r="BB8" s="47"/>
      <c r="BC8" s="47"/>
      <c r="BD8" s="47"/>
    </row>
    <row r="9" spans="2:56" s="50" customFormat="1" ht="12.95" customHeight="1">
      <c r="B9" s="54">
        <v>3</v>
      </c>
      <c r="C9" s="170" t="s">
        <v>62</v>
      </c>
      <c r="D9" s="56"/>
      <c r="E9" s="56" t="s">
        <v>58</v>
      </c>
      <c r="F9" s="56"/>
      <c r="G9" s="56"/>
      <c r="H9" s="56"/>
      <c r="I9" s="56"/>
      <c r="J9" s="56"/>
      <c r="K9" s="56"/>
      <c r="L9" s="56" t="s">
        <v>58</v>
      </c>
      <c r="M9" s="56"/>
      <c r="N9" s="56"/>
      <c r="O9" s="56"/>
      <c r="P9" s="56"/>
      <c r="Q9" s="56" t="s">
        <v>59</v>
      </c>
      <c r="R9" s="56"/>
      <c r="S9" s="56"/>
      <c r="T9" s="56"/>
      <c r="U9" s="56" t="s">
        <v>58</v>
      </c>
      <c r="V9" s="56"/>
      <c r="W9" s="56" t="s">
        <v>59</v>
      </c>
      <c r="X9" s="56"/>
      <c r="Y9" s="56"/>
      <c r="Z9" s="56"/>
      <c r="AA9" s="56" t="s">
        <v>58</v>
      </c>
      <c r="AB9" s="56"/>
      <c r="AC9" s="56"/>
      <c r="AD9" s="56"/>
      <c r="AE9" s="56"/>
      <c r="AF9" s="56"/>
      <c r="AG9" s="56"/>
      <c r="AH9" s="5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47"/>
      <c r="AX9" s="47"/>
      <c r="AY9" s="47"/>
      <c r="AZ9" s="47"/>
      <c r="BA9" s="47"/>
      <c r="BB9" s="47"/>
      <c r="BC9" s="47"/>
      <c r="BD9" s="47"/>
    </row>
    <row r="10" spans="2:56" s="50" customFormat="1" ht="12.95" customHeight="1">
      <c r="B10" s="54">
        <v>4</v>
      </c>
      <c r="C10" s="170" t="s">
        <v>165</v>
      </c>
      <c r="D10" s="56"/>
      <c r="E10" s="56"/>
      <c r="F10" s="56"/>
      <c r="G10" s="56" t="s">
        <v>58</v>
      </c>
      <c r="H10" s="56"/>
      <c r="I10" s="56"/>
      <c r="J10" s="56"/>
      <c r="K10" s="56" t="s">
        <v>59</v>
      </c>
      <c r="L10" s="56"/>
      <c r="M10" s="56"/>
      <c r="N10" s="56"/>
      <c r="O10" s="56"/>
      <c r="P10" s="56"/>
      <c r="Q10" s="56" t="s">
        <v>58</v>
      </c>
      <c r="R10" s="56"/>
      <c r="S10" s="56"/>
      <c r="T10" s="56" t="s">
        <v>59</v>
      </c>
      <c r="U10" s="56"/>
      <c r="V10" s="56"/>
      <c r="W10" s="56"/>
      <c r="X10" s="56"/>
      <c r="Y10" s="56" t="s">
        <v>58</v>
      </c>
      <c r="Z10" s="56"/>
      <c r="AA10" s="56"/>
      <c r="AB10" s="56"/>
      <c r="AC10" s="56"/>
      <c r="AD10" s="56"/>
      <c r="AE10" s="56"/>
      <c r="AF10" s="56"/>
      <c r="AG10" s="56"/>
      <c r="AH10" s="56"/>
      <c r="AI10" s="60" t="s">
        <v>58</v>
      </c>
      <c r="AJ10" s="60" t="s">
        <v>59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47"/>
      <c r="AX10" s="47"/>
      <c r="AY10" s="47"/>
      <c r="AZ10" s="47"/>
      <c r="BA10" s="47"/>
      <c r="BB10" s="47"/>
      <c r="BC10" s="47"/>
      <c r="BD10" s="47"/>
    </row>
    <row r="11" spans="2:56" s="50" customFormat="1" ht="12.95" customHeight="1">
      <c r="B11" s="54">
        <v>5</v>
      </c>
      <c r="C11" s="170" t="s">
        <v>63</v>
      </c>
      <c r="D11" s="56"/>
      <c r="E11" s="56" t="s">
        <v>58</v>
      </c>
      <c r="F11" s="56"/>
      <c r="G11" s="56"/>
      <c r="H11" s="56"/>
      <c r="I11" s="56" t="s">
        <v>58</v>
      </c>
      <c r="J11" s="56" t="s">
        <v>59</v>
      </c>
      <c r="K11" s="56"/>
      <c r="L11" s="56"/>
      <c r="M11" s="56"/>
      <c r="N11" s="56"/>
      <c r="O11" s="56"/>
      <c r="P11" s="56"/>
      <c r="Q11" s="56" t="s">
        <v>58</v>
      </c>
      <c r="R11" s="56" t="s">
        <v>59</v>
      </c>
      <c r="S11" s="56" t="s">
        <v>59</v>
      </c>
      <c r="T11" s="56" t="s">
        <v>59</v>
      </c>
      <c r="U11" s="56"/>
      <c r="V11" s="56"/>
      <c r="W11" s="56" t="s">
        <v>58</v>
      </c>
      <c r="X11" s="56"/>
      <c r="Y11" s="56"/>
      <c r="Z11" s="56"/>
      <c r="AA11" s="56"/>
      <c r="AB11" s="56"/>
      <c r="AC11" s="56"/>
      <c r="AD11" s="56" t="s">
        <v>60</v>
      </c>
      <c r="AE11" s="56"/>
      <c r="AF11" s="56"/>
      <c r="AG11" s="56" t="s">
        <v>60</v>
      </c>
      <c r="AH11" s="56"/>
      <c r="AI11" s="60">
        <f>AI8+AJ8+AI21+AJ21</f>
        <v>259</v>
      </c>
      <c r="AJ11" s="60">
        <f>AJ8+AK8+AJ21+AK21</f>
        <v>220</v>
      </c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47"/>
      <c r="AX11" s="47"/>
      <c r="AY11" s="47"/>
      <c r="AZ11" s="47"/>
      <c r="BA11" s="47"/>
      <c r="BB11" s="47"/>
      <c r="BC11" s="47"/>
      <c r="BD11" s="47"/>
    </row>
    <row r="12" spans="2:56" s="50" customFormat="1" ht="12.95" customHeight="1">
      <c r="B12" s="54">
        <v>6</v>
      </c>
      <c r="C12" s="170" t="s">
        <v>65</v>
      </c>
      <c r="D12" s="56"/>
      <c r="E12" s="56"/>
      <c r="F12" s="56"/>
      <c r="G12" s="56"/>
      <c r="H12" s="56"/>
      <c r="I12" s="56"/>
      <c r="J12" s="56"/>
      <c r="K12" s="56"/>
      <c r="L12" s="56"/>
      <c r="M12" s="56" t="s">
        <v>58</v>
      </c>
      <c r="N12" s="56"/>
      <c r="O12" s="56"/>
      <c r="P12" s="56"/>
      <c r="Q12" s="56"/>
      <c r="R12" s="56" t="s">
        <v>58</v>
      </c>
      <c r="S12" s="56"/>
      <c r="T12" s="56"/>
      <c r="U12" s="56"/>
      <c r="V12" s="56"/>
      <c r="W12" s="56"/>
      <c r="X12" s="56"/>
      <c r="Y12" s="56"/>
      <c r="Z12" s="56" t="s">
        <v>58</v>
      </c>
      <c r="AA12" s="56"/>
      <c r="AB12" s="56"/>
      <c r="AC12" s="56"/>
      <c r="AD12" s="56"/>
      <c r="AE12" s="56"/>
      <c r="AF12" s="56"/>
      <c r="AG12" s="56"/>
      <c r="AH12" s="56"/>
      <c r="AI12" s="60"/>
      <c r="AJ12" s="60"/>
      <c r="AK12" s="60"/>
      <c r="AL12" s="60"/>
      <c r="AM12" s="60">
        <f>+AI11/19</f>
        <v>13.631578947368421</v>
      </c>
      <c r="AN12" s="60"/>
      <c r="AO12" s="60"/>
      <c r="AP12" s="60"/>
      <c r="AQ12" s="60"/>
      <c r="AR12" s="60"/>
      <c r="AS12" s="60"/>
      <c r="AT12" s="60"/>
      <c r="AU12" s="60"/>
      <c r="AV12" s="60"/>
      <c r="AW12" s="47"/>
      <c r="AX12" s="47"/>
      <c r="AY12" s="47"/>
      <c r="AZ12" s="47"/>
      <c r="BA12" s="47"/>
      <c r="BB12" s="47"/>
      <c r="BC12" s="47"/>
      <c r="BD12" s="47"/>
    </row>
    <row r="13" spans="2:56" s="50" customFormat="1" ht="12.95" customHeight="1">
      <c r="B13" s="54">
        <v>7</v>
      </c>
      <c r="C13" s="170" t="s">
        <v>104</v>
      </c>
      <c r="D13" s="56"/>
      <c r="E13" s="56"/>
      <c r="F13" s="56"/>
      <c r="G13" s="56"/>
      <c r="H13" s="56"/>
      <c r="I13" s="56" t="s">
        <v>60</v>
      </c>
      <c r="J13" s="56"/>
      <c r="K13" s="56"/>
      <c r="L13" s="56"/>
      <c r="M13" s="56"/>
      <c r="N13" s="56" t="s">
        <v>59</v>
      </c>
      <c r="O13" s="56"/>
      <c r="P13" s="56"/>
      <c r="Q13" s="56" t="s">
        <v>58</v>
      </c>
      <c r="R13" s="61"/>
      <c r="S13" s="56" t="s">
        <v>59</v>
      </c>
      <c r="T13" s="56"/>
      <c r="U13" s="56"/>
      <c r="V13" s="56"/>
      <c r="W13" s="56"/>
      <c r="X13" s="56"/>
      <c r="Y13" s="56"/>
      <c r="Z13" s="56"/>
      <c r="AA13" s="56" t="s">
        <v>59</v>
      </c>
      <c r="AB13" s="56"/>
      <c r="AC13" s="56"/>
      <c r="AD13" s="56"/>
      <c r="AE13" s="56"/>
      <c r="AF13" s="56" t="s">
        <v>58</v>
      </c>
      <c r="AG13" s="56"/>
      <c r="AH13" s="56"/>
      <c r="AI13" s="62">
        <f>AJ11/AI11</f>
        <v>0.84942084942084939</v>
      </c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47"/>
      <c r="AX13" s="47"/>
      <c r="AY13" s="47"/>
      <c r="AZ13" s="47"/>
      <c r="BA13" s="47"/>
      <c r="BB13" s="47"/>
      <c r="BC13" s="47"/>
      <c r="BD13" s="47"/>
    </row>
    <row r="14" spans="2:56" s="50" customFormat="1" ht="12.95" customHeight="1">
      <c r="B14" s="54">
        <v>8</v>
      </c>
      <c r="C14" s="170" t="s">
        <v>66</v>
      </c>
      <c r="D14" s="56" t="s">
        <v>58</v>
      </c>
      <c r="E14" s="56"/>
      <c r="F14" s="56"/>
      <c r="G14" s="56"/>
      <c r="H14" s="56"/>
      <c r="I14" s="56"/>
      <c r="J14" s="56" t="s">
        <v>60</v>
      </c>
      <c r="K14" s="56"/>
      <c r="L14" s="56"/>
      <c r="M14" s="56"/>
      <c r="N14" s="56"/>
      <c r="O14" s="56"/>
      <c r="P14" s="56"/>
      <c r="Q14" s="56"/>
      <c r="R14" s="56"/>
      <c r="S14" s="56" t="s">
        <v>58</v>
      </c>
      <c r="T14" s="56"/>
      <c r="U14" s="56"/>
      <c r="V14" s="56"/>
      <c r="W14" s="56"/>
      <c r="X14" s="56" t="s">
        <v>58</v>
      </c>
      <c r="Y14" s="56"/>
      <c r="Z14" s="56"/>
      <c r="AA14" s="56"/>
      <c r="AB14" s="56"/>
      <c r="AC14" s="56"/>
      <c r="AD14" s="56" t="s">
        <v>58</v>
      </c>
      <c r="AE14" s="56" t="s">
        <v>59</v>
      </c>
      <c r="AF14" s="56"/>
      <c r="AG14" s="56"/>
      <c r="AH14" s="56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47"/>
      <c r="AX14" s="47"/>
      <c r="AY14" s="47"/>
      <c r="AZ14" s="47"/>
      <c r="BA14" s="47"/>
      <c r="BB14" s="47"/>
      <c r="BC14" s="47"/>
      <c r="BD14" s="47"/>
    </row>
    <row r="15" spans="2:56" s="50" customFormat="1" ht="12.95" customHeight="1">
      <c r="B15" s="54">
        <v>9</v>
      </c>
      <c r="C15" s="170" t="s">
        <v>69</v>
      </c>
      <c r="D15" s="56"/>
      <c r="E15" s="56"/>
      <c r="F15" s="56"/>
      <c r="G15" s="56" t="s">
        <v>58</v>
      </c>
      <c r="H15" s="56"/>
      <c r="I15" s="56" t="s">
        <v>58</v>
      </c>
      <c r="J15" s="56"/>
      <c r="K15" s="56"/>
      <c r="L15" s="56" t="s">
        <v>60</v>
      </c>
      <c r="M15" s="56"/>
      <c r="N15" s="56"/>
      <c r="O15" s="56"/>
      <c r="P15" s="56" t="s">
        <v>60</v>
      </c>
      <c r="Q15" s="56"/>
      <c r="R15" s="56" t="s">
        <v>59</v>
      </c>
      <c r="S15" s="56"/>
      <c r="T15" s="56"/>
      <c r="U15" s="56"/>
      <c r="V15" s="56"/>
      <c r="W15" s="56"/>
      <c r="X15" s="56"/>
      <c r="Y15" s="56" t="s">
        <v>60</v>
      </c>
      <c r="Z15" s="56"/>
      <c r="AA15" s="56" t="s">
        <v>59</v>
      </c>
      <c r="AB15" s="56"/>
      <c r="AC15" s="56"/>
      <c r="AD15" s="56"/>
      <c r="AE15" s="56"/>
      <c r="AF15" s="56"/>
      <c r="AG15" s="56" t="s">
        <v>58</v>
      </c>
      <c r="AH15" s="56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47"/>
      <c r="AX15" s="47"/>
      <c r="AY15" s="47"/>
      <c r="AZ15" s="47"/>
      <c r="BA15" s="47"/>
      <c r="BB15" s="47"/>
      <c r="BC15" s="47"/>
      <c r="BD15" s="47"/>
    </row>
    <row r="16" spans="2:56" s="50" customFormat="1" ht="12.95" customHeight="1">
      <c r="B16" s="54">
        <v>10</v>
      </c>
      <c r="C16" s="170" t="s">
        <v>168</v>
      </c>
      <c r="D16" s="56" t="s">
        <v>58</v>
      </c>
      <c r="E16" s="56"/>
      <c r="F16" s="56"/>
      <c r="G16" s="56"/>
      <c r="H16" s="56"/>
      <c r="I16" s="56" t="s">
        <v>58</v>
      </c>
      <c r="J16" s="56"/>
      <c r="K16" s="56" t="s">
        <v>59</v>
      </c>
      <c r="L16" s="56"/>
      <c r="M16" s="56"/>
      <c r="N16" s="56"/>
      <c r="O16" s="56"/>
      <c r="P16" s="56"/>
      <c r="Q16" s="56"/>
      <c r="R16" s="56" t="s">
        <v>58</v>
      </c>
      <c r="S16" s="56"/>
      <c r="T16" s="56"/>
      <c r="U16" s="61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47"/>
      <c r="AX16" s="47"/>
      <c r="AY16" s="47"/>
      <c r="AZ16" s="47"/>
      <c r="BA16" s="47"/>
      <c r="BB16" s="47"/>
      <c r="BC16" s="47"/>
      <c r="BD16" s="47"/>
    </row>
    <row r="17" spans="2:56" s="50" customFormat="1" ht="12.95" customHeight="1">
      <c r="B17" s="54">
        <v>11</v>
      </c>
      <c r="C17" s="170" t="s">
        <v>167</v>
      </c>
      <c r="D17" s="56"/>
      <c r="E17" s="56"/>
      <c r="F17" s="56"/>
      <c r="G17" s="56" t="s">
        <v>58</v>
      </c>
      <c r="H17" s="56"/>
      <c r="I17" s="56" t="s">
        <v>59</v>
      </c>
      <c r="J17" s="56"/>
      <c r="K17" s="56"/>
      <c r="L17" s="56"/>
      <c r="M17" s="56" t="s">
        <v>58</v>
      </c>
      <c r="N17" s="56"/>
      <c r="O17" s="56"/>
      <c r="P17" s="56"/>
      <c r="Q17" s="56"/>
      <c r="R17" s="56"/>
      <c r="S17" s="56" t="s">
        <v>58</v>
      </c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47"/>
      <c r="AX17" s="47"/>
      <c r="AY17" s="47"/>
      <c r="AZ17" s="47"/>
      <c r="BA17" s="47"/>
      <c r="BB17" s="47"/>
      <c r="BC17" s="47"/>
      <c r="BD17" s="47"/>
    </row>
    <row r="18" spans="2:56" s="50" customFormat="1" ht="12.95" customHeight="1">
      <c r="B18" s="54">
        <v>12</v>
      </c>
      <c r="C18" s="170" t="s">
        <v>70</v>
      </c>
      <c r="D18" s="56" t="s">
        <v>58</v>
      </c>
      <c r="E18" s="56"/>
      <c r="F18" s="56"/>
      <c r="G18" s="56" t="s">
        <v>59</v>
      </c>
      <c r="H18" s="56"/>
      <c r="I18" s="56" t="s">
        <v>58</v>
      </c>
      <c r="J18" s="56" t="s">
        <v>59</v>
      </c>
      <c r="K18" s="56" t="s">
        <v>58</v>
      </c>
      <c r="L18" s="56" t="s">
        <v>129</v>
      </c>
      <c r="M18" s="56"/>
      <c r="N18" s="56" t="s">
        <v>59</v>
      </c>
      <c r="O18" s="56"/>
      <c r="P18" s="56"/>
      <c r="Q18" s="56" t="s">
        <v>59</v>
      </c>
      <c r="R18" s="56"/>
      <c r="S18" s="56"/>
      <c r="T18" s="56" t="s">
        <v>59</v>
      </c>
      <c r="U18" s="56" t="s">
        <v>58</v>
      </c>
      <c r="V18" s="56"/>
      <c r="W18" s="56" t="s">
        <v>60</v>
      </c>
      <c r="X18" s="56"/>
      <c r="Y18" s="56" t="s">
        <v>59</v>
      </c>
      <c r="Z18" s="56"/>
      <c r="AA18" s="56" t="s">
        <v>58</v>
      </c>
      <c r="AB18" s="56"/>
      <c r="AC18" s="56"/>
      <c r="AD18" s="56"/>
      <c r="AE18" s="56" t="s">
        <v>59</v>
      </c>
      <c r="AF18" s="56" t="s">
        <v>58</v>
      </c>
      <c r="AG18" s="56" t="s">
        <v>60</v>
      </c>
      <c r="AH18" s="56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47"/>
      <c r="AX18" s="47"/>
      <c r="AY18" s="47"/>
      <c r="AZ18" s="47"/>
      <c r="BA18" s="47"/>
      <c r="BB18" s="47"/>
      <c r="BC18" s="47"/>
      <c r="BD18" s="47"/>
    </row>
    <row r="19" spans="2:56" s="50" customFormat="1" ht="12.95" customHeight="1">
      <c r="B19" s="54">
        <v>13</v>
      </c>
      <c r="C19" s="170" t="s">
        <v>166</v>
      </c>
      <c r="D19" s="56"/>
      <c r="E19" s="56"/>
      <c r="F19" s="56"/>
      <c r="G19" s="56" t="s">
        <v>60</v>
      </c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 t="s">
        <v>58</v>
      </c>
      <c r="T19" s="56"/>
      <c r="U19" s="56"/>
      <c r="V19" s="56"/>
      <c r="W19" s="56"/>
      <c r="X19" s="56" t="s">
        <v>58</v>
      </c>
      <c r="Y19" s="56" t="s">
        <v>59</v>
      </c>
      <c r="Z19" s="56"/>
      <c r="AA19" s="56"/>
      <c r="AB19" s="56"/>
      <c r="AC19" s="56"/>
      <c r="AD19" s="56"/>
      <c r="AE19" s="56"/>
      <c r="AF19" s="56"/>
      <c r="AG19" s="56"/>
      <c r="AH19" s="56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47"/>
      <c r="AX19" s="47"/>
      <c r="AY19" s="47"/>
      <c r="AZ19" s="47"/>
      <c r="BA19" s="47"/>
      <c r="BB19" s="47"/>
      <c r="BC19" s="47"/>
      <c r="BD19" s="47"/>
    </row>
    <row r="20" spans="2:56" s="50" customFormat="1" ht="12.95" customHeight="1">
      <c r="B20" s="54">
        <v>14</v>
      </c>
      <c r="C20" s="170" t="s">
        <v>158</v>
      </c>
      <c r="D20" s="56"/>
      <c r="E20" s="56" t="s">
        <v>58</v>
      </c>
      <c r="F20" s="56"/>
      <c r="G20" s="56"/>
      <c r="H20" s="56"/>
      <c r="I20" s="56" t="s">
        <v>59</v>
      </c>
      <c r="J20" s="56"/>
      <c r="K20" s="56"/>
      <c r="L20" s="56"/>
      <c r="M20" s="56"/>
      <c r="N20" s="56"/>
      <c r="O20" s="56"/>
      <c r="P20" s="56"/>
      <c r="Q20" s="56"/>
      <c r="R20" s="56"/>
      <c r="S20" s="56" t="s">
        <v>59</v>
      </c>
      <c r="T20" s="56"/>
      <c r="U20" s="56"/>
      <c r="V20" s="56"/>
      <c r="W20" s="56"/>
      <c r="X20" s="56" t="s">
        <v>58</v>
      </c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7" t="s">
        <v>58</v>
      </c>
      <c r="AJ20" s="58" t="s">
        <v>60</v>
      </c>
      <c r="AK20" s="59" t="s">
        <v>59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47"/>
      <c r="AX20" s="47"/>
      <c r="AY20" s="47"/>
      <c r="AZ20" s="47"/>
      <c r="BA20" s="47"/>
      <c r="BB20" s="47"/>
      <c r="BC20" s="47"/>
      <c r="BD20" s="47"/>
    </row>
    <row r="21" spans="2:56" s="50" customFormat="1" ht="12.95" customHeight="1">
      <c r="B21" s="54">
        <v>15</v>
      </c>
      <c r="C21" s="171" t="s">
        <v>72</v>
      </c>
      <c r="D21" s="61" t="s">
        <v>59</v>
      </c>
      <c r="E21" s="56"/>
      <c r="F21" s="56"/>
      <c r="G21" s="56"/>
      <c r="H21" s="56"/>
      <c r="I21" s="56" t="s">
        <v>59</v>
      </c>
      <c r="J21" s="56" t="s">
        <v>58</v>
      </c>
      <c r="K21" s="56" t="s">
        <v>59</v>
      </c>
      <c r="L21" s="56" t="s">
        <v>59</v>
      </c>
      <c r="M21" s="56" t="s">
        <v>59</v>
      </c>
      <c r="N21" s="56" t="s">
        <v>58</v>
      </c>
      <c r="O21" s="56"/>
      <c r="P21" s="56"/>
      <c r="Q21" s="56" t="s">
        <v>59</v>
      </c>
      <c r="R21" s="56" t="s">
        <v>59</v>
      </c>
      <c r="S21" s="56"/>
      <c r="T21" s="56" t="s">
        <v>59</v>
      </c>
      <c r="U21" s="56"/>
      <c r="V21" s="56"/>
      <c r="W21" s="56" t="s">
        <v>58</v>
      </c>
      <c r="X21" s="56"/>
      <c r="Y21" s="56" t="s">
        <v>59</v>
      </c>
      <c r="Z21" s="56" t="s">
        <v>58</v>
      </c>
      <c r="AA21" s="56" t="s">
        <v>59</v>
      </c>
      <c r="AB21" s="56" t="s">
        <v>58</v>
      </c>
      <c r="AC21" s="56"/>
      <c r="AD21" s="56"/>
      <c r="AE21" s="56"/>
      <c r="AF21" s="56" t="s">
        <v>59</v>
      </c>
      <c r="AG21" s="56" t="s">
        <v>59</v>
      </c>
      <c r="AH21" s="56"/>
      <c r="AI21" s="60">
        <f>COUNTIF(D156:AH240,"T")</f>
        <v>25</v>
      </c>
      <c r="AJ21" s="60">
        <f>COUNTIF(D156:AH240,"TB")</f>
        <v>15</v>
      </c>
      <c r="AK21" s="60">
        <f>COUNTIF(D156:AH240,"B")</f>
        <v>41</v>
      </c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47"/>
      <c r="AX21" s="47"/>
      <c r="AY21" s="47"/>
      <c r="AZ21" s="47"/>
      <c r="BA21" s="47"/>
      <c r="BB21" s="47"/>
      <c r="BC21" s="47"/>
      <c r="BD21" s="47"/>
    </row>
    <row r="22" spans="2:56" s="50" customFormat="1" ht="12.95" customHeight="1">
      <c r="B22" s="54">
        <v>16</v>
      </c>
      <c r="C22" s="170" t="s">
        <v>162</v>
      </c>
      <c r="D22" s="56"/>
      <c r="E22" s="56"/>
      <c r="F22" s="56"/>
      <c r="G22" s="56"/>
      <c r="H22" s="56"/>
      <c r="I22" s="56"/>
      <c r="J22" s="56"/>
      <c r="K22" s="56"/>
      <c r="L22" s="56"/>
      <c r="M22" s="56" t="s">
        <v>58</v>
      </c>
      <c r="N22" s="56"/>
      <c r="O22" s="56"/>
      <c r="P22" s="56"/>
      <c r="Q22" s="61"/>
      <c r="R22" s="56" t="s">
        <v>59</v>
      </c>
      <c r="S22" s="56" t="s">
        <v>58</v>
      </c>
      <c r="T22" s="56"/>
      <c r="U22" s="56"/>
      <c r="V22" s="56"/>
      <c r="W22" s="56"/>
      <c r="X22" s="56"/>
      <c r="Y22" s="56"/>
      <c r="Z22" s="56"/>
      <c r="AA22" s="56" t="s">
        <v>58</v>
      </c>
      <c r="AB22" s="56"/>
      <c r="AC22" s="56"/>
      <c r="AD22" s="56"/>
      <c r="AE22" s="56" t="s">
        <v>58</v>
      </c>
      <c r="AF22" s="56" t="s">
        <v>58</v>
      </c>
      <c r="AG22" s="56" t="s">
        <v>59</v>
      </c>
      <c r="AH22" s="56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47"/>
      <c r="AX22" s="47"/>
      <c r="AY22" s="47"/>
      <c r="AZ22" s="47"/>
      <c r="BA22" s="47"/>
      <c r="BB22" s="47"/>
      <c r="BC22" s="47"/>
      <c r="BD22" s="47"/>
    </row>
    <row r="23" spans="2:56" s="50" customFormat="1" ht="12.95" customHeight="1">
      <c r="B23" s="54">
        <v>17</v>
      </c>
      <c r="C23" s="170" t="s">
        <v>161</v>
      </c>
      <c r="D23" s="56"/>
      <c r="E23" s="56" t="s">
        <v>58</v>
      </c>
      <c r="F23" s="56"/>
      <c r="G23" s="56"/>
      <c r="H23" s="56"/>
      <c r="I23" s="56"/>
      <c r="J23" s="56"/>
      <c r="K23" s="56" t="s">
        <v>59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47"/>
      <c r="AX23" s="47"/>
      <c r="AY23" s="47"/>
      <c r="AZ23" s="47"/>
      <c r="BA23" s="47"/>
      <c r="BB23" s="47"/>
      <c r="BC23" s="47"/>
      <c r="BD23" s="47"/>
    </row>
    <row r="24" spans="2:56" s="50" customFormat="1" ht="12.95" customHeight="1">
      <c r="B24" s="54">
        <v>18</v>
      </c>
      <c r="C24" s="170" t="s">
        <v>157</v>
      </c>
      <c r="D24" s="56"/>
      <c r="E24" s="56" t="s">
        <v>59</v>
      </c>
      <c r="F24" s="56"/>
      <c r="G24" s="56"/>
      <c r="H24" s="56"/>
      <c r="I24" s="56"/>
      <c r="J24" s="56"/>
      <c r="K24" s="56"/>
      <c r="L24" s="56" t="s">
        <v>59</v>
      </c>
      <c r="M24" s="56"/>
      <c r="N24" s="56"/>
      <c r="O24" s="56"/>
      <c r="P24" s="56"/>
      <c r="Q24" s="56"/>
      <c r="R24" s="56"/>
      <c r="S24" s="56"/>
      <c r="T24" s="56"/>
      <c r="U24" s="56" t="s">
        <v>58</v>
      </c>
      <c r="V24" s="56"/>
      <c r="W24" s="56"/>
      <c r="X24" s="56"/>
      <c r="Y24" s="56"/>
      <c r="Z24" s="56" t="s">
        <v>59</v>
      </c>
      <c r="AA24" s="56"/>
      <c r="AB24" s="56" t="s">
        <v>60</v>
      </c>
      <c r="AC24" s="56"/>
      <c r="AD24" s="56"/>
      <c r="AE24" s="56"/>
      <c r="AF24" s="56"/>
      <c r="AG24" s="56" t="s">
        <v>59</v>
      </c>
      <c r="AH24" s="56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47"/>
      <c r="AX24" s="47"/>
      <c r="AY24" s="47"/>
      <c r="AZ24" s="47"/>
      <c r="BA24" s="47"/>
      <c r="BB24" s="47"/>
      <c r="BC24" s="47"/>
      <c r="BD24" s="47"/>
    </row>
    <row r="25" spans="2:56" s="50" customFormat="1" ht="12.95" customHeight="1">
      <c r="B25" s="54">
        <v>19</v>
      </c>
      <c r="C25" s="170" t="s">
        <v>171</v>
      </c>
      <c r="D25" s="56" t="s">
        <v>59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 t="s">
        <v>58</v>
      </c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 t="s">
        <v>58</v>
      </c>
      <c r="AE25" s="56"/>
      <c r="AF25" s="56"/>
      <c r="AG25" s="56"/>
      <c r="AH25" s="56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47"/>
      <c r="AX25" s="47"/>
      <c r="AY25" s="47"/>
      <c r="AZ25" s="47"/>
      <c r="BA25" s="47"/>
      <c r="BB25" s="47"/>
      <c r="BC25" s="47"/>
      <c r="BD25" s="47"/>
    </row>
    <row r="26" spans="2:56" s="50" customFormat="1" ht="12" customHeight="1">
      <c r="B26" s="54">
        <v>20</v>
      </c>
      <c r="C26" s="170" t="s">
        <v>159</v>
      </c>
      <c r="D26" s="56"/>
      <c r="E26" s="56"/>
      <c r="F26" s="56"/>
      <c r="G26" s="56" t="s">
        <v>60</v>
      </c>
      <c r="H26" s="56"/>
      <c r="I26" s="56"/>
      <c r="J26" s="56"/>
      <c r="K26" s="56"/>
      <c r="L26" s="56"/>
      <c r="M26" s="56"/>
      <c r="N26" s="56"/>
      <c r="O26" s="56"/>
      <c r="P26" s="56"/>
      <c r="Q26" s="56" t="s">
        <v>60</v>
      </c>
      <c r="R26" s="56"/>
      <c r="S26" s="56"/>
      <c r="T26" s="56" t="s">
        <v>59</v>
      </c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 t="s">
        <v>59</v>
      </c>
      <c r="AF26" s="56"/>
      <c r="AG26" s="56" t="s">
        <v>59</v>
      </c>
      <c r="AH26" s="56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47"/>
      <c r="AX26" s="47"/>
      <c r="AY26" s="47"/>
      <c r="AZ26" s="47"/>
      <c r="BA26" s="47"/>
      <c r="BB26" s="47"/>
      <c r="BC26" s="47"/>
      <c r="BD26" s="47"/>
    </row>
    <row r="27" spans="2:56" s="50" customFormat="1" ht="12.95" customHeight="1">
      <c r="B27" s="54">
        <v>21</v>
      </c>
      <c r="C27" s="170" t="s">
        <v>75</v>
      </c>
      <c r="D27" s="56"/>
      <c r="E27" s="56" t="s">
        <v>58</v>
      </c>
      <c r="F27" s="56"/>
      <c r="G27" s="56"/>
      <c r="H27" s="56"/>
      <c r="I27" s="56" t="s">
        <v>58</v>
      </c>
      <c r="J27" s="56"/>
      <c r="K27" s="56" t="s">
        <v>58</v>
      </c>
      <c r="L27" s="56"/>
      <c r="M27" s="56"/>
      <c r="N27" s="56" t="s">
        <v>58</v>
      </c>
      <c r="O27" s="56"/>
      <c r="P27" s="56"/>
      <c r="Q27" s="56"/>
      <c r="R27" s="56"/>
      <c r="S27" s="56"/>
      <c r="T27" s="56" t="s">
        <v>60</v>
      </c>
      <c r="U27" s="56" t="s">
        <v>58</v>
      </c>
      <c r="V27" s="56"/>
      <c r="W27" s="56"/>
      <c r="X27" s="56"/>
      <c r="Y27" s="56" t="s">
        <v>60</v>
      </c>
      <c r="Z27" s="56"/>
      <c r="AA27" s="56"/>
      <c r="AB27" s="56" t="s">
        <v>58</v>
      </c>
      <c r="AC27" s="56"/>
      <c r="AD27" s="56" t="s">
        <v>59</v>
      </c>
      <c r="AE27" s="56"/>
      <c r="AF27" s="56"/>
      <c r="AG27" s="56"/>
      <c r="AH27" s="56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47"/>
      <c r="AX27" s="47"/>
      <c r="AY27" s="47"/>
      <c r="AZ27" s="47"/>
      <c r="BA27" s="47"/>
      <c r="BB27" s="47"/>
      <c r="BC27" s="47"/>
      <c r="BD27" s="47"/>
    </row>
    <row r="28" spans="2:56" s="50" customFormat="1" ht="12.95" customHeight="1">
      <c r="B28" s="54">
        <v>22</v>
      </c>
      <c r="C28" s="170" t="s">
        <v>76</v>
      </c>
      <c r="D28" s="56"/>
      <c r="E28" s="56" t="s">
        <v>59</v>
      </c>
      <c r="F28" s="56"/>
      <c r="G28" s="56"/>
      <c r="H28" s="56"/>
      <c r="I28" s="56"/>
      <c r="J28" s="56"/>
      <c r="K28" s="56"/>
      <c r="L28" s="56"/>
      <c r="M28" s="56"/>
      <c r="N28" s="56" t="s">
        <v>58</v>
      </c>
      <c r="O28" s="56"/>
      <c r="P28" s="56"/>
      <c r="Q28" s="56" t="s">
        <v>58</v>
      </c>
      <c r="R28" s="56"/>
      <c r="S28" s="56"/>
      <c r="T28" s="56"/>
      <c r="U28" s="56"/>
      <c r="V28" s="56"/>
      <c r="W28" s="56"/>
      <c r="X28" s="56" t="s">
        <v>58</v>
      </c>
      <c r="Y28" s="56"/>
      <c r="Z28" s="56"/>
      <c r="AA28" s="56"/>
      <c r="AB28" s="56"/>
      <c r="AC28" s="56"/>
      <c r="AD28" s="56"/>
      <c r="AE28" s="56"/>
      <c r="AF28" s="56"/>
      <c r="AG28" s="56" t="s">
        <v>59</v>
      </c>
      <c r="AH28" s="56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47"/>
      <c r="AX28" s="47"/>
      <c r="AY28" s="47"/>
      <c r="AZ28" s="47"/>
      <c r="BA28" s="47"/>
      <c r="BB28" s="47"/>
      <c r="BC28" s="47"/>
      <c r="BD28" s="47"/>
    </row>
    <row r="29" spans="2:56" s="50" customFormat="1" ht="12.95" customHeight="1">
      <c r="B29" s="54">
        <v>23</v>
      </c>
      <c r="C29" s="170" t="s">
        <v>164</v>
      </c>
      <c r="D29" s="56"/>
      <c r="E29" s="56"/>
      <c r="F29" s="56"/>
      <c r="G29" s="56"/>
      <c r="H29" s="56"/>
      <c r="I29" s="56"/>
      <c r="J29" s="56"/>
      <c r="K29" s="56" t="s">
        <v>60</v>
      </c>
      <c r="L29" s="56"/>
      <c r="M29" s="56"/>
      <c r="N29" s="56"/>
      <c r="O29" s="56"/>
      <c r="P29" s="56"/>
      <c r="Q29" s="56"/>
      <c r="R29" s="56"/>
      <c r="S29" s="56"/>
      <c r="T29" s="56" t="s">
        <v>58</v>
      </c>
      <c r="U29" s="56"/>
      <c r="V29" s="56"/>
      <c r="W29" s="56"/>
      <c r="X29" s="56"/>
      <c r="Y29" s="56"/>
      <c r="Z29" s="56" t="s">
        <v>59</v>
      </c>
      <c r="AA29" s="56"/>
      <c r="AB29" s="56"/>
      <c r="AC29" s="56"/>
      <c r="AD29" s="56"/>
      <c r="AE29" s="56"/>
      <c r="AF29" s="56"/>
      <c r="AG29" s="56"/>
      <c r="AH29" s="56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47"/>
      <c r="AX29" s="47"/>
      <c r="AY29" s="47"/>
      <c r="AZ29" s="47"/>
      <c r="BA29" s="47"/>
      <c r="BB29" s="47"/>
      <c r="BC29" s="47"/>
      <c r="BD29" s="47"/>
    </row>
    <row r="30" spans="2:56" s="50" customFormat="1" ht="12.95" customHeight="1">
      <c r="B30" s="54">
        <v>24</v>
      </c>
      <c r="C30" s="170" t="s">
        <v>169</v>
      </c>
      <c r="D30" s="56" t="s">
        <v>60</v>
      </c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 t="s">
        <v>58</v>
      </c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47"/>
      <c r="AX30" s="47"/>
      <c r="AY30" s="47"/>
      <c r="AZ30" s="47"/>
      <c r="BA30" s="47"/>
      <c r="BB30" s="47"/>
      <c r="BC30" s="47"/>
      <c r="BD30" s="47"/>
    </row>
    <row r="31" spans="2:56" s="50" customFormat="1" ht="12.95" customHeight="1">
      <c r="B31" s="54">
        <v>25</v>
      </c>
      <c r="C31" s="170" t="s">
        <v>77</v>
      </c>
      <c r="D31" s="56"/>
      <c r="E31" s="56" t="s">
        <v>59</v>
      </c>
      <c r="F31" s="56"/>
      <c r="G31" s="56"/>
      <c r="H31" s="56"/>
      <c r="I31" s="56" t="s">
        <v>58</v>
      </c>
      <c r="J31" s="56" t="s">
        <v>59</v>
      </c>
      <c r="K31" s="56"/>
      <c r="L31" s="56"/>
      <c r="M31" s="56"/>
      <c r="N31" s="56" t="s">
        <v>58</v>
      </c>
      <c r="O31" s="56"/>
      <c r="P31" s="56"/>
      <c r="Q31" s="56"/>
      <c r="R31" s="56"/>
      <c r="S31" s="56"/>
      <c r="T31" s="56" t="s">
        <v>60</v>
      </c>
      <c r="U31" s="56"/>
      <c r="V31" s="56"/>
      <c r="W31" s="56"/>
      <c r="X31" s="56"/>
      <c r="Y31" s="56"/>
      <c r="Z31" s="56"/>
      <c r="AA31" s="56"/>
      <c r="AB31" s="56" t="s">
        <v>59</v>
      </c>
      <c r="AC31" s="56"/>
      <c r="AD31" s="56"/>
      <c r="AE31" s="56"/>
      <c r="AF31" s="56"/>
      <c r="AG31" s="56"/>
      <c r="AH31" s="56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47"/>
      <c r="AX31" s="47"/>
      <c r="AY31" s="47"/>
      <c r="AZ31" s="47"/>
      <c r="BA31" s="47"/>
      <c r="BB31" s="47"/>
      <c r="BC31" s="47"/>
      <c r="BD31" s="47"/>
    </row>
    <row r="32" spans="2:56" s="50" customFormat="1" ht="12.95" customHeight="1">
      <c r="B32" s="54">
        <v>26</v>
      </c>
      <c r="C32" s="170" t="s">
        <v>78</v>
      </c>
      <c r="D32" s="56" t="s">
        <v>58</v>
      </c>
      <c r="E32" s="56"/>
      <c r="F32" s="56"/>
      <c r="G32" s="56" t="s">
        <v>58</v>
      </c>
      <c r="H32" s="56"/>
      <c r="I32" s="56"/>
      <c r="J32" s="56"/>
      <c r="K32" s="56" t="s">
        <v>60</v>
      </c>
      <c r="L32" s="56"/>
      <c r="M32" s="56"/>
      <c r="N32" s="56"/>
      <c r="O32" s="56"/>
      <c r="P32" s="56"/>
      <c r="Q32" s="56"/>
      <c r="R32" s="56"/>
      <c r="S32" s="56"/>
      <c r="T32" s="56"/>
      <c r="U32" s="56" t="s">
        <v>58</v>
      </c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47"/>
      <c r="AX32" s="47"/>
      <c r="AY32" s="47"/>
      <c r="AZ32" s="47"/>
      <c r="BA32" s="47"/>
      <c r="BB32" s="47"/>
      <c r="BC32" s="47"/>
      <c r="BD32" s="47"/>
    </row>
    <row r="33" spans="2:56" s="50" customFormat="1" ht="12.95" customHeight="1">
      <c r="B33" s="54">
        <v>27</v>
      </c>
      <c r="C33" s="170" t="s">
        <v>139</v>
      </c>
      <c r="D33" s="56"/>
      <c r="E33" s="56"/>
      <c r="F33" s="56"/>
      <c r="G33" s="56"/>
      <c r="H33" s="56"/>
      <c r="I33" s="56"/>
      <c r="J33" s="56"/>
      <c r="K33" s="56" t="s">
        <v>59</v>
      </c>
      <c r="L33" s="56"/>
      <c r="M33" s="56"/>
      <c r="N33" s="56"/>
      <c r="O33" s="56"/>
      <c r="P33" s="56"/>
      <c r="Q33" s="56"/>
      <c r="R33" s="56"/>
      <c r="S33" s="56"/>
      <c r="T33" s="56" t="s">
        <v>58</v>
      </c>
      <c r="U33" s="56"/>
      <c r="V33" s="56"/>
      <c r="W33" s="56"/>
      <c r="X33" s="56"/>
      <c r="Y33" s="56"/>
      <c r="Z33" s="56" t="s">
        <v>58</v>
      </c>
      <c r="AA33" s="56"/>
      <c r="AB33" s="56"/>
      <c r="AC33" s="56"/>
      <c r="AD33" s="56" t="s">
        <v>58</v>
      </c>
      <c r="AE33" s="56"/>
      <c r="AF33" s="56"/>
      <c r="AG33" s="56"/>
      <c r="AH33" s="56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47"/>
      <c r="AX33" s="47"/>
      <c r="AY33" s="47"/>
      <c r="AZ33" s="47"/>
      <c r="BA33" s="47"/>
      <c r="BB33" s="47"/>
      <c r="BC33" s="47"/>
      <c r="BD33" s="47"/>
    </row>
    <row r="34" spans="2:56" s="50" customFormat="1" ht="12.95" customHeight="1">
      <c r="B34" s="54">
        <v>28</v>
      </c>
      <c r="C34" s="170" t="s">
        <v>150</v>
      </c>
      <c r="D34" s="56"/>
      <c r="E34" s="56"/>
      <c r="F34" s="56"/>
      <c r="G34" s="56"/>
      <c r="H34" s="56"/>
      <c r="I34" s="56"/>
      <c r="J34" s="56"/>
      <c r="K34" s="56" t="s">
        <v>129</v>
      </c>
      <c r="L34" s="56" t="s">
        <v>59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 t="s">
        <v>58</v>
      </c>
      <c r="Y34" s="56"/>
      <c r="Z34" s="56"/>
      <c r="AA34" s="56"/>
      <c r="AB34" s="56"/>
      <c r="AC34" s="56"/>
      <c r="AD34" s="56"/>
      <c r="AE34" s="56"/>
      <c r="AF34" s="56" t="s">
        <v>59</v>
      </c>
      <c r="AG34" s="56"/>
      <c r="AH34" s="56"/>
      <c r="AI34" s="60" t="s">
        <v>49</v>
      </c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47"/>
      <c r="AX34" s="47"/>
      <c r="AY34" s="47"/>
      <c r="AZ34" s="47"/>
      <c r="BA34" s="47"/>
      <c r="BB34" s="47"/>
      <c r="BC34" s="47"/>
      <c r="BD34" s="47"/>
    </row>
    <row r="35" spans="2:56" s="50" customFormat="1" ht="12.95" customHeight="1">
      <c r="B35" s="54">
        <v>29</v>
      </c>
      <c r="C35" s="170" t="s">
        <v>79</v>
      </c>
      <c r="D35" s="56"/>
      <c r="E35" s="56"/>
      <c r="F35" s="56"/>
      <c r="G35" s="56" t="s">
        <v>59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 t="s">
        <v>58</v>
      </c>
      <c r="S35" s="56"/>
      <c r="T35" s="56"/>
      <c r="U35" s="56"/>
      <c r="V35" s="56"/>
      <c r="W35" s="56"/>
      <c r="X35" s="56"/>
      <c r="Y35" s="56"/>
      <c r="Z35" s="56"/>
      <c r="AA35" s="56" t="s">
        <v>129</v>
      </c>
      <c r="AB35" s="56"/>
      <c r="AC35" s="56"/>
      <c r="AD35" s="56"/>
      <c r="AE35" s="56"/>
      <c r="AF35" s="56"/>
      <c r="AG35" s="56" t="s">
        <v>58</v>
      </c>
      <c r="AH35" s="56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47"/>
      <c r="AX35" s="47"/>
      <c r="AY35" s="47"/>
      <c r="AZ35" s="47"/>
      <c r="BA35" s="47"/>
      <c r="BB35" s="47"/>
      <c r="BC35" s="47"/>
      <c r="BD35" s="47"/>
    </row>
    <row r="36" spans="2:56" s="50" customFormat="1" ht="12.95" customHeight="1">
      <c r="B36" s="54">
        <v>30</v>
      </c>
      <c r="C36" s="170" t="s">
        <v>80</v>
      </c>
      <c r="D36" s="56"/>
      <c r="E36" s="56"/>
      <c r="F36" s="56"/>
      <c r="G36" s="56"/>
      <c r="H36" s="56"/>
      <c r="I36" s="56" t="s">
        <v>58</v>
      </c>
      <c r="J36" s="56"/>
      <c r="K36" s="56" t="s">
        <v>59</v>
      </c>
      <c r="L36" s="56"/>
      <c r="M36" s="56"/>
      <c r="N36" s="56" t="s">
        <v>59</v>
      </c>
      <c r="O36" s="56"/>
      <c r="P36" s="56"/>
      <c r="Q36" s="56" t="s">
        <v>60</v>
      </c>
      <c r="R36" s="56"/>
      <c r="S36" s="56"/>
      <c r="T36" s="56"/>
      <c r="U36" s="56"/>
      <c r="V36" s="56"/>
      <c r="W36" s="56" t="s">
        <v>60</v>
      </c>
      <c r="X36" s="56"/>
      <c r="Y36" s="56"/>
      <c r="Z36" s="56"/>
      <c r="AA36" s="56" t="s">
        <v>60</v>
      </c>
      <c r="AB36" s="56"/>
      <c r="AC36" s="56"/>
      <c r="AD36" s="56"/>
      <c r="AE36" s="56"/>
      <c r="AF36" s="56"/>
      <c r="AG36" s="56" t="s">
        <v>59</v>
      </c>
      <c r="AH36" s="56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47"/>
      <c r="AX36" s="47"/>
      <c r="AY36" s="47"/>
      <c r="AZ36" s="47"/>
      <c r="BA36" s="47"/>
      <c r="BB36" s="47"/>
      <c r="BC36" s="47"/>
      <c r="BD36" s="47"/>
    </row>
    <row r="37" spans="2:56" s="50" customFormat="1" ht="12.95" customHeight="1">
      <c r="B37" s="54">
        <v>31</v>
      </c>
      <c r="C37" s="170" t="s">
        <v>173</v>
      </c>
      <c r="D37" s="56" t="s">
        <v>58</v>
      </c>
      <c r="E37" s="56"/>
      <c r="F37" s="56"/>
      <c r="G37" s="56"/>
      <c r="H37" s="56"/>
      <c r="I37" s="56"/>
      <c r="J37" s="56"/>
      <c r="K37" s="56"/>
      <c r="L37" s="56"/>
      <c r="M37" s="56"/>
      <c r="N37" s="56" t="s">
        <v>60</v>
      </c>
      <c r="O37" s="56"/>
      <c r="P37" s="56"/>
      <c r="Q37" s="61"/>
      <c r="R37" s="56"/>
      <c r="S37" s="56"/>
      <c r="T37" s="56"/>
      <c r="U37" s="56" t="s">
        <v>59</v>
      </c>
      <c r="V37" s="56"/>
      <c r="W37" s="56"/>
      <c r="X37" s="56"/>
      <c r="Y37" s="56" t="s">
        <v>58</v>
      </c>
      <c r="Z37" s="56"/>
      <c r="AA37" s="56"/>
      <c r="AB37" s="56"/>
      <c r="AC37" s="56"/>
      <c r="AD37" s="56"/>
      <c r="AE37" s="56"/>
      <c r="AF37" s="56"/>
      <c r="AG37" s="56"/>
      <c r="AH37" s="56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47"/>
      <c r="AX37" s="47"/>
      <c r="AY37" s="47"/>
      <c r="AZ37" s="47"/>
      <c r="BA37" s="47"/>
      <c r="BB37" s="47"/>
      <c r="BC37" s="47"/>
      <c r="BD37" s="47"/>
    </row>
    <row r="38" spans="2:56" s="50" customFormat="1" ht="12.95" customHeight="1">
      <c r="B38" s="54">
        <v>32</v>
      </c>
      <c r="C38" s="170" t="s">
        <v>82</v>
      </c>
      <c r="D38" s="56" t="s">
        <v>59</v>
      </c>
      <c r="E38" s="56" t="s">
        <v>129</v>
      </c>
      <c r="F38" s="56"/>
      <c r="G38" s="56" t="s">
        <v>59</v>
      </c>
      <c r="H38" s="56"/>
      <c r="I38" s="56"/>
      <c r="J38" s="56" t="s">
        <v>58</v>
      </c>
      <c r="K38" s="56"/>
      <c r="L38" s="56"/>
      <c r="M38" s="56"/>
      <c r="N38" s="56" t="s">
        <v>59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 t="s">
        <v>60</v>
      </c>
      <c r="AA38" s="56"/>
      <c r="AB38" s="56" t="s">
        <v>58</v>
      </c>
      <c r="AC38" s="56"/>
      <c r="AD38" s="56"/>
      <c r="AE38" s="56"/>
      <c r="AF38" s="56" t="s">
        <v>58</v>
      </c>
      <c r="AG38" s="56" t="s">
        <v>59</v>
      </c>
      <c r="AH38" s="56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47"/>
      <c r="AX38" s="47"/>
      <c r="AY38" s="47"/>
      <c r="AZ38" s="47"/>
      <c r="BA38" s="47"/>
      <c r="BB38" s="47"/>
      <c r="BC38" s="47"/>
      <c r="BD38" s="47"/>
    </row>
    <row r="39" spans="2:56" s="50" customFormat="1" ht="12.95" customHeight="1">
      <c r="B39" s="54">
        <v>33</v>
      </c>
      <c r="C39" s="170" t="s">
        <v>83</v>
      </c>
      <c r="D39" s="56"/>
      <c r="E39" s="56" t="s">
        <v>58</v>
      </c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 t="s">
        <v>59</v>
      </c>
      <c r="T39" s="56"/>
      <c r="U39" s="56" t="s">
        <v>58</v>
      </c>
      <c r="V39" s="56"/>
      <c r="W39" s="56"/>
      <c r="X39" s="56"/>
      <c r="Y39" s="56"/>
      <c r="Z39" s="56"/>
      <c r="AA39" s="56"/>
      <c r="AB39" s="56"/>
      <c r="AC39" s="56"/>
      <c r="AD39" s="56" t="s">
        <v>59</v>
      </c>
      <c r="AE39" s="56"/>
      <c r="AF39" s="56"/>
      <c r="AG39" s="56"/>
      <c r="AH39" s="56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47"/>
      <c r="AX39" s="47"/>
      <c r="AY39" s="47"/>
      <c r="AZ39" s="47"/>
      <c r="BA39" s="47"/>
      <c r="BB39" s="47"/>
      <c r="BC39" s="47"/>
      <c r="BD39" s="47"/>
    </row>
    <row r="40" spans="2:56" s="50" customFormat="1" ht="12.95" customHeight="1">
      <c r="B40" s="54">
        <v>34</v>
      </c>
      <c r="C40" s="170" t="s">
        <v>154</v>
      </c>
      <c r="D40" s="56"/>
      <c r="E40" s="56"/>
      <c r="F40" s="56"/>
      <c r="G40" s="56"/>
      <c r="H40" s="56"/>
      <c r="I40" s="56"/>
      <c r="J40" s="61"/>
      <c r="K40" s="56"/>
      <c r="L40" s="56"/>
      <c r="M40" s="56"/>
      <c r="N40" s="56"/>
      <c r="O40" s="56"/>
      <c r="P40" s="56"/>
      <c r="Q40" s="56" t="s">
        <v>58</v>
      </c>
      <c r="R40" s="56"/>
      <c r="S40" s="56"/>
      <c r="T40" s="56"/>
      <c r="U40" s="56"/>
      <c r="V40" s="56"/>
      <c r="W40" s="56"/>
      <c r="X40" s="56"/>
      <c r="Y40" s="56"/>
      <c r="Z40" s="56" t="s">
        <v>129</v>
      </c>
      <c r="AA40" s="56"/>
      <c r="AB40" s="56"/>
      <c r="AC40" s="56"/>
      <c r="AD40" s="56"/>
      <c r="AE40" s="56"/>
      <c r="AF40" s="56"/>
      <c r="AG40" s="56"/>
      <c r="AH40" s="56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47"/>
      <c r="AX40" s="47"/>
      <c r="AY40" s="47"/>
      <c r="AZ40" s="47"/>
      <c r="BA40" s="47"/>
      <c r="BB40" s="47"/>
      <c r="BC40" s="47"/>
      <c r="BD40" s="47"/>
    </row>
    <row r="41" spans="2:56" s="50" customFormat="1" ht="12.95" customHeight="1">
      <c r="B41" s="54">
        <v>35</v>
      </c>
      <c r="C41" s="170" t="s">
        <v>107</v>
      </c>
      <c r="D41" s="56"/>
      <c r="E41" s="56"/>
      <c r="F41" s="56"/>
      <c r="G41" s="56"/>
      <c r="H41" s="56"/>
      <c r="I41" s="56" t="s">
        <v>58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 t="s">
        <v>59</v>
      </c>
      <c r="V41" s="56"/>
      <c r="W41" s="56"/>
      <c r="X41" s="56"/>
      <c r="Y41" s="56" t="s">
        <v>59</v>
      </c>
      <c r="Z41" s="56"/>
      <c r="AA41" s="56"/>
      <c r="AB41" s="56"/>
      <c r="AC41" s="56"/>
      <c r="AD41" s="56" t="s">
        <v>58</v>
      </c>
      <c r="AE41" s="56"/>
      <c r="AF41" s="56"/>
      <c r="AG41" s="56"/>
      <c r="AH41" s="56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47"/>
      <c r="AX41" s="47"/>
      <c r="AY41" s="47"/>
      <c r="AZ41" s="47"/>
      <c r="BA41" s="47"/>
      <c r="BB41" s="47"/>
      <c r="BC41" s="47"/>
      <c r="BD41" s="47"/>
    </row>
    <row r="42" spans="2:56" s="50" customFormat="1" ht="12.95" customHeight="1">
      <c r="B42" s="54">
        <v>36</v>
      </c>
      <c r="C42" s="170" t="s">
        <v>84</v>
      </c>
      <c r="D42" s="56" t="s">
        <v>58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 t="s">
        <v>59</v>
      </c>
      <c r="Q42" s="56"/>
      <c r="R42" s="56"/>
      <c r="S42" s="56"/>
      <c r="T42" s="56"/>
      <c r="U42" s="56"/>
      <c r="V42" s="56"/>
      <c r="W42" s="56" t="s">
        <v>58</v>
      </c>
      <c r="X42" s="56"/>
      <c r="Y42" s="56"/>
      <c r="Z42" s="56" t="s">
        <v>60</v>
      </c>
      <c r="AA42" s="56"/>
      <c r="AB42" s="56"/>
      <c r="AC42" s="56"/>
      <c r="AD42" s="56"/>
      <c r="AE42" s="56"/>
      <c r="AF42" s="56"/>
      <c r="AG42" s="56"/>
      <c r="AH42" s="56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47"/>
      <c r="AX42" s="47"/>
      <c r="AY42" s="47"/>
      <c r="AZ42" s="47"/>
      <c r="BA42" s="47"/>
      <c r="BB42" s="47"/>
      <c r="BC42" s="47"/>
      <c r="BD42" s="47"/>
    </row>
    <row r="43" spans="2:56" s="50" customFormat="1" ht="12.95" customHeight="1">
      <c r="B43" s="54">
        <v>37</v>
      </c>
      <c r="C43" s="170" t="s">
        <v>85</v>
      </c>
      <c r="D43" s="56"/>
      <c r="E43" s="56"/>
      <c r="F43" s="56"/>
      <c r="G43" s="56"/>
      <c r="H43" s="56"/>
      <c r="I43" s="56"/>
      <c r="J43" s="56" t="s">
        <v>60</v>
      </c>
      <c r="K43" s="56"/>
      <c r="L43" s="56"/>
      <c r="M43" s="56" t="s">
        <v>59</v>
      </c>
      <c r="N43" s="56"/>
      <c r="O43" s="56"/>
      <c r="P43" s="56"/>
      <c r="Q43" s="56" t="s">
        <v>58</v>
      </c>
      <c r="R43" s="56"/>
      <c r="S43" s="56"/>
      <c r="T43" s="56" t="s">
        <v>59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47"/>
      <c r="AX43" s="47"/>
      <c r="AY43" s="47"/>
      <c r="AZ43" s="47"/>
      <c r="BA43" s="47"/>
      <c r="BB43" s="47"/>
      <c r="BC43" s="47"/>
      <c r="BD43" s="47"/>
    </row>
    <row r="44" spans="2:56" s="50" customFormat="1" ht="12.95" customHeight="1">
      <c r="B44" s="54">
        <v>38</v>
      </c>
      <c r="C44" s="170" t="s">
        <v>132</v>
      </c>
      <c r="D44" s="56"/>
      <c r="E44" s="56"/>
      <c r="F44" s="56"/>
      <c r="G44" s="56" t="s">
        <v>59</v>
      </c>
      <c r="H44" s="56"/>
      <c r="I44" s="56"/>
      <c r="J44" s="56"/>
      <c r="K44" s="56"/>
      <c r="L44" s="56"/>
      <c r="M44" s="56"/>
      <c r="N44" s="56"/>
      <c r="O44" s="56"/>
      <c r="P44" s="56"/>
      <c r="Q44" s="56" t="s">
        <v>58</v>
      </c>
      <c r="R44" s="56"/>
      <c r="S44" s="56"/>
      <c r="T44" s="56"/>
      <c r="U44" s="56" t="s">
        <v>59</v>
      </c>
      <c r="V44" s="56"/>
      <c r="W44" s="56"/>
      <c r="X44" s="56"/>
      <c r="Y44" s="56"/>
      <c r="Z44" s="56"/>
      <c r="AA44" s="56"/>
      <c r="AB44" s="56"/>
      <c r="AC44" s="56"/>
      <c r="AD44" s="56" t="s">
        <v>58</v>
      </c>
      <c r="AE44" s="56"/>
      <c r="AF44" s="56"/>
      <c r="AG44" s="56"/>
      <c r="AH44" s="56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47"/>
      <c r="AX44" s="47"/>
      <c r="AY44" s="47"/>
      <c r="AZ44" s="47"/>
      <c r="BA44" s="47"/>
      <c r="BB44" s="47"/>
      <c r="BC44" s="47"/>
      <c r="BD44" s="47"/>
    </row>
    <row r="45" spans="2:56" s="50" customFormat="1" ht="12.95" customHeight="1">
      <c r="B45" s="54">
        <v>39</v>
      </c>
      <c r="C45" s="170" t="s">
        <v>153</v>
      </c>
      <c r="D45" s="56" t="s">
        <v>59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 t="s">
        <v>59</v>
      </c>
      <c r="V45" s="56"/>
      <c r="W45" s="56"/>
      <c r="X45" s="56"/>
      <c r="Y45" s="56" t="s">
        <v>58</v>
      </c>
      <c r="Z45" s="56"/>
      <c r="AA45" s="56"/>
      <c r="AB45" s="56"/>
      <c r="AC45" s="56"/>
      <c r="AD45" s="56" t="s">
        <v>59</v>
      </c>
      <c r="AE45" s="56" t="s">
        <v>59</v>
      </c>
      <c r="AF45" s="56"/>
      <c r="AG45" s="56"/>
      <c r="AH45" s="56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47"/>
      <c r="AX45" s="47"/>
      <c r="AY45" s="47"/>
      <c r="AZ45" s="47"/>
      <c r="BA45" s="47"/>
      <c r="BB45" s="47"/>
      <c r="BC45" s="47"/>
      <c r="BD45" s="47"/>
    </row>
    <row r="46" spans="2:56" s="50" customFormat="1" ht="12.95" customHeight="1">
      <c r="B46" s="54">
        <v>40</v>
      </c>
      <c r="C46" s="170" t="s">
        <v>155</v>
      </c>
      <c r="D46" s="56"/>
      <c r="E46" s="56" t="s">
        <v>58</v>
      </c>
      <c r="F46" s="56"/>
      <c r="G46" s="56"/>
      <c r="H46" s="56"/>
      <c r="I46" s="56"/>
      <c r="J46" s="56" t="s">
        <v>60</v>
      </c>
      <c r="K46" s="56"/>
      <c r="L46" s="56"/>
      <c r="M46" s="56" t="s">
        <v>60</v>
      </c>
      <c r="N46" s="56"/>
      <c r="O46" s="56"/>
      <c r="P46" s="56"/>
      <c r="Q46" s="56"/>
      <c r="R46" s="56"/>
      <c r="S46" s="56"/>
      <c r="T46" s="56"/>
      <c r="U46" s="56"/>
      <c r="V46" s="56"/>
      <c r="W46" s="56" t="s">
        <v>60</v>
      </c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47"/>
      <c r="AX46" s="47"/>
      <c r="AY46" s="47"/>
      <c r="AZ46" s="47"/>
      <c r="BA46" s="47"/>
      <c r="BB46" s="47"/>
      <c r="BC46" s="47"/>
      <c r="BD46" s="47"/>
    </row>
    <row r="47" spans="2:56" s="50" customFormat="1" ht="12.95" customHeight="1">
      <c r="B47" s="54">
        <v>41</v>
      </c>
      <c r="C47" s="170" t="s">
        <v>142</v>
      </c>
      <c r="D47" s="56" t="s">
        <v>58</v>
      </c>
      <c r="E47" s="56"/>
      <c r="F47" s="56"/>
      <c r="G47" s="56"/>
      <c r="H47" s="56"/>
      <c r="I47" s="61"/>
      <c r="J47" s="56"/>
      <c r="K47" s="56"/>
      <c r="L47" s="56" t="s">
        <v>58</v>
      </c>
      <c r="M47" s="56" t="s">
        <v>129</v>
      </c>
      <c r="N47" s="56" t="s">
        <v>59</v>
      </c>
      <c r="O47" s="56"/>
      <c r="P47" s="56"/>
      <c r="Q47" s="56"/>
      <c r="R47" s="56"/>
      <c r="S47" s="56"/>
      <c r="T47" s="56" t="s">
        <v>58</v>
      </c>
      <c r="U47" s="56"/>
      <c r="V47" s="56"/>
      <c r="W47" s="56"/>
      <c r="X47" s="56" t="s">
        <v>58</v>
      </c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47"/>
      <c r="AX47" s="47"/>
      <c r="AY47" s="47"/>
      <c r="AZ47" s="47"/>
      <c r="BA47" s="47"/>
      <c r="BB47" s="47"/>
      <c r="BC47" s="47"/>
      <c r="BD47" s="47"/>
    </row>
    <row r="48" spans="2:56" s="50" customFormat="1" ht="12.95" customHeight="1">
      <c r="B48" s="54">
        <v>42</v>
      </c>
      <c r="C48" s="170" t="s">
        <v>170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 t="s">
        <v>59</v>
      </c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47"/>
      <c r="AX48" s="47"/>
      <c r="AY48" s="47"/>
      <c r="AZ48" s="47"/>
      <c r="BA48" s="47"/>
      <c r="BB48" s="47"/>
      <c r="BC48" s="47"/>
      <c r="BD48" s="47"/>
    </row>
    <row r="49" spans="2:56" s="50" customFormat="1" ht="12.95" customHeight="1">
      <c r="B49" s="54">
        <v>43</v>
      </c>
      <c r="C49" s="170" t="s">
        <v>86</v>
      </c>
      <c r="D49" s="56"/>
      <c r="E49" s="56"/>
      <c r="F49" s="56"/>
      <c r="G49" s="56" t="s">
        <v>58</v>
      </c>
      <c r="H49" s="56"/>
      <c r="I49" s="56" t="s">
        <v>59</v>
      </c>
      <c r="J49" s="56"/>
      <c r="K49" s="56"/>
      <c r="L49" s="56"/>
      <c r="M49" s="56" t="s">
        <v>58</v>
      </c>
      <c r="N49" s="56"/>
      <c r="O49" s="56"/>
      <c r="P49" s="56" t="s">
        <v>59</v>
      </c>
      <c r="Q49" s="56"/>
      <c r="R49" s="56"/>
      <c r="S49" s="56"/>
      <c r="T49" s="56" t="s">
        <v>58</v>
      </c>
      <c r="U49" s="56"/>
      <c r="V49" s="56"/>
      <c r="W49" s="56" t="s">
        <v>60</v>
      </c>
      <c r="X49" s="56"/>
      <c r="Y49" s="56"/>
      <c r="Z49" s="56"/>
      <c r="AA49" s="56"/>
      <c r="AB49" s="56" t="s">
        <v>60</v>
      </c>
      <c r="AC49" s="56"/>
      <c r="AD49" s="56"/>
      <c r="AE49" s="56"/>
      <c r="AF49" s="56"/>
      <c r="AG49" s="56"/>
      <c r="AH49" s="56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47"/>
      <c r="AX49" s="47"/>
      <c r="AY49" s="47"/>
      <c r="AZ49" s="47"/>
      <c r="BA49" s="47"/>
      <c r="BB49" s="47"/>
      <c r="BC49" s="47"/>
      <c r="BD49" s="47"/>
    </row>
    <row r="50" spans="2:56" s="50" customFormat="1" ht="12.95" customHeight="1">
      <c r="B50" s="54">
        <v>44</v>
      </c>
      <c r="C50" s="170" t="s">
        <v>87</v>
      </c>
      <c r="D50" s="56"/>
      <c r="E50" s="56"/>
      <c r="F50" s="56"/>
      <c r="G50" s="56"/>
      <c r="H50" s="56"/>
      <c r="I50" s="56" t="s">
        <v>58</v>
      </c>
      <c r="J50" s="56" t="s">
        <v>59</v>
      </c>
      <c r="K50" s="56"/>
      <c r="L50" s="56"/>
      <c r="M50" s="56"/>
      <c r="N50" s="56"/>
      <c r="O50" s="56"/>
      <c r="P50" s="56"/>
      <c r="Q50" s="56" t="s">
        <v>58</v>
      </c>
      <c r="R50" s="56"/>
      <c r="S50" s="56"/>
      <c r="T50" s="56"/>
      <c r="U50" s="56"/>
      <c r="V50" s="56"/>
      <c r="W50" s="56" t="s">
        <v>59</v>
      </c>
      <c r="X50" s="56"/>
      <c r="Y50" s="56"/>
      <c r="Z50" s="56"/>
      <c r="AA50" s="56" t="s">
        <v>58</v>
      </c>
      <c r="AB50" s="56"/>
      <c r="AC50" s="56"/>
      <c r="AD50" s="56"/>
      <c r="AE50" s="56"/>
      <c r="AF50" s="56"/>
      <c r="AG50" s="56"/>
      <c r="AH50" s="56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47"/>
      <c r="AX50" s="47"/>
      <c r="AY50" s="47"/>
      <c r="AZ50" s="47"/>
      <c r="BA50" s="47"/>
      <c r="BB50" s="47"/>
      <c r="BC50" s="47"/>
      <c r="BD50" s="47"/>
    </row>
    <row r="51" spans="2:56" s="50" customFormat="1" ht="12.95" customHeight="1">
      <c r="B51" s="54">
        <v>45</v>
      </c>
      <c r="C51" s="170" t="s">
        <v>88</v>
      </c>
      <c r="D51" s="56" t="s">
        <v>58</v>
      </c>
      <c r="E51" s="56"/>
      <c r="F51" s="56"/>
      <c r="G51" s="56" t="s">
        <v>58</v>
      </c>
      <c r="H51" s="56"/>
      <c r="I51" s="56"/>
      <c r="J51" s="56" t="s">
        <v>58</v>
      </c>
      <c r="K51" s="56"/>
      <c r="L51" s="56"/>
      <c r="M51" s="61" t="s">
        <v>59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 t="s">
        <v>59</v>
      </c>
      <c r="Y51" s="56"/>
      <c r="Z51" s="56"/>
      <c r="AA51" s="56"/>
      <c r="AB51" s="56"/>
      <c r="AC51" s="56"/>
      <c r="AD51" s="56"/>
      <c r="AE51" s="56" t="s">
        <v>58</v>
      </c>
      <c r="AF51" s="56"/>
      <c r="AG51" s="56"/>
      <c r="AH51" s="67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47"/>
      <c r="AW51" s="47"/>
      <c r="AX51" s="47"/>
      <c r="AY51" s="47"/>
      <c r="AZ51" s="47"/>
      <c r="BA51" s="47"/>
      <c r="BB51" s="47"/>
      <c r="BC51" s="47"/>
    </row>
    <row r="52" spans="2:56" s="50" customFormat="1" ht="12.95" customHeight="1">
      <c r="B52" s="54">
        <v>46</v>
      </c>
      <c r="C52" s="170" t="s">
        <v>140</v>
      </c>
      <c r="D52" s="56"/>
      <c r="E52" s="56"/>
      <c r="F52" s="56"/>
      <c r="G52" s="56" t="s">
        <v>59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 t="s">
        <v>58</v>
      </c>
      <c r="U52" s="56"/>
      <c r="V52" s="61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47"/>
      <c r="AW52" s="47"/>
      <c r="AX52" s="47"/>
      <c r="AY52" s="47"/>
      <c r="AZ52" s="47"/>
      <c r="BA52" s="47"/>
      <c r="BB52" s="47"/>
      <c r="BC52" s="47"/>
    </row>
    <row r="53" spans="2:56" s="50" customFormat="1" ht="12.95" customHeight="1">
      <c r="B53" s="54">
        <v>47</v>
      </c>
      <c r="C53" s="170" t="s">
        <v>144</v>
      </c>
      <c r="D53" s="56"/>
      <c r="E53" s="56"/>
      <c r="F53" s="56"/>
      <c r="G53" s="56" t="s">
        <v>58</v>
      </c>
      <c r="H53" s="56"/>
      <c r="I53" s="56"/>
      <c r="J53" s="56"/>
      <c r="K53" s="56"/>
      <c r="L53" s="56"/>
      <c r="M53" s="56"/>
      <c r="N53" s="56"/>
      <c r="O53" s="56"/>
      <c r="P53" s="56"/>
      <c r="Q53" s="56" t="s">
        <v>58</v>
      </c>
      <c r="R53" s="56"/>
      <c r="S53" s="56"/>
      <c r="T53" s="56"/>
      <c r="U53" s="56"/>
      <c r="V53" s="56"/>
      <c r="W53" s="56"/>
      <c r="X53" s="56" t="s">
        <v>58</v>
      </c>
      <c r="Y53" s="56"/>
      <c r="Z53" s="56"/>
      <c r="AA53" s="56"/>
      <c r="AB53" s="56" t="s">
        <v>58</v>
      </c>
      <c r="AC53" s="56"/>
      <c r="AD53" s="56"/>
      <c r="AE53" s="56" t="s">
        <v>60</v>
      </c>
      <c r="AF53" s="56"/>
      <c r="AG53" s="56"/>
      <c r="AH53" s="56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47"/>
      <c r="AW53" s="47"/>
      <c r="AX53" s="47"/>
      <c r="AY53" s="47"/>
      <c r="AZ53" s="47"/>
      <c r="BA53" s="47"/>
      <c r="BB53" s="47"/>
      <c r="BC53" s="47"/>
    </row>
    <row r="54" spans="2:56" s="50" customFormat="1" ht="12.95" customHeight="1">
      <c r="B54" s="54">
        <v>48</v>
      </c>
      <c r="C54" s="170" t="s">
        <v>175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 t="s">
        <v>58</v>
      </c>
      <c r="S54" s="56"/>
      <c r="T54" s="56"/>
      <c r="U54" s="56"/>
      <c r="V54" s="56"/>
      <c r="W54" s="56"/>
      <c r="X54" s="56"/>
      <c r="Y54" s="56"/>
      <c r="Z54" s="56"/>
      <c r="AA54" s="56" t="s">
        <v>58</v>
      </c>
      <c r="AB54" s="56"/>
      <c r="AC54" s="56"/>
      <c r="AD54" s="56"/>
      <c r="AE54" s="56"/>
      <c r="AF54" s="56"/>
      <c r="AG54" s="56"/>
      <c r="AH54" s="56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47"/>
      <c r="AW54" s="47"/>
      <c r="AX54" s="47"/>
      <c r="AY54" s="47"/>
      <c r="AZ54" s="47"/>
      <c r="BA54" s="47"/>
      <c r="BB54" s="47"/>
      <c r="BC54" s="47"/>
    </row>
    <row r="55" spans="2:56" s="50" customFormat="1" ht="12.95" customHeight="1">
      <c r="B55" s="54">
        <v>49</v>
      </c>
      <c r="C55" s="170" t="s">
        <v>137</v>
      </c>
      <c r="D55" s="56"/>
      <c r="E55" s="56" t="s">
        <v>59</v>
      </c>
      <c r="F55" s="56"/>
      <c r="G55" s="56"/>
      <c r="H55" s="56"/>
      <c r="I55" s="56" t="s">
        <v>58</v>
      </c>
      <c r="J55" s="56" t="s">
        <v>59</v>
      </c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 t="s">
        <v>58</v>
      </c>
      <c r="V55" s="56"/>
      <c r="W55" s="56"/>
      <c r="X55" s="56"/>
      <c r="Y55" s="56"/>
      <c r="Z55" s="56" t="s">
        <v>58</v>
      </c>
      <c r="AA55" s="56"/>
      <c r="AB55" s="56"/>
      <c r="AC55" s="56"/>
      <c r="AD55" s="56"/>
      <c r="AE55" s="56"/>
      <c r="AF55" s="56"/>
      <c r="AG55" s="56"/>
      <c r="AH55" s="56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47"/>
      <c r="AW55" s="47"/>
      <c r="AX55" s="47"/>
      <c r="AY55" s="47"/>
      <c r="AZ55" s="47"/>
      <c r="BA55" s="47"/>
      <c r="BB55" s="47"/>
      <c r="BC55" s="47"/>
    </row>
    <row r="56" spans="2:56" s="50" customFormat="1" ht="12.95" customHeight="1">
      <c r="B56" s="54">
        <v>50</v>
      </c>
      <c r="C56" s="170" t="s">
        <v>89</v>
      </c>
      <c r="D56" s="56"/>
      <c r="E56" s="56" t="s">
        <v>59</v>
      </c>
      <c r="F56" s="56"/>
      <c r="G56" s="56"/>
      <c r="H56" s="56"/>
      <c r="I56" s="56"/>
      <c r="J56" s="56" t="s">
        <v>59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 t="s">
        <v>58</v>
      </c>
      <c r="AG56" s="56"/>
      <c r="AH56" s="56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47"/>
      <c r="AW56" s="47"/>
      <c r="AX56" s="47"/>
      <c r="AY56" s="47"/>
      <c r="AZ56" s="47"/>
      <c r="BA56" s="47"/>
      <c r="BB56" s="47"/>
      <c r="BC56" s="47"/>
    </row>
    <row r="57" spans="2:56" s="50" customFormat="1" ht="12.95" customHeight="1">
      <c r="B57" s="54">
        <v>51</v>
      </c>
      <c r="C57" s="170" t="s">
        <v>90</v>
      </c>
      <c r="D57" s="56" t="s">
        <v>58</v>
      </c>
      <c r="E57" s="56" t="s">
        <v>59</v>
      </c>
      <c r="F57" s="56"/>
      <c r="G57" s="56"/>
      <c r="H57" s="56"/>
      <c r="I57" s="56"/>
      <c r="J57" s="56"/>
      <c r="K57" s="56"/>
      <c r="L57" s="56" t="s">
        <v>58</v>
      </c>
      <c r="M57" s="56" t="s">
        <v>59</v>
      </c>
      <c r="N57" s="56"/>
      <c r="O57" s="56"/>
      <c r="P57" s="56"/>
      <c r="Q57" s="56"/>
      <c r="R57" s="56"/>
      <c r="S57" s="56" t="s">
        <v>59</v>
      </c>
      <c r="T57" s="56"/>
      <c r="U57" s="56"/>
      <c r="V57" s="56"/>
      <c r="W57" s="56" t="s">
        <v>59</v>
      </c>
      <c r="X57" s="56"/>
      <c r="Y57" s="56"/>
      <c r="Z57" s="56"/>
      <c r="AA57" s="56"/>
      <c r="AB57" s="56"/>
      <c r="AC57" s="56"/>
      <c r="AD57" s="56"/>
      <c r="AE57" s="56"/>
      <c r="AF57" s="56"/>
      <c r="AG57" s="56" t="s">
        <v>58</v>
      </c>
      <c r="AH57" s="56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47"/>
      <c r="AW57" s="47"/>
      <c r="AX57" s="47"/>
      <c r="AY57" s="47"/>
      <c r="AZ57" s="47"/>
      <c r="BA57" s="47"/>
      <c r="BB57" s="47"/>
      <c r="BC57" s="47"/>
    </row>
    <row r="58" spans="2:56" s="50" customFormat="1" ht="12.95" customHeight="1">
      <c r="B58" s="54">
        <v>52</v>
      </c>
      <c r="C58" s="170" t="s">
        <v>143</v>
      </c>
      <c r="D58" s="56"/>
      <c r="E58" s="56"/>
      <c r="F58" s="56"/>
      <c r="G58" s="56" t="s">
        <v>58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 t="s">
        <v>58</v>
      </c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 t="s">
        <v>58</v>
      </c>
      <c r="AG58" s="56"/>
      <c r="AH58" s="56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47"/>
      <c r="AW58" s="47"/>
      <c r="AX58" s="47"/>
      <c r="AY58" s="47"/>
      <c r="AZ58" s="47"/>
      <c r="BA58" s="47"/>
      <c r="BB58" s="47"/>
      <c r="BC58" s="47"/>
    </row>
    <row r="59" spans="2:56" s="50" customFormat="1" ht="12.95" customHeight="1">
      <c r="B59" s="54">
        <v>53</v>
      </c>
      <c r="C59" s="170" t="s">
        <v>91</v>
      </c>
      <c r="D59" s="56"/>
      <c r="E59" s="56"/>
      <c r="F59" s="56"/>
      <c r="G59" s="56"/>
      <c r="H59" s="56"/>
      <c r="I59" s="56" t="s">
        <v>59</v>
      </c>
      <c r="J59" s="56"/>
      <c r="K59" s="56"/>
      <c r="L59" s="56"/>
      <c r="M59" s="56" t="s">
        <v>58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 t="s">
        <v>58</v>
      </c>
      <c r="AA59" s="56"/>
      <c r="AB59" s="56"/>
      <c r="AC59" s="56"/>
      <c r="AD59" s="56" t="s">
        <v>60</v>
      </c>
      <c r="AE59" s="56"/>
      <c r="AF59" s="56"/>
      <c r="AG59" s="56"/>
      <c r="AH59" s="56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47"/>
      <c r="AW59" s="47"/>
      <c r="AX59" s="47"/>
      <c r="AY59" s="47"/>
      <c r="AZ59" s="47"/>
      <c r="BA59" s="47"/>
      <c r="BB59" s="47"/>
      <c r="BC59" s="47"/>
    </row>
    <row r="60" spans="2:56" s="50" customFormat="1" ht="12.95" customHeight="1">
      <c r="B60" s="54">
        <v>54</v>
      </c>
      <c r="C60" s="170" t="s">
        <v>145</v>
      </c>
      <c r="D60" s="56"/>
      <c r="E60" s="56"/>
      <c r="F60" s="56"/>
      <c r="G60" s="56"/>
      <c r="H60" s="56"/>
      <c r="I60" s="56"/>
      <c r="J60" s="56"/>
      <c r="K60" s="56"/>
      <c r="L60" s="56"/>
      <c r="M60" s="56" t="s">
        <v>58</v>
      </c>
      <c r="N60" s="56"/>
      <c r="O60" s="56"/>
      <c r="P60" s="56"/>
      <c r="Q60" s="56"/>
      <c r="R60" s="56" t="s">
        <v>58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47"/>
      <c r="AW60" s="47"/>
      <c r="AX60" s="47"/>
      <c r="AY60" s="47"/>
      <c r="AZ60" s="47"/>
      <c r="BA60" s="47"/>
      <c r="BB60" s="47"/>
      <c r="BC60" s="47"/>
    </row>
    <row r="61" spans="2:56" s="50" customFormat="1" ht="12.95" customHeight="1">
      <c r="B61" s="54">
        <v>55</v>
      </c>
      <c r="C61" s="170" t="s">
        <v>136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 t="s">
        <v>58</v>
      </c>
      <c r="V61" s="56"/>
      <c r="W61" s="56"/>
      <c r="X61" s="56"/>
      <c r="Y61" s="56" t="s">
        <v>60</v>
      </c>
      <c r="Z61" s="56"/>
      <c r="AA61" s="56"/>
      <c r="AB61" s="56"/>
      <c r="AC61" s="56"/>
      <c r="AD61" s="56"/>
      <c r="AE61" s="56"/>
      <c r="AF61" s="56"/>
      <c r="AG61" s="56"/>
      <c r="AH61" s="56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47"/>
      <c r="AW61" s="47"/>
      <c r="AX61" s="47"/>
      <c r="AY61" s="47"/>
      <c r="AZ61" s="47"/>
      <c r="BA61" s="47"/>
      <c r="BB61" s="47"/>
      <c r="BC61" s="47"/>
    </row>
    <row r="62" spans="2:56" s="50" customFormat="1" ht="12.95" customHeight="1">
      <c r="B62" s="54">
        <v>56</v>
      </c>
      <c r="C62" s="170" t="s">
        <v>160</v>
      </c>
      <c r="D62" s="56" t="s">
        <v>58</v>
      </c>
      <c r="E62" s="56"/>
      <c r="F62" s="56"/>
      <c r="G62" s="56" t="s">
        <v>58</v>
      </c>
      <c r="H62" s="56"/>
      <c r="I62" s="56"/>
      <c r="J62" s="56"/>
      <c r="K62" s="56"/>
      <c r="L62" s="56"/>
      <c r="M62" s="56" t="s">
        <v>58</v>
      </c>
      <c r="N62" s="56"/>
      <c r="O62" s="56"/>
      <c r="P62" s="56"/>
      <c r="Q62" s="56"/>
      <c r="R62" s="56"/>
      <c r="S62" s="56"/>
      <c r="T62" s="56"/>
      <c r="U62" s="56" t="s">
        <v>58</v>
      </c>
      <c r="V62" s="56"/>
      <c r="W62" s="56" t="s">
        <v>59</v>
      </c>
      <c r="X62" s="56"/>
      <c r="Y62" s="56"/>
      <c r="Z62" s="56"/>
      <c r="AA62" s="56"/>
      <c r="AB62" s="56"/>
      <c r="AC62" s="61"/>
      <c r="AD62" s="56"/>
      <c r="AE62" s="56"/>
      <c r="AF62" s="56"/>
      <c r="AG62" s="56"/>
      <c r="AH62" s="56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47"/>
      <c r="AW62" s="47"/>
      <c r="AX62" s="47"/>
      <c r="AY62" s="47"/>
      <c r="AZ62" s="47"/>
      <c r="BA62" s="47"/>
      <c r="BB62" s="47"/>
      <c r="BC62" s="47"/>
    </row>
    <row r="63" spans="2:56" s="50" customFormat="1" ht="12.95" customHeight="1">
      <c r="B63" s="54">
        <v>57</v>
      </c>
      <c r="C63" s="170" t="s">
        <v>141</v>
      </c>
      <c r="D63" s="56"/>
      <c r="E63" s="56"/>
      <c r="F63" s="56"/>
      <c r="G63" s="56"/>
      <c r="H63" s="56"/>
      <c r="I63" s="56"/>
      <c r="J63" s="56"/>
      <c r="K63" s="56"/>
      <c r="L63" s="56" t="s">
        <v>58</v>
      </c>
      <c r="M63" s="56"/>
      <c r="N63" s="56"/>
      <c r="O63" s="56"/>
      <c r="P63" s="56"/>
      <c r="Q63" s="56" t="s">
        <v>58</v>
      </c>
      <c r="R63" s="56" t="s">
        <v>58</v>
      </c>
      <c r="S63" s="56" t="s">
        <v>59</v>
      </c>
      <c r="T63" s="56"/>
      <c r="U63" s="56"/>
      <c r="V63" s="56"/>
      <c r="W63" s="56"/>
      <c r="X63" s="56" t="s">
        <v>59</v>
      </c>
      <c r="Y63" s="56"/>
      <c r="Z63" s="56"/>
      <c r="AA63" s="56"/>
      <c r="AB63" s="56" t="s">
        <v>60</v>
      </c>
      <c r="AC63" s="56"/>
      <c r="AD63" s="56"/>
      <c r="AE63" s="56"/>
      <c r="AF63" s="56" t="s">
        <v>58</v>
      </c>
      <c r="AG63" s="56"/>
      <c r="AH63" s="56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47"/>
      <c r="AW63" s="47"/>
      <c r="AX63" s="47"/>
      <c r="AY63" s="47"/>
      <c r="AZ63" s="47"/>
      <c r="BA63" s="47"/>
      <c r="BB63" s="47"/>
      <c r="BC63" s="47"/>
    </row>
    <row r="64" spans="2:56" s="50" customFormat="1" ht="12.95" customHeight="1">
      <c r="B64" s="54">
        <v>58</v>
      </c>
      <c r="C64" s="170" t="s">
        <v>174</v>
      </c>
      <c r="D64" s="56"/>
      <c r="E64" s="56"/>
      <c r="F64" s="56"/>
      <c r="G64" s="56"/>
      <c r="H64" s="56"/>
      <c r="I64" s="56" t="s">
        <v>59</v>
      </c>
      <c r="J64" s="56"/>
      <c r="K64" s="56"/>
      <c r="L64" s="56"/>
      <c r="M64" s="56"/>
      <c r="N64" s="56"/>
      <c r="O64" s="56"/>
      <c r="P64" s="56"/>
      <c r="Q64" s="56" t="s">
        <v>58</v>
      </c>
      <c r="R64" s="56"/>
      <c r="S64" s="56"/>
      <c r="T64" s="56"/>
      <c r="U64" s="56"/>
      <c r="V64" s="56"/>
      <c r="W64" s="56"/>
      <c r="X64" s="56"/>
      <c r="Y64" s="56"/>
      <c r="Z64" s="56" t="s">
        <v>58</v>
      </c>
      <c r="AA64" s="56"/>
      <c r="AB64" s="56"/>
      <c r="AC64" s="56"/>
      <c r="AD64" s="56"/>
      <c r="AE64" s="56"/>
      <c r="AF64" s="56"/>
      <c r="AG64" s="56"/>
      <c r="AH64" s="56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47"/>
      <c r="AW64" s="47"/>
      <c r="AX64" s="47"/>
      <c r="AY64" s="47"/>
      <c r="AZ64" s="47"/>
      <c r="BA64" s="47"/>
      <c r="BB64" s="47"/>
      <c r="BC64" s="47"/>
    </row>
    <row r="65" spans="2:56" s="50" customFormat="1" ht="12.95" customHeight="1">
      <c r="B65" s="54">
        <v>59</v>
      </c>
      <c r="C65" s="170" t="s">
        <v>93</v>
      </c>
      <c r="D65" s="56"/>
      <c r="E65" s="56" t="s">
        <v>58</v>
      </c>
      <c r="F65" s="56"/>
      <c r="G65" s="56" t="s">
        <v>59</v>
      </c>
      <c r="H65" s="61"/>
      <c r="I65" s="56"/>
      <c r="J65" s="56" t="s">
        <v>58</v>
      </c>
      <c r="K65" s="56"/>
      <c r="L65" s="56" t="s">
        <v>58</v>
      </c>
      <c r="M65" s="56"/>
      <c r="N65" s="56" t="s">
        <v>59</v>
      </c>
      <c r="O65" s="56"/>
      <c r="P65" s="56"/>
      <c r="Q65" s="56"/>
      <c r="R65" s="56"/>
      <c r="S65" s="56" t="s">
        <v>59</v>
      </c>
      <c r="T65" s="56"/>
      <c r="U65" s="56"/>
      <c r="V65" s="56"/>
      <c r="W65" s="56"/>
      <c r="X65" s="56"/>
      <c r="Y65" s="56"/>
      <c r="Z65" s="56" t="s">
        <v>58</v>
      </c>
      <c r="AA65" s="56"/>
      <c r="AB65" s="56"/>
      <c r="AC65" s="56"/>
      <c r="AD65" s="56" t="s">
        <v>58</v>
      </c>
      <c r="AE65" s="56" t="s">
        <v>59</v>
      </c>
      <c r="AF65" s="56"/>
      <c r="AG65" s="56"/>
      <c r="AH65" s="56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47"/>
      <c r="AW65" s="47"/>
      <c r="AX65" s="47"/>
      <c r="AY65" s="47"/>
      <c r="AZ65" s="47"/>
      <c r="BA65" s="47"/>
      <c r="BB65" s="47"/>
      <c r="BC65" s="47"/>
    </row>
    <row r="66" spans="2:56" s="50" customFormat="1" ht="12.95" customHeight="1">
      <c r="B66" s="54">
        <v>60</v>
      </c>
      <c r="C66" s="55" t="s">
        <v>133</v>
      </c>
      <c r="D66" s="56"/>
      <c r="E66" s="56"/>
      <c r="F66" s="56"/>
      <c r="G66" s="56"/>
      <c r="H66" s="56"/>
      <c r="I66" s="56"/>
      <c r="J66" s="56"/>
      <c r="K66" s="56"/>
      <c r="L66" s="56" t="s">
        <v>58</v>
      </c>
      <c r="M66" s="56" t="s">
        <v>59</v>
      </c>
      <c r="N66" s="56"/>
      <c r="O66" s="56"/>
      <c r="P66" s="56"/>
      <c r="Q66" s="56"/>
      <c r="R66" s="56" t="s">
        <v>58</v>
      </c>
      <c r="S66" s="56"/>
      <c r="T66" s="56"/>
      <c r="U66" s="56"/>
      <c r="V66" s="56"/>
      <c r="W66" s="56" t="s">
        <v>58</v>
      </c>
      <c r="X66" s="56" t="s">
        <v>59</v>
      </c>
      <c r="Y66" s="56"/>
      <c r="Z66" s="56"/>
      <c r="AA66" s="56"/>
      <c r="AB66" s="56"/>
      <c r="AC66" s="56"/>
      <c r="AD66" s="56"/>
      <c r="AE66" s="56"/>
      <c r="AF66" s="56" t="s">
        <v>58</v>
      </c>
      <c r="AG66" s="56"/>
      <c r="AH66" s="67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47"/>
      <c r="AW66" s="47"/>
      <c r="AX66" s="47"/>
      <c r="AY66" s="47"/>
      <c r="AZ66" s="47"/>
      <c r="BA66" s="47"/>
      <c r="BB66" s="47"/>
      <c r="BC66" s="47"/>
    </row>
    <row r="67" spans="2:56" s="50" customFormat="1" ht="12.95" customHeight="1">
      <c r="B67" s="54">
        <v>61</v>
      </c>
      <c r="C67" s="55" t="s">
        <v>94</v>
      </c>
      <c r="D67" s="56"/>
      <c r="E67" s="56" t="s">
        <v>58</v>
      </c>
      <c r="F67" s="56"/>
      <c r="G67" s="56" t="s">
        <v>59</v>
      </c>
      <c r="H67" s="56"/>
      <c r="I67" s="56"/>
      <c r="J67" s="56"/>
      <c r="K67" s="56" t="s">
        <v>59</v>
      </c>
      <c r="L67" s="56"/>
      <c r="M67" s="56"/>
      <c r="N67" s="56"/>
      <c r="O67" s="56"/>
      <c r="P67" s="56"/>
      <c r="Q67" s="56" t="s">
        <v>59</v>
      </c>
      <c r="R67" s="56"/>
      <c r="S67" s="56"/>
      <c r="T67" s="56"/>
      <c r="U67" s="56"/>
      <c r="V67" s="56"/>
      <c r="W67" s="56"/>
      <c r="X67" s="56"/>
      <c r="Y67" s="56"/>
      <c r="Z67" s="56"/>
      <c r="AA67" s="56" t="s">
        <v>60</v>
      </c>
      <c r="AB67" s="56"/>
      <c r="AC67" s="56"/>
      <c r="AD67" s="56"/>
      <c r="AE67" s="56" t="s">
        <v>60</v>
      </c>
      <c r="AF67" s="56"/>
      <c r="AG67" s="56" t="s">
        <v>58</v>
      </c>
      <c r="AH67" s="67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47"/>
      <c r="AW67" s="47"/>
      <c r="AX67" s="47"/>
      <c r="AY67" s="47"/>
      <c r="AZ67" s="47"/>
      <c r="BA67" s="47"/>
      <c r="BB67" s="47"/>
      <c r="BC67" s="47"/>
    </row>
    <row r="68" spans="2:56" s="50" customFormat="1" ht="12.95" customHeight="1">
      <c r="B68" s="54">
        <v>62</v>
      </c>
      <c r="C68" s="55" t="s">
        <v>95</v>
      </c>
      <c r="D68" s="56" t="s">
        <v>58</v>
      </c>
      <c r="E68" s="56" t="s">
        <v>59</v>
      </c>
      <c r="F68" s="56"/>
      <c r="G68" s="56"/>
      <c r="H68" s="56"/>
      <c r="I68" s="56" t="s">
        <v>58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 t="s">
        <v>58</v>
      </c>
      <c r="Y68" s="56"/>
      <c r="Z68" s="56"/>
      <c r="AA68" s="56"/>
      <c r="AB68" s="56" t="s">
        <v>58</v>
      </c>
      <c r="AC68" s="56"/>
      <c r="AD68" s="56" t="s">
        <v>58</v>
      </c>
      <c r="AE68" s="56"/>
      <c r="AF68" s="56"/>
      <c r="AG68" s="56"/>
      <c r="AH68" s="67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47"/>
      <c r="AW68" s="47"/>
      <c r="AX68" s="47"/>
      <c r="AY68" s="47"/>
      <c r="AZ68" s="47"/>
      <c r="BA68" s="47"/>
      <c r="BB68" s="47"/>
      <c r="BC68" s="47"/>
    </row>
    <row r="69" spans="2:56" s="50" customFormat="1" ht="12.95" customHeight="1">
      <c r="B69" s="54">
        <v>63</v>
      </c>
      <c r="C69" s="55" t="s">
        <v>138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 t="s">
        <v>60</v>
      </c>
      <c r="R69" s="56"/>
      <c r="S69" s="56"/>
      <c r="T69" s="56"/>
      <c r="U69" s="56"/>
      <c r="V69" s="56"/>
      <c r="W69" s="56"/>
      <c r="X69" s="56"/>
      <c r="Y69" s="56" t="s">
        <v>60</v>
      </c>
      <c r="Z69" s="56"/>
      <c r="AA69" s="56"/>
      <c r="AB69" s="56"/>
      <c r="AC69" s="56"/>
      <c r="AD69" s="56"/>
      <c r="AE69" s="56" t="s">
        <v>129</v>
      </c>
      <c r="AF69" s="56"/>
      <c r="AG69" s="56" t="s">
        <v>59</v>
      </c>
      <c r="AH69" s="67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47"/>
      <c r="AW69" s="47"/>
      <c r="AX69" s="47"/>
      <c r="AY69" s="47"/>
      <c r="AZ69" s="47"/>
      <c r="BA69" s="47"/>
      <c r="BB69" s="47"/>
      <c r="BC69" s="47"/>
    </row>
    <row r="70" spans="2:56" s="50" customFormat="1" ht="12.95" customHeight="1">
      <c r="B70" s="54">
        <v>64</v>
      </c>
      <c r="C70" s="55" t="s">
        <v>108</v>
      </c>
      <c r="D70" s="56"/>
      <c r="E70" s="56" t="s">
        <v>58</v>
      </c>
      <c r="F70" s="56"/>
      <c r="G70" s="56"/>
      <c r="H70" s="56"/>
      <c r="I70" s="56"/>
      <c r="J70" s="56"/>
      <c r="K70" s="56"/>
      <c r="L70" s="56" t="s">
        <v>59</v>
      </c>
      <c r="M70" s="56"/>
      <c r="N70" s="56"/>
      <c r="O70" s="56"/>
      <c r="P70" s="56"/>
      <c r="Q70" s="56"/>
      <c r="R70" s="56"/>
      <c r="S70" s="56"/>
      <c r="T70" s="56" t="s">
        <v>58</v>
      </c>
      <c r="U70" s="56"/>
      <c r="V70" s="56"/>
      <c r="W70" s="56"/>
      <c r="X70" s="56"/>
      <c r="Y70" s="56"/>
      <c r="Z70" s="56" t="s">
        <v>58</v>
      </c>
      <c r="AA70" s="56"/>
      <c r="AB70" s="56"/>
      <c r="AC70" s="56"/>
      <c r="AD70" s="56"/>
      <c r="AE70" s="56"/>
      <c r="AF70" s="56"/>
      <c r="AG70" s="56"/>
      <c r="AH70" s="67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47"/>
      <c r="AW70" s="47"/>
      <c r="AX70" s="47"/>
      <c r="AY70" s="47"/>
      <c r="AZ70" s="47"/>
      <c r="BA70" s="47"/>
      <c r="BB70" s="47"/>
      <c r="BC70" s="47"/>
    </row>
    <row r="71" spans="2:56" s="50" customFormat="1" ht="12.95" customHeight="1">
      <c r="B71" s="54">
        <v>65</v>
      </c>
      <c r="C71" s="55" t="s">
        <v>96</v>
      </c>
      <c r="D71" s="56"/>
      <c r="E71" s="56"/>
      <c r="F71" s="56"/>
      <c r="G71" s="56"/>
      <c r="H71" s="56"/>
      <c r="I71" s="56"/>
      <c r="J71" s="56"/>
      <c r="K71" s="56" t="s">
        <v>59</v>
      </c>
      <c r="L71" s="56"/>
      <c r="M71" s="56"/>
      <c r="N71" s="56"/>
      <c r="O71" s="56"/>
      <c r="P71" s="56"/>
      <c r="Q71" s="56"/>
      <c r="R71" s="56"/>
      <c r="S71" s="56" t="s">
        <v>58</v>
      </c>
      <c r="T71" s="56"/>
      <c r="U71" s="56"/>
      <c r="V71" s="56"/>
      <c r="W71" s="56"/>
      <c r="X71" s="56" t="s">
        <v>58</v>
      </c>
      <c r="Y71" s="56"/>
      <c r="Z71" s="56"/>
      <c r="AA71" s="56"/>
      <c r="AB71" s="56"/>
      <c r="AC71" s="56"/>
      <c r="AD71" s="56"/>
      <c r="AE71" s="56" t="s">
        <v>58</v>
      </c>
      <c r="AF71" s="56"/>
      <c r="AG71" s="56"/>
      <c r="AH71" s="67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47"/>
      <c r="AW71" s="47"/>
      <c r="AX71" s="47"/>
      <c r="AY71" s="47"/>
      <c r="AZ71" s="47"/>
      <c r="BA71" s="47"/>
      <c r="BB71" s="47"/>
      <c r="BC71" s="47"/>
    </row>
    <row r="72" spans="2:56" s="50" customFormat="1" ht="12.95" customHeight="1">
      <c r="B72" s="54">
        <v>66</v>
      </c>
      <c r="C72" s="55" t="s">
        <v>163</v>
      </c>
      <c r="D72" s="56"/>
      <c r="E72" s="56"/>
      <c r="F72" s="56"/>
      <c r="G72" s="56" t="s">
        <v>58</v>
      </c>
      <c r="H72" s="56"/>
      <c r="I72" s="56" t="s">
        <v>59</v>
      </c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 t="s">
        <v>58</v>
      </c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67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47"/>
      <c r="AW72" s="47"/>
      <c r="AX72" s="47"/>
      <c r="AY72" s="47"/>
      <c r="AZ72" s="47"/>
      <c r="BA72" s="47"/>
      <c r="BB72" s="47"/>
      <c r="BC72" s="47"/>
    </row>
    <row r="73" spans="2:56" s="50" customFormat="1" ht="12.95" customHeight="1">
      <c r="B73" s="54">
        <v>67</v>
      </c>
      <c r="C73" s="55" t="s">
        <v>109</v>
      </c>
      <c r="D73" s="56"/>
      <c r="E73" s="61" t="s">
        <v>58</v>
      </c>
      <c r="F73" s="56"/>
      <c r="G73" s="56"/>
      <c r="H73" s="56"/>
      <c r="I73" s="56"/>
      <c r="J73" s="56"/>
      <c r="K73" s="56" t="s">
        <v>59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 t="s">
        <v>58</v>
      </c>
      <c r="X73" s="56"/>
      <c r="Y73" s="56"/>
      <c r="Z73" s="56"/>
      <c r="AA73" s="56" t="s">
        <v>59</v>
      </c>
      <c r="AB73" s="56"/>
      <c r="AC73" s="56"/>
      <c r="AD73" s="56"/>
      <c r="AE73" s="56"/>
      <c r="AF73" s="56"/>
      <c r="AG73" s="56"/>
      <c r="AH73" s="67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47"/>
      <c r="AW73" s="47"/>
      <c r="AX73" s="47"/>
      <c r="AY73" s="47"/>
      <c r="AZ73" s="47"/>
      <c r="BA73" s="47"/>
      <c r="BB73" s="47"/>
      <c r="BC73" s="47"/>
    </row>
    <row r="74" spans="2:56" s="50" customFormat="1" ht="12.95" customHeight="1">
      <c r="B74" s="54">
        <v>68</v>
      </c>
      <c r="C74" s="55" t="s">
        <v>110</v>
      </c>
      <c r="D74" s="56"/>
      <c r="E74" s="56"/>
      <c r="F74" s="56"/>
      <c r="G74" s="56"/>
      <c r="H74" s="56"/>
      <c r="I74" s="56"/>
      <c r="J74" s="56" t="s">
        <v>58</v>
      </c>
      <c r="K74" s="56"/>
      <c r="L74" s="56" t="s">
        <v>58</v>
      </c>
      <c r="M74" s="56"/>
      <c r="N74" s="56"/>
      <c r="O74" s="56"/>
      <c r="P74" s="56"/>
      <c r="Q74" s="56"/>
      <c r="R74" s="56" t="s">
        <v>59</v>
      </c>
      <c r="S74" s="56"/>
      <c r="T74" s="56"/>
      <c r="U74" s="56" t="s">
        <v>58</v>
      </c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 t="s">
        <v>58</v>
      </c>
      <c r="AG74" s="56"/>
      <c r="AH74" s="67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47"/>
      <c r="AW74" s="47"/>
      <c r="AX74" s="47"/>
      <c r="AY74" s="47"/>
      <c r="AZ74" s="47"/>
      <c r="BA74" s="47"/>
      <c r="BB74" s="47"/>
      <c r="BC74" s="47"/>
    </row>
    <row r="75" spans="2:56" s="50" customFormat="1" ht="12.95" customHeight="1">
      <c r="B75" s="54">
        <v>69</v>
      </c>
      <c r="C75" s="55" t="s">
        <v>97</v>
      </c>
      <c r="D75" s="56" t="s">
        <v>58</v>
      </c>
      <c r="E75" s="56"/>
      <c r="F75" s="56"/>
      <c r="G75" s="56" t="s">
        <v>59</v>
      </c>
      <c r="H75" s="56"/>
      <c r="I75" s="56"/>
      <c r="J75" s="56"/>
      <c r="K75" s="56"/>
      <c r="L75" s="56"/>
      <c r="M75" s="61" t="s">
        <v>59</v>
      </c>
      <c r="N75" s="56"/>
      <c r="O75" s="56"/>
      <c r="P75" s="56"/>
      <c r="Q75" s="56"/>
      <c r="R75" s="56"/>
      <c r="S75" s="56" t="s">
        <v>58</v>
      </c>
      <c r="T75" s="56"/>
      <c r="U75" s="56"/>
      <c r="V75" s="56"/>
      <c r="W75" s="56"/>
      <c r="X75" s="56"/>
      <c r="Y75" s="56" t="s">
        <v>58</v>
      </c>
      <c r="Z75" s="56"/>
      <c r="AA75" s="56"/>
      <c r="AB75" s="56" t="s">
        <v>59</v>
      </c>
      <c r="AC75" s="56"/>
      <c r="AD75" s="56"/>
      <c r="AE75" s="56"/>
      <c r="AF75" s="56"/>
      <c r="AG75" s="56"/>
      <c r="AH75" s="67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47"/>
      <c r="AW75" s="47"/>
      <c r="AX75" s="47"/>
      <c r="AY75" s="47"/>
      <c r="AZ75" s="47"/>
      <c r="BA75" s="47"/>
      <c r="BB75" s="47"/>
      <c r="BC75" s="47"/>
    </row>
    <row r="76" spans="2:56" s="50" customFormat="1" ht="12.95" hidden="1" customHeight="1">
      <c r="B76" s="54">
        <v>75</v>
      </c>
      <c r="C76" s="64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47"/>
      <c r="AX76" s="47"/>
      <c r="AY76" s="47"/>
      <c r="AZ76" s="47"/>
      <c r="BA76" s="47"/>
      <c r="BB76" s="47"/>
      <c r="BC76" s="47"/>
      <c r="BD76" s="47"/>
    </row>
    <row r="77" spans="2:56" s="50" customFormat="1" ht="12.95" hidden="1" customHeight="1">
      <c r="B77" s="54">
        <v>76</v>
      </c>
      <c r="C77" s="64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47"/>
      <c r="AX77" s="47"/>
      <c r="AY77" s="47"/>
      <c r="AZ77" s="47"/>
      <c r="BA77" s="47"/>
      <c r="BB77" s="47"/>
      <c r="BC77" s="47"/>
      <c r="BD77" s="47"/>
    </row>
    <row r="78" spans="2:56" s="50" customFormat="1" ht="12.95" hidden="1" customHeight="1">
      <c r="B78" s="54">
        <v>77</v>
      </c>
      <c r="C78" s="64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47"/>
      <c r="AX78" s="47"/>
      <c r="AY78" s="47"/>
      <c r="AZ78" s="47"/>
      <c r="BA78" s="47"/>
      <c r="BB78" s="47"/>
      <c r="BC78" s="47"/>
      <c r="BD78" s="47"/>
    </row>
    <row r="79" spans="2:56" s="50" customFormat="1" ht="12.95" hidden="1" customHeight="1">
      <c r="B79" s="54">
        <v>78</v>
      </c>
      <c r="C79" s="6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47"/>
      <c r="AX79" s="47"/>
      <c r="AY79" s="47"/>
      <c r="AZ79" s="47"/>
      <c r="BA79" s="47"/>
      <c r="BB79" s="47"/>
      <c r="BC79" s="47"/>
      <c r="BD79" s="47"/>
    </row>
    <row r="80" spans="2:56" s="50" customFormat="1" ht="12.95" hidden="1" customHeight="1">
      <c r="B80" s="54">
        <v>79</v>
      </c>
      <c r="C80" s="55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47"/>
      <c r="AX80" s="47"/>
      <c r="AY80" s="47"/>
      <c r="AZ80" s="47"/>
      <c r="BA80" s="47"/>
      <c r="BB80" s="47"/>
      <c r="BC80" s="47"/>
      <c r="BD80" s="47"/>
    </row>
    <row r="81" spans="2:56" s="50" customFormat="1" ht="12.95" hidden="1" customHeight="1">
      <c r="B81" s="54">
        <v>80</v>
      </c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47"/>
      <c r="AX81" s="47"/>
      <c r="AY81" s="47"/>
      <c r="AZ81" s="47"/>
      <c r="BA81" s="47"/>
      <c r="BB81" s="47"/>
      <c r="BC81" s="47"/>
      <c r="BD81" s="47"/>
    </row>
    <row r="82" spans="2:56" s="50" customFormat="1" ht="12.95" hidden="1" customHeight="1">
      <c r="B82" s="54">
        <v>81</v>
      </c>
      <c r="C82" s="5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47"/>
      <c r="AX82" s="47"/>
      <c r="AY82" s="47"/>
      <c r="AZ82" s="47"/>
      <c r="BA82" s="47"/>
      <c r="BB82" s="47"/>
      <c r="BC82" s="47"/>
      <c r="BD82" s="47"/>
    </row>
    <row r="83" spans="2:56" s="50" customFormat="1" ht="12.95" hidden="1" customHeight="1">
      <c r="B83" s="54">
        <v>82</v>
      </c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61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47"/>
      <c r="AX83" s="47"/>
      <c r="AY83" s="47"/>
      <c r="AZ83" s="47"/>
      <c r="BA83" s="47"/>
      <c r="BB83" s="47"/>
      <c r="BC83" s="47"/>
      <c r="BD83" s="47"/>
    </row>
    <row r="84" spans="2:56" s="50" customFormat="1" ht="12.95" hidden="1" customHeight="1">
      <c r="B84" s="54">
        <v>83</v>
      </c>
      <c r="C84" s="5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47"/>
      <c r="AX84" s="47"/>
      <c r="AY84" s="47"/>
      <c r="AZ84" s="47"/>
      <c r="BA84" s="47"/>
      <c r="BB84" s="47"/>
      <c r="BC84" s="47"/>
      <c r="BD84" s="47"/>
    </row>
    <row r="85" spans="2:56" s="50" customFormat="1" ht="12.95" hidden="1" customHeight="1">
      <c r="B85" s="54">
        <v>84</v>
      </c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47"/>
      <c r="AX85" s="47"/>
      <c r="AY85" s="47"/>
      <c r="AZ85" s="47"/>
      <c r="BA85" s="47"/>
      <c r="BB85" s="47"/>
      <c r="BC85" s="47"/>
      <c r="BD85" s="47"/>
    </row>
    <row r="86" spans="2:56" s="50" customFormat="1" ht="12.95" hidden="1" customHeight="1">
      <c r="B86" s="54">
        <v>85</v>
      </c>
      <c r="C86" s="5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47"/>
      <c r="AX86" s="47"/>
      <c r="AY86" s="47"/>
      <c r="AZ86" s="47"/>
      <c r="BA86" s="47"/>
      <c r="BB86" s="47"/>
      <c r="BC86" s="47"/>
      <c r="BD86" s="47"/>
    </row>
    <row r="87" spans="2:56" s="50" customFormat="1" ht="12.95" hidden="1" customHeight="1">
      <c r="B87" s="54">
        <v>86</v>
      </c>
      <c r="C87" s="5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47"/>
      <c r="AX87" s="47"/>
      <c r="AY87" s="47"/>
      <c r="AZ87" s="47"/>
      <c r="BA87" s="47"/>
      <c r="BB87" s="47"/>
      <c r="BC87" s="47"/>
      <c r="BD87" s="47"/>
    </row>
    <row r="88" spans="2:56" s="50" customFormat="1" ht="12.95" hidden="1" customHeight="1">
      <c r="B88" s="54">
        <v>87</v>
      </c>
      <c r="C88" s="5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47"/>
      <c r="AX88" s="47"/>
      <c r="AY88" s="47"/>
      <c r="AZ88" s="47"/>
      <c r="BA88" s="47"/>
      <c r="BB88" s="47"/>
      <c r="BC88" s="47"/>
      <c r="BD88" s="47"/>
    </row>
    <row r="89" spans="2:56" s="50" customFormat="1" ht="12.95" hidden="1" customHeight="1">
      <c r="B89" s="54">
        <v>88</v>
      </c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47"/>
      <c r="AX89" s="47"/>
      <c r="AY89" s="47"/>
      <c r="AZ89" s="47"/>
      <c r="BA89" s="47"/>
      <c r="BB89" s="47"/>
      <c r="BC89" s="47"/>
      <c r="BD89" s="47"/>
    </row>
    <row r="90" spans="2:56" s="50" customFormat="1" ht="12.95" hidden="1" customHeight="1">
      <c r="B90" s="54">
        <v>89</v>
      </c>
      <c r="C90" s="5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47"/>
      <c r="AX90" s="47"/>
      <c r="AY90" s="47"/>
      <c r="AZ90" s="47"/>
      <c r="BA90" s="47"/>
      <c r="BB90" s="47"/>
      <c r="BC90" s="47"/>
      <c r="BD90" s="47"/>
    </row>
    <row r="91" spans="2:56" s="50" customFormat="1" ht="12.95" hidden="1" customHeight="1">
      <c r="B91" s="54">
        <v>90</v>
      </c>
      <c r="C91" s="5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47"/>
      <c r="AX91" s="47"/>
      <c r="AY91" s="47"/>
      <c r="AZ91" s="47"/>
      <c r="BA91" s="47"/>
      <c r="BB91" s="47"/>
      <c r="BC91" s="47"/>
      <c r="BD91" s="47"/>
    </row>
    <row r="92" spans="2:56" s="50" customFormat="1" ht="12.95" hidden="1" customHeight="1">
      <c r="B92" s="54">
        <v>91</v>
      </c>
      <c r="C92" s="5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47"/>
      <c r="AX92" s="47"/>
      <c r="AY92" s="47"/>
      <c r="AZ92" s="47"/>
      <c r="BA92" s="47"/>
      <c r="BB92" s="47"/>
      <c r="BC92" s="47"/>
      <c r="BD92" s="47"/>
    </row>
    <row r="93" spans="2:56" s="50" customFormat="1" ht="12.95" hidden="1" customHeight="1">
      <c r="B93" s="54">
        <v>92</v>
      </c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47"/>
      <c r="AX93" s="47"/>
      <c r="AY93" s="47"/>
      <c r="AZ93" s="47"/>
      <c r="BA93" s="47"/>
      <c r="BB93" s="47"/>
      <c r="BC93" s="47"/>
      <c r="BD93" s="47"/>
    </row>
    <row r="94" spans="2:56" s="50" customFormat="1" ht="12.95" hidden="1" customHeight="1">
      <c r="B94" s="54">
        <v>93</v>
      </c>
      <c r="C94" s="5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47"/>
      <c r="AX94" s="47"/>
      <c r="AY94" s="47"/>
      <c r="AZ94" s="47"/>
      <c r="BA94" s="47"/>
      <c r="BB94" s="47"/>
      <c r="BC94" s="47"/>
      <c r="BD94" s="47"/>
    </row>
    <row r="95" spans="2:56" s="50" customFormat="1" ht="12.95" hidden="1" customHeight="1">
      <c r="B95" s="54">
        <v>94</v>
      </c>
      <c r="C95" s="5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47"/>
      <c r="AX95" s="47"/>
      <c r="AY95" s="47"/>
      <c r="AZ95" s="47"/>
      <c r="BA95" s="47"/>
      <c r="BB95" s="47"/>
      <c r="BC95" s="47"/>
      <c r="BD95" s="47"/>
    </row>
    <row r="96" spans="2:56" s="50" customFormat="1" ht="12.95" hidden="1" customHeight="1">
      <c r="B96" s="54">
        <v>95</v>
      </c>
      <c r="C96" s="5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47"/>
      <c r="AX96" s="47"/>
      <c r="AY96" s="47"/>
      <c r="AZ96" s="47"/>
      <c r="BA96" s="47"/>
      <c r="BB96" s="47"/>
      <c r="BC96" s="47"/>
      <c r="BD96" s="47"/>
    </row>
    <row r="97" spans="2:56" s="50" customFormat="1" ht="12.95" hidden="1" customHeight="1">
      <c r="B97" s="54">
        <v>96</v>
      </c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61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47"/>
      <c r="AX97" s="47"/>
      <c r="AY97" s="47"/>
      <c r="AZ97" s="47"/>
      <c r="BA97" s="47"/>
      <c r="BB97" s="47"/>
      <c r="BC97" s="47"/>
      <c r="BD97" s="47"/>
    </row>
    <row r="98" spans="2:56" s="50" customFormat="1" ht="12.95" hidden="1" customHeight="1">
      <c r="B98" s="54">
        <v>97</v>
      </c>
      <c r="C98" s="5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47"/>
      <c r="AX98" s="47"/>
      <c r="AY98" s="47"/>
      <c r="AZ98" s="47"/>
      <c r="BA98" s="47"/>
      <c r="BB98" s="47"/>
      <c r="BC98" s="47"/>
      <c r="BD98" s="47"/>
    </row>
    <row r="99" spans="2:56" s="50" customFormat="1" ht="12.95" hidden="1" customHeight="1">
      <c r="B99" s="54">
        <v>98</v>
      </c>
      <c r="C99" s="5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47"/>
      <c r="AX99" s="47"/>
      <c r="AY99" s="47"/>
      <c r="AZ99" s="47"/>
      <c r="BA99" s="47"/>
      <c r="BB99" s="47"/>
      <c r="BC99" s="47"/>
      <c r="BD99" s="47"/>
    </row>
    <row r="100" spans="2:56" s="50" customFormat="1" ht="12.95" hidden="1" customHeight="1">
      <c r="B100" s="54">
        <v>99</v>
      </c>
      <c r="C100" s="5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47"/>
      <c r="AX100" s="47"/>
      <c r="AY100" s="47"/>
      <c r="AZ100" s="47"/>
      <c r="BA100" s="47"/>
      <c r="BB100" s="47"/>
      <c r="BC100" s="47"/>
      <c r="BD100" s="47"/>
    </row>
    <row r="101" spans="2:56" s="50" customFormat="1" ht="12.95" hidden="1" customHeight="1">
      <c r="B101" s="54">
        <v>100</v>
      </c>
      <c r="C101" s="5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61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47"/>
      <c r="AX101" s="47"/>
      <c r="AY101" s="47"/>
      <c r="AZ101" s="47"/>
      <c r="BA101" s="47"/>
      <c r="BB101" s="47"/>
      <c r="BC101" s="47"/>
      <c r="BD101" s="47"/>
    </row>
    <row r="102" spans="2:56" s="50" customFormat="1" ht="12.95" hidden="1" customHeight="1">
      <c r="B102" s="54">
        <v>101</v>
      </c>
      <c r="C102" s="55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47"/>
      <c r="AX102" s="47"/>
      <c r="AY102" s="47"/>
      <c r="AZ102" s="47"/>
      <c r="BA102" s="47"/>
      <c r="BB102" s="47"/>
      <c r="BC102" s="47"/>
      <c r="BD102" s="47"/>
    </row>
    <row r="103" spans="2:56" s="50" customFormat="1" ht="12.95" hidden="1" customHeight="1">
      <c r="B103" s="54">
        <v>102</v>
      </c>
      <c r="C103" s="5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47"/>
      <c r="AX103" s="47"/>
      <c r="AY103" s="47"/>
      <c r="AZ103" s="47"/>
      <c r="BA103" s="47"/>
      <c r="BB103" s="47"/>
      <c r="BC103" s="47"/>
      <c r="BD103" s="47"/>
    </row>
    <row r="104" spans="2:56" s="50" customFormat="1" ht="12.95" hidden="1" customHeight="1">
      <c r="B104" s="54">
        <v>103</v>
      </c>
      <c r="C104" s="5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47"/>
      <c r="AX104" s="47"/>
      <c r="AY104" s="47"/>
      <c r="AZ104" s="47"/>
      <c r="BA104" s="47"/>
      <c r="BB104" s="47"/>
      <c r="BC104" s="47"/>
      <c r="BD104" s="47"/>
    </row>
    <row r="105" spans="2:56" s="50" customFormat="1" ht="12.95" hidden="1" customHeight="1">
      <c r="B105" s="54">
        <v>104</v>
      </c>
      <c r="C105" s="5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47"/>
      <c r="AX105" s="47"/>
      <c r="AY105" s="47"/>
      <c r="AZ105" s="47"/>
      <c r="BA105" s="47"/>
      <c r="BB105" s="47"/>
      <c r="BC105" s="47"/>
      <c r="BD105" s="47"/>
    </row>
    <row r="106" spans="2:56" s="50" customFormat="1" ht="12.95" hidden="1" customHeight="1">
      <c r="B106" s="54">
        <v>105</v>
      </c>
      <c r="C106" s="55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47"/>
      <c r="AX106" s="47"/>
      <c r="AY106" s="47"/>
      <c r="AZ106" s="47"/>
      <c r="BA106" s="47"/>
      <c r="BB106" s="47"/>
      <c r="BC106" s="47"/>
      <c r="BD106" s="47"/>
    </row>
    <row r="107" spans="2:56" s="50" customFormat="1" ht="12.95" hidden="1" customHeight="1">
      <c r="B107" s="54">
        <v>106</v>
      </c>
      <c r="C107" s="55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47"/>
      <c r="AX107" s="47"/>
      <c r="AY107" s="47"/>
      <c r="AZ107" s="47"/>
      <c r="BA107" s="47"/>
      <c r="BB107" s="47"/>
      <c r="BC107" s="47"/>
      <c r="BD107" s="47"/>
    </row>
    <row r="108" spans="2:56" s="50" customFormat="1" ht="12.95" hidden="1" customHeight="1">
      <c r="B108" s="54">
        <v>107</v>
      </c>
      <c r="C108" s="55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47"/>
      <c r="AX108" s="47"/>
      <c r="AY108" s="47"/>
      <c r="AZ108" s="47"/>
      <c r="BA108" s="47"/>
      <c r="BB108" s="47"/>
      <c r="BC108" s="47"/>
      <c r="BD108" s="47"/>
    </row>
    <row r="109" spans="2:56" s="50" customFormat="1" ht="12.95" hidden="1" customHeight="1">
      <c r="B109" s="54">
        <v>108</v>
      </c>
      <c r="C109" s="5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47"/>
      <c r="AX109" s="47"/>
      <c r="AY109" s="47"/>
      <c r="AZ109" s="47"/>
      <c r="BA109" s="47"/>
      <c r="BB109" s="47"/>
      <c r="BC109" s="47"/>
      <c r="BD109" s="47"/>
    </row>
    <row r="110" spans="2:56" s="50" customFormat="1" ht="12.95" hidden="1" customHeight="1">
      <c r="B110" s="54">
        <v>109</v>
      </c>
      <c r="C110" s="55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47"/>
      <c r="AX110" s="47"/>
      <c r="AY110" s="47"/>
      <c r="AZ110" s="47"/>
      <c r="BA110" s="47"/>
      <c r="BB110" s="47"/>
      <c r="BC110" s="47"/>
      <c r="BD110" s="47"/>
    </row>
    <row r="111" spans="2:56" s="50" customFormat="1" ht="12.95" hidden="1" customHeight="1">
      <c r="B111" s="54">
        <v>110</v>
      </c>
      <c r="C111" s="55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47"/>
      <c r="AX111" s="47"/>
      <c r="AY111" s="47"/>
      <c r="AZ111" s="47"/>
      <c r="BA111" s="47"/>
      <c r="BB111" s="47"/>
      <c r="BC111" s="47"/>
      <c r="BD111" s="47"/>
    </row>
    <row r="112" spans="2:56" s="50" customFormat="1" ht="12.95" hidden="1" customHeight="1">
      <c r="B112" s="54">
        <v>111</v>
      </c>
      <c r="C112" s="5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47"/>
      <c r="AX112" s="47"/>
      <c r="AY112" s="47"/>
      <c r="AZ112" s="47"/>
      <c r="BA112" s="47"/>
      <c r="BB112" s="47"/>
      <c r="BC112" s="47"/>
      <c r="BD112" s="47"/>
    </row>
    <row r="113" spans="2:56" s="50" customFormat="1" ht="12.95" hidden="1" customHeight="1">
      <c r="B113" s="54">
        <v>112</v>
      </c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47"/>
      <c r="AX113" s="47"/>
      <c r="AY113" s="47"/>
      <c r="AZ113" s="47"/>
      <c r="BA113" s="47"/>
      <c r="BB113" s="47"/>
      <c r="BC113" s="47"/>
      <c r="BD113" s="47"/>
    </row>
    <row r="114" spans="2:56" s="50" customFormat="1" ht="12.95" hidden="1" customHeight="1">
      <c r="B114" s="54">
        <v>113</v>
      </c>
      <c r="C114" s="5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47"/>
      <c r="AX114" s="47"/>
      <c r="AY114" s="47"/>
      <c r="AZ114" s="47"/>
      <c r="BA114" s="47"/>
      <c r="BB114" s="47"/>
      <c r="BC114" s="47"/>
      <c r="BD114" s="47"/>
    </row>
    <row r="115" spans="2:56" s="50" customFormat="1" ht="12.95" hidden="1" customHeight="1">
      <c r="B115" s="54">
        <v>114</v>
      </c>
      <c r="C115" s="5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47"/>
      <c r="AX115" s="47"/>
      <c r="AY115" s="47"/>
      <c r="AZ115" s="47"/>
      <c r="BA115" s="47"/>
      <c r="BB115" s="47"/>
      <c r="BC115" s="47"/>
      <c r="BD115" s="47"/>
    </row>
    <row r="116" spans="2:56" s="50" customFormat="1" ht="12.95" hidden="1" customHeight="1">
      <c r="B116" s="54">
        <v>115</v>
      </c>
      <c r="C116" s="5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47"/>
      <c r="AX116" s="47"/>
      <c r="AY116" s="47"/>
      <c r="AZ116" s="47"/>
      <c r="BA116" s="47"/>
      <c r="BB116" s="47"/>
      <c r="BC116" s="47"/>
      <c r="BD116" s="47"/>
    </row>
    <row r="117" spans="2:56" s="50" customFormat="1" ht="12.95" hidden="1" customHeight="1">
      <c r="B117" s="54">
        <v>116</v>
      </c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47"/>
      <c r="AX117" s="47"/>
      <c r="AY117" s="47"/>
      <c r="AZ117" s="47"/>
      <c r="BA117" s="47"/>
      <c r="BB117" s="47"/>
      <c r="BC117" s="47"/>
      <c r="BD117" s="47"/>
    </row>
    <row r="118" spans="2:56" s="50" customFormat="1" ht="12.95" hidden="1" customHeight="1">
      <c r="B118" s="54">
        <v>117</v>
      </c>
      <c r="C118" s="5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47"/>
      <c r="AX118" s="47"/>
      <c r="AY118" s="47"/>
      <c r="AZ118" s="47"/>
      <c r="BA118" s="47"/>
      <c r="BB118" s="47"/>
      <c r="BC118" s="47"/>
      <c r="BD118" s="47"/>
    </row>
    <row r="119" spans="2:56" s="50" customFormat="1" ht="12.95" hidden="1" customHeight="1">
      <c r="B119" s="54">
        <v>118</v>
      </c>
      <c r="C119" s="63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47"/>
      <c r="AX119" s="47"/>
      <c r="AY119" s="47"/>
      <c r="AZ119" s="47"/>
      <c r="BA119" s="47"/>
      <c r="BB119" s="47"/>
      <c r="BC119" s="47"/>
      <c r="BD119" s="47"/>
    </row>
    <row r="120" spans="2:56" s="50" customFormat="1" ht="12.95" hidden="1" customHeight="1">
      <c r="B120" s="54">
        <v>119</v>
      </c>
      <c r="C120" s="5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47"/>
      <c r="AX120" s="47"/>
      <c r="AY120" s="47"/>
      <c r="AZ120" s="47"/>
      <c r="BA120" s="47"/>
      <c r="BB120" s="47"/>
      <c r="BC120" s="47"/>
      <c r="BD120" s="47"/>
    </row>
    <row r="121" spans="2:56" s="50" customFormat="1" ht="12.95" hidden="1" customHeight="1">
      <c r="B121" s="54">
        <v>120</v>
      </c>
      <c r="C121" s="5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47"/>
      <c r="AX121" s="47"/>
      <c r="AY121" s="47"/>
      <c r="AZ121" s="47"/>
      <c r="BA121" s="47"/>
      <c r="BB121" s="47"/>
      <c r="BC121" s="47"/>
      <c r="BD121" s="47"/>
    </row>
    <row r="122" spans="2:56" s="50" customFormat="1" ht="12.95" hidden="1" customHeight="1">
      <c r="B122" s="54">
        <v>121</v>
      </c>
      <c r="C122" s="55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47"/>
      <c r="AX122" s="47"/>
      <c r="AY122" s="47"/>
      <c r="AZ122" s="47"/>
      <c r="BA122" s="47"/>
      <c r="BB122" s="47"/>
      <c r="BC122" s="47"/>
      <c r="BD122" s="47"/>
    </row>
    <row r="123" spans="2:56" s="50" customFormat="1" ht="12.95" hidden="1" customHeight="1">
      <c r="B123" s="54">
        <v>122</v>
      </c>
      <c r="C123" s="55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47"/>
      <c r="AX123" s="47"/>
      <c r="AY123" s="47"/>
      <c r="AZ123" s="47"/>
      <c r="BA123" s="47"/>
      <c r="BB123" s="47"/>
      <c r="BC123" s="47"/>
      <c r="BD123" s="47"/>
    </row>
    <row r="124" spans="2:56" s="50" customFormat="1" ht="12.95" hidden="1" customHeight="1">
      <c r="B124" s="54">
        <v>123</v>
      </c>
      <c r="C124" s="55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47"/>
      <c r="AX124" s="47"/>
      <c r="AY124" s="47"/>
      <c r="AZ124" s="47"/>
      <c r="BA124" s="47"/>
      <c r="BB124" s="47"/>
      <c r="BC124" s="47"/>
      <c r="BD124" s="47"/>
    </row>
    <row r="125" spans="2:56" s="50" customFormat="1" ht="12.95" hidden="1" customHeight="1">
      <c r="B125" s="54">
        <v>124</v>
      </c>
      <c r="C125" s="55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47"/>
      <c r="AX125" s="47"/>
      <c r="AY125" s="47"/>
      <c r="AZ125" s="47"/>
      <c r="BA125" s="47"/>
      <c r="BB125" s="47"/>
      <c r="BC125" s="47"/>
      <c r="BD125" s="47"/>
    </row>
    <row r="126" spans="2:56" s="50" customFormat="1" ht="12.95" hidden="1" customHeight="1">
      <c r="B126" s="54">
        <v>125</v>
      </c>
      <c r="C126" s="63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47"/>
      <c r="AX126" s="47"/>
      <c r="AY126" s="47"/>
      <c r="AZ126" s="47"/>
      <c r="BA126" s="47"/>
      <c r="BB126" s="47"/>
      <c r="BC126" s="47"/>
      <c r="BD126" s="47"/>
    </row>
    <row r="127" spans="2:56" s="50" customFormat="1" ht="12.95" hidden="1" customHeight="1">
      <c r="B127" s="54">
        <v>126</v>
      </c>
      <c r="C127" s="64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47"/>
      <c r="AX127" s="47"/>
      <c r="AY127" s="47"/>
      <c r="AZ127" s="47"/>
      <c r="BA127" s="47"/>
      <c r="BB127" s="47"/>
      <c r="BC127" s="47"/>
      <c r="BD127" s="47"/>
    </row>
    <row r="128" spans="2:56" s="50" customFormat="1" ht="12.95" hidden="1" customHeight="1">
      <c r="B128" s="54">
        <v>127</v>
      </c>
      <c r="C128" s="64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47"/>
      <c r="AX128" s="47"/>
      <c r="AY128" s="47"/>
      <c r="AZ128" s="47"/>
      <c r="BA128" s="47"/>
      <c r="BB128" s="47"/>
      <c r="BC128" s="47"/>
      <c r="BD128" s="47"/>
    </row>
    <row r="129" spans="2:56" s="50" customFormat="1" ht="12.95" hidden="1" customHeight="1">
      <c r="B129" s="54">
        <v>128</v>
      </c>
      <c r="C129" s="64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47"/>
      <c r="AX129" s="47"/>
      <c r="AY129" s="47"/>
      <c r="AZ129" s="47"/>
      <c r="BA129" s="47"/>
      <c r="BB129" s="47"/>
      <c r="BC129" s="47"/>
      <c r="BD129" s="47"/>
    </row>
    <row r="130" spans="2:56" s="50" customFormat="1" ht="12.95" hidden="1" customHeight="1">
      <c r="B130" s="54">
        <v>129</v>
      </c>
      <c r="C130" s="64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60" t="s">
        <v>49</v>
      </c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47"/>
      <c r="AX130" s="47"/>
      <c r="AY130" s="47"/>
      <c r="AZ130" s="47"/>
      <c r="BA130" s="47"/>
      <c r="BB130" s="47"/>
      <c r="BC130" s="47"/>
      <c r="BD130" s="47"/>
    </row>
    <row r="131" spans="2:56" s="50" customFormat="1" ht="12.95" hidden="1" customHeight="1">
      <c r="B131" s="54">
        <v>130</v>
      </c>
      <c r="C131" s="64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47"/>
      <c r="AX131" s="47"/>
      <c r="AY131" s="47"/>
      <c r="AZ131" s="47"/>
      <c r="BA131" s="47"/>
      <c r="BB131" s="47"/>
      <c r="BC131" s="47"/>
      <c r="BD131" s="47"/>
    </row>
    <row r="132" spans="2:56" s="50" customFormat="1" ht="12.95" hidden="1" customHeight="1">
      <c r="B132" s="54">
        <v>131</v>
      </c>
      <c r="C132" s="64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47"/>
      <c r="AX132" s="47"/>
      <c r="AY132" s="47"/>
      <c r="AZ132" s="47"/>
      <c r="BA132" s="47"/>
      <c r="BB132" s="47"/>
      <c r="BC132" s="47"/>
      <c r="BD132" s="47"/>
    </row>
    <row r="133" spans="2:56" s="50" customFormat="1" ht="12.95" hidden="1" customHeight="1">
      <c r="B133" s="54">
        <v>132</v>
      </c>
      <c r="C133" s="64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47"/>
      <c r="AX133" s="47"/>
      <c r="AY133" s="47"/>
      <c r="AZ133" s="47"/>
      <c r="BA133" s="47"/>
      <c r="BB133" s="47"/>
      <c r="BC133" s="47"/>
      <c r="BD133" s="47"/>
    </row>
    <row r="134" spans="2:56" s="50" customFormat="1" ht="12.95" hidden="1" customHeight="1">
      <c r="B134" s="54">
        <v>133</v>
      </c>
      <c r="C134" s="64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47"/>
      <c r="AX134" s="47"/>
      <c r="AY134" s="47"/>
      <c r="AZ134" s="47"/>
      <c r="BA134" s="47"/>
      <c r="BB134" s="47"/>
      <c r="BC134" s="47"/>
      <c r="BD134" s="47"/>
    </row>
    <row r="135" spans="2:56" s="50" customFormat="1" ht="12.95" hidden="1" customHeight="1">
      <c r="B135" s="54">
        <v>134</v>
      </c>
      <c r="C135" s="64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47"/>
      <c r="AX135" s="47"/>
      <c r="AY135" s="47"/>
      <c r="AZ135" s="47"/>
      <c r="BA135" s="47"/>
      <c r="BB135" s="47"/>
      <c r="BC135" s="47"/>
      <c r="BD135" s="47"/>
    </row>
    <row r="136" spans="2:56" s="50" customFormat="1" ht="12.95" hidden="1" customHeight="1">
      <c r="B136" s="54">
        <v>135</v>
      </c>
      <c r="C136" s="64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47"/>
      <c r="AX136" s="47"/>
      <c r="AY136" s="47"/>
      <c r="AZ136" s="47"/>
      <c r="BA136" s="47"/>
      <c r="BB136" s="47"/>
      <c r="BC136" s="47"/>
      <c r="BD136" s="47"/>
    </row>
    <row r="137" spans="2:56" s="50" customFormat="1" ht="12.95" hidden="1" customHeight="1">
      <c r="B137" s="54">
        <v>136</v>
      </c>
      <c r="C137" s="64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47"/>
      <c r="AX137" s="47"/>
      <c r="AY137" s="47"/>
      <c r="AZ137" s="47"/>
      <c r="BA137" s="47"/>
      <c r="BB137" s="47"/>
      <c r="BC137" s="47"/>
      <c r="BD137" s="47"/>
    </row>
    <row r="138" spans="2:56" s="50" customFormat="1" ht="12.95" hidden="1" customHeight="1">
      <c r="B138" s="54">
        <v>137</v>
      </c>
      <c r="C138" s="64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47"/>
      <c r="AX138" s="47"/>
      <c r="AY138" s="47"/>
      <c r="AZ138" s="47"/>
      <c r="BA138" s="47"/>
      <c r="BB138" s="47"/>
      <c r="BC138" s="47"/>
      <c r="BD138" s="47"/>
    </row>
    <row r="139" spans="2:56" s="50" customFormat="1" ht="12.95" hidden="1" customHeight="1">
      <c r="B139" s="54">
        <v>138</v>
      </c>
      <c r="C139" s="64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47"/>
      <c r="AX139" s="47"/>
      <c r="AY139" s="47"/>
      <c r="AZ139" s="47"/>
      <c r="BA139" s="47"/>
      <c r="BB139" s="47"/>
      <c r="BC139" s="47"/>
      <c r="BD139" s="47"/>
    </row>
    <row r="140" spans="2:56" s="50" customFormat="1" ht="12.95" hidden="1" customHeight="1">
      <c r="B140" s="54">
        <v>139</v>
      </c>
      <c r="C140" s="64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47"/>
      <c r="AX140" s="47"/>
      <c r="AY140" s="47"/>
      <c r="AZ140" s="47"/>
      <c r="BA140" s="47"/>
      <c r="BB140" s="47"/>
      <c r="BC140" s="47"/>
      <c r="BD140" s="47"/>
    </row>
    <row r="141" spans="2:56" s="50" customFormat="1" ht="12.95" hidden="1" customHeight="1">
      <c r="B141" s="54">
        <v>140</v>
      </c>
      <c r="C141" s="64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47"/>
      <c r="AX141" s="47"/>
      <c r="AY141" s="47"/>
      <c r="AZ141" s="47"/>
      <c r="BA141" s="47"/>
      <c r="BB141" s="47"/>
      <c r="BC141" s="47"/>
      <c r="BD141" s="47"/>
    </row>
    <row r="142" spans="2:56" s="50" customFormat="1" ht="12.95" hidden="1" customHeight="1">
      <c r="B142" s="54">
        <v>141</v>
      </c>
      <c r="C142" s="64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47"/>
      <c r="AX142" s="47"/>
      <c r="AY142" s="47"/>
      <c r="AZ142" s="47"/>
      <c r="BA142" s="47"/>
      <c r="BB142" s="47"/>
      <c r="BC142" s="47"/>
      <c r="BD142" s="47"/>
    </row>
    <row r="143" spans="2:56" s="50" customFormat="1" ht="12.95" hidden="1" customHeight="1">
      <c r="B143" s="54">
        <v>142</v>
      </c>
      <c r="C143" s="64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47"/>
      <c r="AX143" s="47"/>
      <c r="AY143" s="47"/>
      <c r="AZ143" s="47"/>
      <c r="BA143" s="47"/>
      <c r="BB143" s="47"/>
      <c r="BC143" s="47"/>
      <c r="BD143" s="47"/>
    </row>
    <row r="144" spans="2:56" s="50" customFormat="1" ht="15" customHeight="1">
      <c r="B144" s="65"/>
      <c r="C144" s="66" t="s">
        <v>98</v>
      </c>
      <c r="D144" s="56">
        <f t="shared" ref="D144:AH144" si="0">COUNTA(D7:D143)</f>
        <v>17</v>
      </c>
      <c r="E144" s="56">
        <f t="shared" si="0"/>
        <v>20</v>
      </c>
      <c r="F144" s="56">
        <f t="shared" si="0"/>
        <v>0</v>
      </c>
      <c r="G144" s="56">
        <f t="shared" si="0"/>
        <v>20</v>
      </c>
      <c r="H144" s="56">
        <f t="shared" si="0"/>
        <v>0</v>
      </c>
      <c r="I144" s="56">
        <f t="shared" si="0"/>
        <v>20</v>
      </c>
      <c r="J144" s="56">
        <f t="shared" si="0"/>
        <v>14</v>
      </c>
      <c r="K144" s="56">
        <f t="shared" si="0"/>
        <v>14</v>
      </c>
      <c r="L144" s="56">
        <f t="shared" si="0"/>
        <v>14</v>
      </c>
      <c r="M144" s="56">
        <f t="shared" si="0"/>
        <v>15</v>
      </c>
      <c r="N144" s="56">
        <f t="shared" si="0"/>
        <v>12</v>
      </c>
      <c r="O144" s="56">
        <f t="shared" si="0"/>
        <v>0</v>
      </c>
      <c r="P144" s="56">
        <f t="shared" si="0"/>
        <v>3</v>
      </c>
      <c r="Q144" s="56">
        <f t="shared" si="0"/>
        <v>20</v>
      </c>
      <c r="R144" s="56">
        <f t="shared" si="0"/>
        <v>15</v>
      </c>
      <c r="S144" s="56">
        <f t="shared" si="0"/>
        <v>13</v>
      </c>
      <c r="T144" s="56">
        <f t="shared" si="0"/>
        <v>14</v>
      </c>
      <c r="U144" s="56">
        <f>COUNTA(U7:U143)</f>
        <v>16</v>
      </c>
      <c r="V144" s="56">
        <f t="shared" si="0"/>
        <v>0</v>
      </c>
      <c r="W144" s="56">
        <f t="shared" si="0"/>
        <v>14</v>
      </c>
      <c r="X144" s="56">
        <f t="shared" si="0"/>
        <v>12</v>
      </c>
      <c r="Y144" s="56">
        <f t="shared" si="0"/>
        <v>13</v>
      </c>
      <c r="Z144" s="56">
        <f t="shared" si="0"/>
        <v>13</v>
      </c>
      <c r="AA144" s="56">
        <f t="shared" si="0"/>
        <v>12</v>
      </c>
      <c r="AB144" s="56">
        <f t="shared" si="0"/>
        <v>10</v>
      </c>
      <c r="AC144" s="56">
        <f t="shared" si="0"/>
        <v>0</v>
      </c>
      <c r="AD144" s="56">
        <f t="shared" si="0"/>
        <v>12</v>
      </c>
      <c r="AE144" s="56">
        <f t="shared" si="0"/>
        <v>12</v>
      </c>
      <c r="AF144" s="56">
        <f t="shared" si="0"/>
        <v>11</v>
      </c>
      <c r="AG144" s="56">
        <f t="shared" si="0"/>
        <v>14</v>
      </c>
      <c r="AH144" s="56">
        <f t="shared" si="0"/>
        <v>0</v>
      </c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47"/>
      <c r="AX144" s="47"/>
      <c r="AY144" s="47"/>
      <c r="AZ144" s="47"/>
      <c r="BA144" s="47"/>
      <c r="BB144" s="47"/>
      <c r="BC144" s="47"/>
      <c r="BD144" s="47"/>
    </row>
    <row r="145" spans="2:56">
      <c r="B145" s="46"/>
      <c r="C145" s="46"/>
      <c r="D145" s="46"/>
      <c r="E145" s="46"/>
      <c r="F145" s="46"/>
      <c r="G145" s="46"/>
      <c r="H145" s="46"/>
      <c r="I145" s="46"/>
      <c r="J145" s="46" t="s">
        <v>49</v>
      </c>
      <c r="K145" s="46"/>
      <c r="L145" s="46"/>
      <c r="M145" s="46"/>
      <c r="N145" s="46"/>
      <c r="O145" s="46"/>
      <c r="P145" s="46" t="s">
        <v>49</v>
      </c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</row>
    <row r="146" spans="2:56">
      <c r="B146" s="67" t="s">
        <v>60</v>
      </c>
      <c r="C146" s="68" t="s">
        <v>99</v>
      </c>
      <c r="D146" s="46"/>
      <c r="E146" s="46"/>
      <c r="F146" s="46"/>
      <c r="G146" s="46"/>
      <c r="H146" s="46"/>
      <c r="I146" s="46" t="s">
        <v>49</v>
      </c>
      <c r="J146" s="46"/>
      <c r="K146" s="46"/>
      <c r="L146" s="46"/>
      <c r="M146" s="46" t="s">
        <v>49</v>
      </c>
      <c r="N146" s="46" t="s">
        <v>49</v>
      </c>
      <c r="O146" s="46"/>
      <c r="P146" s="46" t="s">
        <v>49</v>
      </c>
      <c r="Q146" s="46"/>
      <c r="R146" s="46" t="s">
        <v>49</v>
      </c>
      <c r="S146" s="46" t="s">
        <v>49</v>
      </c>
      <c r="T146" s="46" t="s">
        <v>49</v>
      </c>
      <c r="U146" s="46" t="s">
        <v>49</v>
      </c>
      <c r="V146" s="46"/>
      <c r="W146" s="46" t="s">
        <v>49</v>
      </c>
      <c r="X146" s="46" t="s">
        <v>49</v>
      </c>
      <c r="Y146" s="46"/>
      <c r="Z146" s="46" t="s">
        <v>49</v>
      </c>
      <c r="AA146" s="46" t="s">
        <v>49</v>
      </c>
      <c r="AB146" s="46"/>
      <c r="AC146" s="46"/>
      <c r="AD146" s="46" t="s">
        <v>49</v>
      </c>
      <c r="AE146" s="46" t="s">
        <v>49</v>
      </c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</row>
    <row r="147" spans="2:56">
      <c r="B147" s="67" t="s">
        <v>58</v>
      </c>
      <c r="C147" s="68" t="s">
        <v>100</v>
      </c>
      <c r="D147" s="46"/>
      <c r="E147" s="46"/>
      <c r="F147" s="46"/>
      <c r="G147" s="46"/>
      <c r="H147" s="46"/>
      <c r="I147" s="46"/>
      <c r="J147" s="46"/>
      <c r="K147" s="46" t="s">
        <v>49</v>
      </c>
      <c r="L147" s="46" t="s">
        <v>49</v>
      </c>
      <c r="M147" s="46" t="s">
        <v>49</v>
      </c>
      <c r="N147" s="46" t="s">
        <v>49</v>
      </c>
      <c r="O147" s="46" t="s">
        <v>49</v>
      </c>
      <c r="P147" s="46" t="s">
        <v>49</v>
      </c>
      <c r="Q147" s="46" t="s">
        <v>49</v>
      </c>
      <c r="R147" s="46" t="s">
        <v>49</v>
      </c>
      <c r="S147" s="46" t="s">
        <v>49</v>
      </c>
      <c r="T147" s="46" t="s">
        <v>49</v>
      </c>
      <c r="U147" s="46" t="s">
        <v>49</v>
      </c>
      <c r="V147" s="46" t="s">
        <v>49</v>
      </c>
      <c r="W147" s="46"/>
      <c r="X147" s="46" t="s">
        <v>49</v>
      </c>
      <c r="Y147" s="46" t="s">
        <v>49</v>
      </c>
      <c r="Z147" s="46" t="s">
        <v>49</v>
      </c>
      <c r="AA147" s="46" t="s">
        <v>49</v>
      </c>
      <c r="AB147" s="46" t="s">
        <v>49</v>
      </c>
      <c r="AC147" s="46"/>
      <c r="AD147" s="46"/>
      <c r="AE147" s="46"/>
      <c r="AF147" s="46"/>
      <c r="AG147" s="46"/>
      <c r="AH147" s="46"/>
      <c r="AI147" s="46"/>
      <c r="AJ147" s="46" t="s">
        <v>49</v>
      </c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</row>
    <row r="148" spans="2:56">
      <c r="B148" s="67" t="s">
        <v>59</v>
      </c>
      <c r="C148" s="68" t="s">
        <v>101</v>
      </c>
      <c r="D148" s="46"/>
      <c r="E148" s="46"/>
      <c r="F148" s="46"/>
      <c r="G148" s="46"/>
      <c r="H148" s="46"/>
      <c r="I148" s="46"/>
      <c r="J148" s="46" t="s">
        <v>49</v>
      </c>
      <c r="K148" s="46" t="s">
        <v>49</v>
      </c>
      <c r="L148" s="46"/>
      <c r="M148" s="46"/>
      <c r="N148" s="46"/>
      <c r="O148" s="46"/>
      <c r="P148" s="46"/>
      <c r="Q148" s="46" t="s">
        <v>49</v>
      </c>
      <c r="R148" s="46"/>
      <c r="S148" s="46"/>
      <c r="T148" s="46" t="s">
        <v>49</v>
      </c>
      <c r="U148" s="46"/>
      <c r="V148" s="46" t="s">
        <v>49</v>
      </c>
      <c r="W148" s="46"/>
      <c r="X148" s="46" t="s">
        <v>49</v>
      </c>
      <c r="Y148" s="46"/>
      <c r="Z148" s="46" t="s">
        <v>49</v>
      </c>
      <c r="AA148" s="46" t="s">
        <v>49</v>
      </c>
      <c r="AB148" s="46"/>
      <c r="AC148" s="46"/>
      <c r="AD148" s="46"/>
      <c r="AE148" s="46" t="s">
        <v>49</v>
      </c>
      <c r="AF148" s="46"/>
      <c r="AG148" s="46" t="s">
        <v>49</v>
      </c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</row>
    <row r="149" spans="2:56"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 t="s">
        <v>49</v>
      </c>
      <c r="O149" s="46" t="s">
        <v>49</v>
      </c>
      <c r="P149" s="46" t="s">
        <v>49</v>
      </c>
      <c r="Q149" s="46"/>
      <c r="R149" s="46"/>
      <c r="S149" s="46"/>
      <c r="T149" s="46"/>
      <c r="U149" s="46"/>
      <c r="V149" s="46" t="s">
        <v>49</v>
      </c>
      <c r="W149" s="46"/>
      <c r="X149" s="46"/>
      <c r="Y149" s="46"/>
      <c r="Z149" s="46"/>
      <c r="AA149" s="46"/>
      <c r="AB149" s="46" t="s">
        <v>49</v>
      </c>
      <c r="AC149" s="46"/>
      <c r="AD149" s="46" t="s">
        <v>49</v>
      </c>
      <c r="AE149" s="46" t="s">
        <v>49</v>
      </c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</row>
    <row r="150" spans="2:56" ht="15.75">
      <c r="B150" s="166" t="s">
        <v>48</v>
      </c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</row>
    <row r="151" spans="2:56">
      <c r="B151" s="167" t="s">
        <v>49</v>
      </c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</row>
    <row r="152" spans="2:56">
      <c r="B152" s="47"/>
      <c r="C152" s="48" t="s">
        <v>50</v>
      </c>
      <c r="D152" s="46" t="s">
        <v>51</v>
      </c>
      <c r="E152" s="49" t="s">
        <v>45</v>
      </c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 t="s">
        <v>49</v>
      </c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</row>
    <row r="153" spans="2:56">
      <c r="B153" s="48"/>
      <c r="C153" s="48" t="s">
        <v>52</v>
      </c>
      <c r="D153" s="46" t="s">
        <v>51</v>
      </c>
      <c r="E153" s="49" t="s">
        <v>53</v>
      </c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 t="s">
        <v>49</v>
      </c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 t="s">
        <v>49</v>
      </c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</row>
    <row r="154" spans="2:56">
      <c r="B154" s="48"/>
      <c r="C154" s="48" t="s">
        <v>54</v>
      </c>
      <c r="D154" s="46" t="s">
        <v>51</v>
      </c>
      <c r="E154" s="49" t="s">
        <v>102</v>
      </c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</row>
    <row r="155" spans="2:56">
      <c r="B155" s="51" t="s">
        <v>56</v>
      </c>
      <c r="C155" s="51" t="s">
        <v>57</v>
      </c>
      <c r="D155" s="53">
        <v>1</v>
      </c>
      <c r="E155" s="53">
        <v>2</v>
      </c>
      <c r="F155" s="52">
        <v>3</v>
      </c>
      <c r="G155" s="53">
        <v>4</v>
      </c>
      <c r="H155" s="52">
        <v>5</v>
      </c>
      <c r="I155" s="53">
        <v>6</v>
      </c>
      <c r="J155" s="53">
        <v>7</v>
      </c>
      <c r="K155" s="53">
        <v>8</v>
      </c>
      <c r="L155" s="53">
        <v>9</v>
      </c>
      <c r="M155" s="53">
        <v>10</v>
      </c>
      <c r="N155" s="53">
        <v>11</v>
      </c>
      <c r="O155" s="52">
        <v>12</v>
      </c>
      <c r="P155" s="53">
        <v>13</v>
      </c>
      <c r="Q155" s="53">
        <v>14</v>
      </c>
      <c r="R155" s="53">
        <v>15</v>
      </c>
      <c r="S155" s="53">
        <v>16</v>
      </c>
      <c r="T155" s="53">
        <v>17</v>
      </c>
      <c r="U155" s="53">
        <v>18</v>
      </c>
      <c r="V155" s="52">
        <v>19</v>
      </c>
      <c r="W155" s="53">
        <v>20</v>
      </c>
      <c r="X155" s="53">
        <v>21</v>
      </c>
      <c r="Y155" s="53">
        <v>22</v>
      </c>
      <c r="Z155" s="53">
        <v>23</v>
      </c>
      <c r="AA155" s="53">
        <v>24</v>
      </c>
      <c r="AB155" s="53">
        <v>25</v>
      </c>
      <c r="AC155" s="52">
        <v>26</v>
      </c>
      <c r="AD155" s="53">
        <v>27</v>
      </c>
      <c r="AE155" s="53">
        <v>28</v>
      </c>
      <c r="AF155" s="53">
        <v>29</v>
      </c>
      <c r="AG155" s="53">
        <v>30</v>
      </c>
      <c r="AH155" s="53">
        <v>30</v>
      </c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</row>
    <row r="156" spans="2:56">
      <c r="B156" s="54">
        <v>1</v>
      </c>
      <c r="C156" s="55" t="s">
        <v>179</v>
      </c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 t="s">
        <v>58</v>
      </c>
      <c r="AE156" s="56"/>
      <c r="AF156" s="56" t="s">
        <v>59</v>
      </c>
      <c r="AG156" s="56"/>
      <c r="AH156" s="5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</row>
    <row r="157" spans="2:56">
      <c r="B157" s="54">
        <v>2</v>
      </c>
      <c r="C157" s="55" t="s">
        <v>61</v>
      </c>
      <c r="D157" s="56"/>
      <c r="E157" s="56"/>
      <c r="F157" s="56"/>
      <c r="G157" s="56"/>
      <c r="H157" s="56"/>
      <c r="I157" s="56" t="s">
        <v>58</v>
      </c>
      <c r="J157" s="56"/>
      <c r="K157" s="56" t="s">
        <v>59</v>
      </c>
      <c r="L157" s="56"/>
      <c r="M157" s="56"/>
      <c r="N157" s="56"/>
      <c r="O157" s="56"/>
      <c r="P157" s="56"/>
      <c r="Q157" s="56"/>
      <c r="R157" s="56"/>
      <c r="S157" s="56"/>
      <c r="T157" s="56" t="s">
        <v>58</v>
      </c>
      <c r="U157" s="56"/>
      <c r="V157" s="56"/>
      <c r="W157" s="56" t="s">
        <v>59</v>
      </c>
      <c r="X157" s="56"/>
      <c r="Y157" s="56"/>
      <c r="Z157" s="56" t="s">
        <v>59</v>
      </c>
      <c r="AA157" s="56"/>
      <c r="AB157" s="56"/>
      <c r="AC157" s="56"/>
      <c r="AD157" s="56"/>
      <c r="AE157" s="56"/>
      <c r="AF157" s="56"/>
      <c r="AG157" s="56"/>
      <c r="AH157" s="5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</row>
    <row r="158" spans="2:56">
      <c r="B158" s="54">
        <v>3</v>
      </c>
      <c r="C158" s="55" t="s">
        <v>103</v>
      </c>
      <c r="D158" s="56"/>
      <c r="E158" s="56"/>
      <c r="F158" s="56"/>
      <c r="G158" s="56" t="s">
        <v>60</v>
      </c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46"/>
      <c r="AJ158" s="46" t="s">
        <v>49</v>
      </c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</row>
    <row r="159" spans="2:56">
      <c r="B159" s="54">
        <v>4</v>
      </c>
      <c r="C159" s="55" t="s">
        <v>64</v>
      </c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 t="s">
        <v>58</v>
      </c>
      <c r="S159" s="56" t="s">
        <v>59</v>
      </c>
      <c r="T159" s="56"/>
      <c r="U159" s="56"/>
      <c r="V159" s="56"/>
      <c r="W159" s="56"/>
      <c r="X159" s="56"/>
      <c r="Y159" s="56" t="s">
        <v>58</v>
      </c>
      <c r="Z159" s="56"/>
      <c r="AA159" s="56" t="s">
        <v>60</v>
      </c>
      <c r="AB159" s="56"/>
      <c r="AC159" s="56"/>
      <c r="AD159" s="56"/>
      <c r="AE159" s="56"/>
      <c r="AF159" s="56"/>
      <c r="AG159" s="56"/>
      <c r="AH159" s="5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</row>
    <row r="160" spans="2:56">
      <c r="B160" s="54">
        <v>5</v>
      </c>
      <c r="C160" s="55" t="s">
        <v>122</v>
      </c>
      <c r="D160" s="56"/>
      <c r="E160" s="56"/>
      <c r="F160" s="56"/>
      <c r="G160" s="56"/>
      <c r="H160" s="56"/>
      <c r="I160" s="56" t="s">
        <v>60</v>
      </c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 t="s">
        <v>60</v>
      </c>
      <c r="AB160" s="56"/>
      <c r="AC160" s="56"/>
      <c r="AD160" s="56"/>
      <c r="AE160" s="56"/>
      <c r="AF160" s="56"/>
      <c r="AG160" s="56"/>
      <c r="AH160" s="5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</row>
    <row r="161" spans="1:56">
      <c r="B161" s="54">
        <v>6</v>
      </c>
      <c r="C161" s="55" t="s">
        <v>180</v>
      </c>
      <c r="D161" s="56"/>
      <c r="E161" s="56"/>
      <c r="F161" s="56"/>
      <c r="G161" s="56"/>
      <c r="H161" s="56"/>
      <c r="I161" s="56" t="s">
        <v>59</v>
      </c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</row>
    <row r="162" spans="1:56">
      <c r="B162" s="54">
        <v>7</v>
      </c>
      <c r="C162" s="55" t="s">
        <v>67</v>
      </c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 t="s">
        <v>58</v>
      </c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</row>
    <row r="163" spans="1:56">
      <c r="B163" s="54">
        <v>8</v>
      </c>
      <c r="C163" s="55" t="s">
        <v>68</v>
      </c>
      <c r="D163" s="56" t="s">
        <v>59</v>
      </c>
      <c r="E163" s="56" t="s">
        <v>59</v>
      </c>
      <c r="F163" s="56"/>
      <c r="G163" s="56" t="s">
        <v>59</v>
      </c>
      <c r="H163" s="56"/>
      <c r="I163" s="56" t="s">
        <v>59</v>
      </c>
      <c r="J163" s="56" t="s">
        <v>59</v>
      </c>
      <c r="K163" s="56" t="s">
        <v>59</v>
      </c>
      <c r="L163" s="56" t="s">
        <v>59</v>
      </c>
      <c r="M163" s="56" t="s">
        <v>59</v>
      </c>
      <c r="N163" s="56"/>
      <c r="O163" s="56"/>
      <c r="P163" s="56" t="s">
        <v>59</v>
      </c>
      <c r="Q163" s="56" t="s">
        <v>59</v>
      </c>
      <c r="R163" s="56"/>
      <c r="S163" s="56" t="s">
        <v>58</v>
      </c>
      <c r="T163" s="56"/>
      <c r="U163" s="56"/>
      <c r="V163" s="56"/>
      <c r="W163" s="56" t="s">
        <v>59</v>
      </c>
      <c r="X163" s="56" t="s">
        <v>59</v>
      </c>
      <c r="Y163" s="56" t="s">
        <v>58</v>
      </c>
      <c r="Z163" s="56" t="s">
        <v>59</v>
      </c>
      <c r="AA163" s="56"/>
      <c r="AB163" s="56"/>
      <c r="AC163" s="56"/>
      <c r="AD163" s="56" t="s">
        <v>58</v>
      </c>
      <c r="AE163" s="56" t="s">
        <v>59</v>
      </c>
      <c r="AF163" s="56"/>
      <c r="AG163" s="56"/>
      <c r="AH163" s="5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</row>
    <row r="164" spans="1:56">
      <c r="A164" s="172" t="s">
        <v>181</v>
      </c>
      <c r="B164" s="54">
        <v>9</v>
      </c>
      <c r="C164" s="55" t="s">
        <v>105</v>
      </c>
      <c r="D164" s="56"/>
      <c r="E164" s="56"/>
      <c r="F164" s="56"/>
      <c r="G164" s="56"/>
      <c r="H164" s="56"/>
      <c r="I164" s="56"/>
      <c r="J164" s="56"/>
      <c r="K164" s="56" t="s">
        <v>60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 t="s">
        <v>60</v>
      </c>
      <c r="X164" s="56"/>
      <c r="Y164" s="56"/>
      <c r="Z164" s="56"/>
      <c r="AA164" s="56"/>
      <c r="AB164" s="56"/>
      <c r="AC164" s="56"/>
      <c r="AD164" s="56"/>
      <c r="AE164" s="56"/>
      <c r="AF164" s="56" t="s">
        <v>59</v>
      </c>
      <c r="AG164" s="56"/>
      <c r="AH164" s="5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</row>
    <row r="165" spans="1:56">
      <c r="B165" s="54">
        <v>10</v>
      </c>
      <c r="C165" s="55" t="s">
        <v>71</v>
      </c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 t="s">
        <v>58</v>
      </c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46"/>
      <c r="AJ165" s="46"/>
      <c r="AK165" s="46"/>
      <c r="AL165" s="46"/>
      <c r="AM165" s="46"/>
      <c r="AN165" s="46"/>
      <c r="AO165" s="46" t="s">
        <v>49</v>
      </c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</row>
    <row r="166" spans="1:56">
      <c r="B166" s="54">
        <v>11</v>
      </c>
      <c r="C166" s="55" t="s">
        <v>131</v>
      </c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 t="s">
        <v>60</v>
      </c>
      <c r="O166" s="56"/>
      <c r="P166" s="56"/>
      <c r="Q166" s="56"/>
      <c r="R166" s="56"/>
      <c r="S166" s="56"/>
      <c r="T166" s="56" t="s">
        <v>59</v>
      </c>
      <c r="U166" s="56"/>
      <c r="V166" s="56"/>
      <c r="W166" s="56"/>
      <c r="X166" s="56"/>
      <c r="Y166" s="56"/>
      <c r="Z166" s="56" t="s">
        <v>60</v>
      </c>
      <c r="AA166" s="56"/>
      <c r="AB166" s="56"/>
      <c r="AC166" s="56"/>
      <c r="AD166" s="56" t="s">
        <v>58</v>
      </c>
      <c r="AE166" s="56"/>
      <c r="AF166" s="56"/>
      <c r="AG166" s="56"/>
      <c r="AH166" s="5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</row>
    <row r="167" spans="1:56">
      <c r="B167" s="54">
        <v>12</v>
      </c>
      <c r="C167" s="55" t="s">
        <v>182</v>
      </c>
      <c r="D167" s="56"/>
      <c r="E167" s="56"/>
      <c r="F167" s="56"/>
      <c r="G167" s="56"/>
      <c r="H167" s="56"/>
      <c r="I167" s="56"/>
      <c r="J167" s="56"/>
      <c r="K167" s="56" t="s">
        <v>129</v>
      </c>
      <c r="L167" s="56"/>
      <c r="M167" s="56"/>
      <c r="N167" s="56"/>
      <c r="O167" s="56"/>
      <c r="P167" s="56" t="s">
        <v>59</v>
      </c>
      <c r="Q167" s="56"/>
      <c r="R167" s="56"/>
      <c r="S167" s="56"/>
      <c r="T167" s="56"/>
      <c r="U167" s="56"/>
      <c r="V167" s="56"/>
      <c r="W167" s="56"/>
      <c r="X167" s="56"/>
      <c r="Y167" s="56"/>
      <c r="Z167" s="56" t="s">
        <v>59</v>
      </c>
      <c r="AA167" s="56"/>
      <c r="AB167" s="56"/>
      <c r="AC167" s="56"/>
      <c r="AD167" s="56"/>
      <c r="AE167" s="56"/>
      <c r="AF167" s="56"/>
      <c r="AG167" s="56"/>
      <c r="AH167" s="5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</row>
    <row r="168" spans="1:56">
      <c r="B168" s="54">
        <v>13</v>
      </c>
      <c r="C168" s="55" t="s">
        <v>183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</row>
    <row r="169" spans="1:56">
      <c r="B169" s="54">
        <v>14</v>
      </c>
      <c r="C169" s="55" t="s">
        <v>73</v>
      </c>
      <c r="D169" s="56"/>
      <c r="E169" s="56"/>
      <c r="F169" s="56"/>
      <c r="G169" s="56"/>
      <c r="H169" s="56"/>
      <c r="I169" s="56"/>
      <c r="J169" s="56"/>
      <c r="K169" s="56"/>
      <c r="L169" s="56"/>
      <c r="M169" s="56" t="s">
        <v>59</v>
      </c>
      <c r="N169" s="56"/>
      <c r="O169" s="56"/>
      <c r="P169" s="56"/>
      <c r="Q169" s="56" t="s">
        <v>58</v>
      </c>
      <c r="R169" s="56"/>
      <c r="S169" s="56" t="s">
        <v>59</v>
      </c>
      <c r="T169" s="56"/>
      <c r="U169" s="56"/>
      <c r="V169" s="56"/>
      <c r="W169" s="56"/>
      <c r="X169" s="56"/>
      <c r="Y169" s="56" t="s">
        <v>58</v>
      </c>
      <c r="Z169" s="56"/>
      <c r="AA169" s="56"/>
      <c r="AB169" s="56"/>
      <c r="AC169" s="56"/>
      <c r="AD169" s="56"/>
      <c r="AE169" s="56"/>
      <c r="AF169" s="56"/>
      <c r="AG169" s="56"/>
      <c r="AH169" s="5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</row>
    <row r="170" spans="1:56">
      <c r="B170" s="54">
        <v>15</v>
      </c>
      <c r="C170" s="55" t="s">
        <v>74</v>
      </c>
      <c r="D170" s="56"/>
      <c r="E170" s="56"/>
      <c r="F170" s="56"/>
      <c r="G170" s="56"/>
      <c r="H170" s="56"/>
      <c r="I170" s="56"/>
      <c r="J170" s="56"/>
      <c r="K170" s="56"/>
      <c r="L170" s="56" t="s">
        <v>59</v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 t="s">
        <v>58</v>
      </c>
      <c r="AE170" s="56" t="s">
        <v>59</v>
      </c>
      <c r="AF170" s="56"/>
      <c r="AG170" s="56"/>
      <c r="AH170" s="5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</row>
    <row r="171" spans="1:56">
      <c r="B171" s="54">
        <v>17</v>
      </c>
      <c r="C171" s="55" t="s">
        <v>106</v>
      </c>
      <c r="D171" s="56"/>
      <c r="E171" s="56"/>
      <c r="F171" s="56"/>
      <c r="G171" s="56" t="s">
        <v>60</v>
      </c>
      <c r="H171" s="56"/>
      <c r="I171" s="56"/>
      <c r="J171" s="56"/>
      <c r="K171" s="56"/>
      <c r="L171" s="56"/>
      <c r="M171" s="56"/>
      <c r="N171" s="56" t="s">
        <v>59</v>
      </c>
      <c r="O171" s="56"/>
      <c r="P171" s="56"/>
      <c r="Q171" s="56"/>
      <c r="R171" s="56" t="s">
        <v>59</v>
      </c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</row>
    <row r="172" spans="1:56">
      <c r="B172" s="54">
        <v>18</v>
      </c>
      <c r="C172" s="55" t="s">
        <v>184</v>
      </c>
      <c r="D172" s="56"/>
      <c r="E172" s="56"/>
      <c r="F172" s="56"/>
      <c r="G172" s="56"/>
      <c r="H172" s="56"/>
      <c r="I172" s="56"/>
      <c r="J172" s="56"/>
      <c r="K172" s="56" t="s">
        <v>58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 t="s">
        <v>58</v>
      </c>
      <c r="Z172" s="56"/>
      <c r="AA172" s="56" t="s">
        <v>59</v>
      </c>
      <c r="AB172" s="56"/>
      <c r="AC172" s="56"/>
      <c r="AD172" s="56"/>
      <c r="AE172" s="56"/>
      <c r="AF172" s="56"/>
      <c r="AG172" s="56"/>
      <c r="AH172" s="5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</row>
    <row r="173" spans="1:56">
      <c r="B173" s="54">
        <v>19</v>
      </c>
      <c r="C173" s="55" t="s">
        <v>81</v>
      </c>
      <c r="D173" s="56"/>
      <c r="E173" s="56"/>
      <c r="F173" s="56"/>
      <c r="G173" s="56"/>
      <c r="H173" s="56"/>
      <c r="I173" s="56"/>
      <c r="J173" s="56"/>
      <c r="K173" s="56" t="s">
        <v>58</v>
      </c>
      <c r="L173" s="56"/>
      <c r="M173" s="56" t="s">
        <v>59</v>
      </c>
      <c r="N173" s="56"/>
      <c r="O173" s="56"/>
      <c r="P173" s="56"/>
      <c r="Q173" s="56"/>
      <c r="R173" s="56" t="s">
        <v>58</v>
      </c>
      <c r="S173" s="56"/>
      <c r="T173" s="56"/>
      <c r="U173" s="56"/>
      <c r="V173" s="56"/>
      <c r="W173" s="56"/>
      <c r="X173" s="56" t="s">
        <v>58</v>
      </c>
      <c r="Y173" s="56"/>
      <c r="Z173" s="56"/>
      <c r="AA173" s="56"/>
      <c r="AB173" s="56"/>
      <c r="AC173" s="56"/>
      <c r="AD173" s="56" t="s">
        <v>60</v>
      </c>
      <c r="AE173" s="56"/>
      <c r="AF173" s="56"/>
      <c r="AG173" s="56"/>
      <c r="AH173" s="5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</row>
    <row r="174" spans="1:56">
      <c r="B174" s="54">
        <v>20</v>
      </c>
      <c r="C174" s="55" t="s">
        <v>185</v>
      </c>
      <c r="D174" s="56"/>
      <c r="E174" s="56"/>
      <c r="F174" s="56"/>
      <c r="G174" s="56"/>
      <c r="H174" s="56"/>
      <c r="I174" s="56"/>
      <c r="J174" s="56"/>
      <c r="K174" s="56"/>
      <c r="L174" s="56"/>
      <c r="M174" s="56" t="s">
        <v>60</v>
      </c>
      <c r="N174" s="56"/>
      <c r="O174" s="56"/>
      <c r="P174" s="56"/>
      <c r="Q174" s="56" t="s">
        <v>60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 t="s">
        <v>58</v>
      </c>
      <c r="AE174" s="56"/>
      <c r="AF174" s="56"/>
      <c r="AG174" s="56"/>
      <c r="AH174" s="5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</row>
    <row r="175" spans="1:56">
      <c r="B175" s="54">
        <v>21</v>
      </c>
      <c r="C175" s="55" t="s">
        <v>186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 t="s">
        <v>58</v>
      </c>
      <c r="AE175" s="56" t="s">
        <v>59</v>
      </c>
      <c r="AF175" s="56"/>
      <c r="AG175" s="56"/>
      <c r="AH175" s="5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</row>
    <row r="176" spans="1:56">
      <c r="B176" s="54">
        <v>22</v>
      </c>
      <c r="C176" s="55" t="s">
        <v>187</v>
      </c>
      <c r="D176" s="56"/>
      <c r="E176" s="56"/>
      <c r="F176" s="56"/>
      <c r="G176" s="56"/>
      <c r="H176" s="56"/>
      <c r="I176" s="56"/>
      <c r="J176" s="56"/>
      <c r="K176" s="56"/>
      <c r="L176" s="56"/>
      <c r="M176" s="56" t="s">
        <v>60</v>
      </c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</row>
    <row r="177" spans="2:56">
      <c r="B177" s="54">
        <v>23</v>
      </c>
      <c r="C177" s="55" t="s">
        <v>188</v>
      </c>
      <c r="D177" s="56" t="s">
        <v>59</v>
      </c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 t="s">
        <v>58</v>
      </c>
      <c r="AF177" s="56"/>
      <c r="AG177" s="56"/>
      <c r="AH177" s="5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</row>
    <row r="178" spans="2:56">
      <c r="B178" s="54">
        <v>24</v>
      </c>
      <c r="C178" s="55" t="s">
        <v>149</v>
      </c>
      <c r="D178" s="56"/>
      <c r="E178" s="56"/>
      <c r="F178" s="56"/>
      <c r="G178" s="56"/>
      <c r="H178" s="56"/>
      <c r="I178" s="56"/>
      <c r="J178" s="56"/>
      <c r="K178" s="56"/>
      <c r="L178" s="56" t="s">
        <v>59</v>
      </c>
      <c r="M178" s="56"/>
      <c r="N178" s="56" t="s">
        <v>59</v>
      </c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 t="s">
        <v>59</v>
      </c>
      <c r="AG178" s="56"/>
      <c r="AH178" s="5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</row>
    <row r="179" spans="2:56">
      <c r="B179" s="54">
        <v>25</v>
      </c>
      <c r="C179" s="55" t="s">
        <v>92</v>
      </c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 t="s">
        <v>58</v>
      </c>
      <c r="AE179" s="56"/>
      <c r="AF179" s="56"/>
      <c r="AG179" s="56"/>
      <c r="AH179" s="5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</row>
    <row r="180" spans="2:56">
      <c r="B180" s="54">
        <v>26</v>
      </c>
      <c r="C180" s="55" t="s">
        <v>134</v>
      </c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 t="s">
        <v>60</v>
      </c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 t="s">
        <v>58</v>
      </c>
      <c r="AA180" s="56" t="s">
        <v>59</v>
      </c>
      <c r="AB180" s="56"/>
      <c r="AC180" s="56"/>
      <c r="AD180" s="56"/>
      <c r="AE180" s="56"/>
      <c r="AF180" s="56"/>
      <c r="AG180" s="56"/>
      <c r="AH180" s="5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</row>
    <row r="181" spans="2:56">
      <c r="B181" s="54">
        <v>27</v>
      </c>
      <c r="C181" s="55" t="s">
        <v>152</v>
      </c>
      <c r="D181" s="56"/>
      <c r="E181" s="56"/>
      <c r="F181" s="56"/>
      <c r="G181" s="56" t="s">
        <v>60</v>
      </c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 t="s">
        <v>58</v>
      </c>
      <c r="X181" s="56"/>
      <c r="Y181" s="56"/>
      <c r="Z181" s="56"/>
      <c r="AA181" s="56"/>
      <c r="AB181" s="56"/>
      <c r="AC181" s="56"/>
      <c r="AD181" s="56" t="s">
        <v>59</v>
      </c>
      <c r="AE181" s="56"/>
      <c r="AF181" s="56"/>
      <c r="AG181" s="56"/>
      <c r="AH181" s="5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</row>
    <row r="182" spans="2:56">
      <c r="B182" s="54">
        <v>28</v>
      </c>
      <c r="C182" s="55" t="s">
        <v>135</v>
      </c>
      <c r="D182" s="56"/>
      <c r="E182" s="56"/>
      <c r="F182" s="56"/>
      <c r="G182" s="56"/>
      <c r="H182" s="56"/>
      <c r="I182" s="56"/>
      <c r="J182" s="56"/>
      <c r="K182" s="56" t="s">
        <v>59</v>
      </c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 t="s">
        <v>59</v>
      </c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</row>
    <row r="183" spans="2:56">
      <c r="B183" s="54">
        <v>29</v>
      </c>
      <c r="C183" s="55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46" t="s">
        <v>49</v>
      </c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</row>
    <row r="184" spans="2:56">
      <c r="B184" s="54">
        <v>30</v>
      </c>
      <c r="C184" s="55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</row>
    <row r="185" spans="2:56" hidden="1">
      <c r="B185" s="54">
        <v>31</v>
      </c>
      <c r="C185" s="55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</row>
    <row r="186" spans="2:56" hidden="1">
      <c r="B186" s="54">
        <v>32</v>
      </c>
      <c r="C186" s="55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</row>
    <row r="187" spans="2:56" hidden="1">
      <c r="B187" s="54">
        <v>33</v>
      </c>
      <c r="C187" s="55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</row>
    <row r="188" spans="2:56" hidden="1">
      <c r="B188" s="54">
        <v>34</v>
      </c>
      <c r="C188" s="55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</row>
    <row r="189" spans="2:56" hidden="1">
      <c r="B189" s="54">
        <v>35</v>
      </c>
      <c r="C189" s="55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</row>
    <row r="190" spans="2:56" hidden="1">
      <c r="B190" s="54">
        <v>36</v>
      </c>
      <c r="C190" s="55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</row>
    <row r="191" spans="2:56" hidden="1">
      <c r="B191" s="54">
        <v>37</v>
      </c>
      <c r="C191" s="55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</row>
    <row r="192" spans="2:56" hidden="1">
      <c r="B192" s="54">
        <v>38</v>
      </c>
      <c r="C192" s="55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</row>
    <row r="193" spans="2:56" hidden="1">
      <c r="B193" s="54">
        <v>39</v>
      </c>
      <c r="C193" s="55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</row>
    <row r="194" spans="2:56" hidden="1">
      <c r="B194" s="54">
        <v>40</v>
      </c>
      <c r="C194" s="64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</row>
    <row r="195" spans="2:56" hidden="1">
      <c r="B195" s="54">
        <v>41</v>
      </c>
      <c r="C195" s="64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</row>
    <row r="196" spans="2:56" hidden="1">
      <c r="B196" s="54">
        <v>42</v>
      </c>
      <c r="C196" s="64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</row>
    <row r="197" spans="2:56" hidden="1">
      <c r="B197" s="54">
        <v>43</v>
      </c>
      <c r="C197" s="64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</row>
    <row r="198" spans="2:56" hidden="1">
      <c r="B198" s="54">
        <v>44</v>
      </c>
      <c r="C198" s="64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</row>
    <row r="199" spans="2:56" hidden="1">
      <c r="B199" s="54">
        <v>45</v>
      </c>
      <c r="C199" s="64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</row>
    <row r="200" spans="2:56" hidden="1">
      <c r="B200" s="54">
        <v>46</v>
      </c>
      <c r="C200" s="64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</row>
    <row r="201" spans="2:56" hidden="1">
      <c r="B201" s="54">
        <v>47</v>
      </c>
      <c r="C201" s="64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</row>
    <row r="202" spans="2:56" hidden="1">
      <c r="B202" s="54">
        <v>48</v>
      </c>
      <c r="C202" s="64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</row>
    <row r="203" spans="2:56" hidden="1">
      <c r="B203" s="54">
        <v>49</v>
      </c>
      <c r="C203" s="64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</row>
    <row r="204" spans="2:56" hidden="1">
      <c r="B204" s="54">
        <v>50</v>
      </c>
      <c r="C204" s="64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</row>
    <row r="205" spans="2:56" hidden="1">
      <c r="B205" s="54">
        <v>51</v>
      </c>
      <c r="C205" s="64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</row>
    <row r="206" spans="2:56" hidden="1">
      <c r="B206" s="54">
        <v>52</v>
      </c>
      <c r="C206" s="64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</row>
    <row r="207" spans="2:56" hidden="1">
      <c r="B207" s="54">
        <v>53</v>
      </c>
      <c r="C207" s="64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</row>
    <row r="208" spans="2:56" hidden="1">
      <c r="B208" s="54">
        <v>54</v>
      </c>
      <c r="C208" s="64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</row>
    <row r="209" spans="2:56" hidden="1">
      <c r="B209" s="54">
        <v>55</v>
      </c>
      <c r="C209" s="64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</row>
    <row r="210" spans="2:56" hidden="1">
      <c r="B210" s="54">
        <v>56</v>
      </c>
      <c r="C210" s="64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</row>
    <row r="211" spans="2:56" hidden="1">
      <c r="B211" s="54">
        <v>57</v>
      </c>
      <c r="C211" s="64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</row>
    <row r="212" spans="2:56" hidden="1">
      <c r="B212" s="54">
        <v>58</v>
      </c>
      <c r="C212" s="64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</row>
    <row r="213" spans="2:56" hidden="1">
      <c r="B213" s="54">
        <v>59</v>
      </c>
      <c r="C213" s="64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</row>
    <row r="214" spans="2:56" hidden="1">
      <c r="B214" s="54">
        <v>60</v>
      </c>
      <c r="C214" s="64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</row>
    <row r="215" spans="2:56" hidden="1">
      <c r="B215" s="54">
        <v>61</v>
      </c>
      <c r="C215" s="64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</row>
    <row r="216" spans="2:56" hidden="1">
      <c r="B216" s="54">
        <v>62</v>
      </c>
      <c r="C216" s="64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</row>
    <row r="217" spans="2:56" hidden="1">
      <c r="B217" s="54">
        <v>63</v>
      </c>
      <c r="C217" s="64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</row>
    <row r="218" spans="2:56" hidden="1">
      <c r="B218" s="54">
        <v>64</v>
      </c>
      <c r="C218" s="64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</row>
    <row r="219" spans="2:56" hidden="1">
      <c r="B219" s="54">
        <v>65</v>
      </c>
      <c r="C219" s="64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</row>
    <row r="220" spans="2:56" hidden="1">
      <c r="B220" s="54">
        <v>66</v>
      </c>
      <c r="C220" s="64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</row>
    <row r="221" spans="2:56" hidden="1">
      <c r="B221" s="54">
        <v>67</v>
      </c>
      <c r="C221" s="64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</row>
    <row r="222" spans="2:56" hidden="1">
      <c r="B222" s="54">
        <v>68</v>
      </c>
      <c r="C222" s="64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</row>
    <row r="223" spans="2:56" hidden="1">
      <c r="B223" s="54">
        <v>69</v>
      </c>
      <c r="C223" s="64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</row>
    <row r="224" spans="2:56" hidden="1">
      <c r="B224" s="54">
        <v>70</v>
      </c>
      <c r="C224" s="64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</row>
    <row r="225" spans="2:56" hidden="1">
      <c r="B225" s="54">
        <v>71</v>
      </c>
      <c r="C225" s="64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</row>
    <row r="226" spans="2:56" hidden="1">
      <c r="B226" s="54">
        <v>72</v>
      </c>
      <c r="C226" s="64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</row>
    <row r="227" spans="2:56" hidden="1">
      <c r="B227" s="54">
        <v>73</v>
      </c>
      <c r="C227" s="64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</row>
    <row r="228" spans="2:56" hidden="1">
      <c r="B228" s="54">
        <v>74</v>
      </c>
      <c r="C228" s="64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</row>
    <row r="229" spans="2:56" hidden="1">
      <c r="B229" s="54">
        <v>75</v>
      </c>
      <c r="C229" s="64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</row>
    <row r="230" spans="2:56" hidden="1">
      <c r="B230" s="54">
        <v>76</v>
      </c>
      <c r="C230" s="64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</row>
    <row r="231" spans="2:56" hidden="1">
      <c r="B231" s="54">
        <v>77</v>
      </c>
      <c r="C231" s="64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</row>
    <row r="232" spans="2:56" hidden="1">
      <c r="B232" s="54">
        <v>78</v>
      </c>
      <c r="C232" s="64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</row>
    <row r="233" spans="2:56" hidden="1">
      <c r="B233" s="54">
        <v>79</v>
      </c>
      <c r="C233" s="64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</row>
    <row r="234" spans="2:56" hidden="1">
      <c r="B234" s="54">
        <v>80</v>
      </c>
      <c r="C234" s="64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</row>
    <row r="235" spans="2:56" hidden="1">
      <c r="B235" s="54">
        <v>81</v>
      </c>
      <c r="C235" s="64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</row>
    <row r="236" spans="2:56" hidden="1">
      <c r="B236" s="54">
        <v>82</v>
      </c>
      <c r="C236" s="64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</row>
    <row r="237" spans="2:56" hidden="1">
      <c r="B237" s="54">
        <v>83</v>
      </c>
      <c r="C237" s="64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</row>
    <row r="238" spans="2:56" hidden="1">
      <c r="B238" s="54">
        <v>84</v>
      </c>
      <c r="C238" s="64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</row>
    <row r="239" spans="2:56" hidden="1">
      <c r="B239" s="54">
        <v>85</v>
      </c>
      <c r="C239" s="64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</row>
    <row r="240" spans="2:56" hidden="1">
      <c r="B240" s="54">
        <v>86</v>
      </c>
      <c r="C240" s="64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</row>
    <row r="241" spans="2:56">
      <c r="B241" s="54"/>
      <c r="C241" s="69" t="s">
        <v>111</v>
      </c>
      <c r="D241" s="56">
        <f>COUNTA(D156:D240)</f>
        <v>2</v>
      </c>
      <c r="E241" s="56">
        <f>COUNTA(E156:E240)</f>
        <v>1</v>
      </c>
      <c r="F241" s="56">
        <f>COUNTA(F156:F240)</f>
        <v>0</v>
      </c>
      <c r="G241" s="56">
        <f t="shared" ref="G241:AH241" si="1">COUNTA(G156:G240)</f>
        <v>4</v>
      </c>
      <c r="H241" s="56">
        <f t="shared" si="1"/>
        <v>0</v>
      </c>
      <c r="I241" s="56">
        <f t="shared" si="1"/>
        <v>4</v>
      </c>
      <c r="J241" s="56">
        <f t="shared" si="1"/>
        <v>1</v>
      </c>
      <c r="K241" s="56">
        <f t="shared" si="1"/>
        <v>7</v>
      </c>
      <c r="L241" s="56">
        <f t="shared" si="1"/>
        <v>3</v>
      </c>
      <c r="M241" s="56">
        <f t="shared" si="1"/>
        <v>5</v>
      </c>
      <c r="N241" s="56">
        <f t="shared" si="1"/>
        <v>4</v>
      </c>
      <c r="O241" s="56">
        <f t="shared" si="1"/>
        <v>0</v>
      </c>
      <c r="P241" s="56">
        <f t="shared" si="1"/>
        <v>2</v>
      </c>
      <c r="Q241" s="56">
        <f t="shared" si="1"/>
        <v>3</v>
      </c>
      <c r="R241" s="56">
        <f t="shared" si="1"/>
        <v>3</v>
      </c>
      <c r="S241" s="56">
        <f t="shared" si="1"/>
        <v>3</v>
      </c>
      <c r="T241" s="56">
        <f t="shared" si="1"/>
        <v>2</v>
      </c>
      <c r="U241" s="56">
        <f t="shared" si="1"/>
        <v>0</v>
      </c>
      <c r="V241" s="56">
        <f t="shared" si="1"/>
        <v>0</v>
      </c>
      <c r="W241" s="56">
        <f t="shared" si="1"/>
        <v>5</v>
      </c>
      <c r="X241" s="56">
        <f t="shared" si="1"/>
        <v>4</v>
      </c>
      <c r="Y241" s="56">
        <f t="shared" si="1"/>
        <v>4</v>
      </c>
      <c r="Z241" s="56">
        <f t="shared" si="1"/>
        <v>5</v>
      </c>
      <c r="AA241" s="56">
        <f t="shared" si="1"/>
        <v>4</v>
      </c>
      <c r="AB241" s="56">
        <f t="shared" si="1"/>
        <v>0</v>
      </c>
      <c r="AC241" s="56">
        <f t="shared" si="1"/>
        <v>0</v>
      </c>
      <c r="AD241" s="56">
        <f t="shared" si="1"/>
        <v>9</v>
      </c>
      <c r="AE241" s="56">
        <f t="shared" si="1"/>
        <v>4</v>
      </c>
      <c r="AF241" s="56">
        <f t="shared" si="1"/>
        <v>3</v>
      </c>
      <c r="AG241" s="56">
        <f t="shared" si="1"/>
        <v>0</v>
      </c>
      <c r="AH241" s="56">
        <f t="shared" si="1"/>
        <v>0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</row>
    <row r="242" spans="2:56"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</row>
    <row r="243" spans="2:56">
      <c r="B243" s="67" t="s">
        <v>60</v>
      </c>
      <c r="C243" s="68" t="s">
        <v>99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 t="s">
        <v>49</v>
      </c>
      <c r="O243" s="46"/>
      <c r="P243" s="46" t="s">
        <v>49</v>
      </c>
      <c r="Q243" s="46" t="s">
        <v>49</v>
      </c>
      <c r="R243" s="46"/>
      <c r="S243" s="46" t="s">
        <v>49</v>
      </c>
      <c r="T243" s="46"/>
      <c r="U243" s="46" t="s">
        <v>49</v>
      </c>
      <c r="V243" s="46" t="s">
        <v>49</v>
      </c>
      <c r="W243" s="46" t="s">
        <v>49</v>
      </c>
      <c r="X243" s="46"/>
      <c r="Y243" s="46"/>
      <c r="Z243" s="46" t="s">
        <v>49</v>
      </c>
      <c r="AA243" s="46"/>
      <c r="AB243" s="46"/>
      <c r="AC243" s="46" t="s">
        <v>49</v>
      </c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</row>
    <row r="244" spans="2:56">
      <c r="B244" s="67" t="s">
        <v>58</v>
      </c>
      <c r="C244" s="68" t="s">
        <v>100</v>
      </c>
      <c r="D244" s="46"/>
      <c r="E244" s="46"/>
      <c r="F244" s="46"/>
      <c r="G244" s="46"/>
      <c r="H244" s="46"/>
      <c r="I244" s="46"/>
      <c r="J244" s="46"/>
      <c r="K244" s="46" t="s">
        <v>49</v>
      </c>
      <c r="L244" s="46" t="s">
        <v>49</v>
      </c>
      <c r="M244" s="46" t="s">
        <v>49</v>
      </c>
      <c r="N244" s="46" t="s">
        <v>49</v>
      </c>
      <c r="O244" s="46"/>
      <c r="P244" s="46" t="s">
        <v>49</v>
      </c>
      <c r="Q244" s="46" t="s">
        <v>49</v>
      </c>
      <c r="R244" s="46"/>
      <c r="S244" s="46" t="s">
        <v>49</v>
      </c>
      <c r="T244" s="46"/>
      <c r="U244" s="46"/>
      <c r="V244" s="46" t="s">
        <v>49</v>
      </c>
      <c r="W244" s="46"/>
      <c r="X244" s="46" t="s">
        <v>49</v>
      </c>
      <c r="Y244" s="46" t="s">
        <v>49</v>
      </c>
      <c r="Z244" s="46" t="s">
        <v>49</v>
      </c>
      <c r="AA244" s="46" t="s">
        <v>49</v>
      </c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</row>
    <row r="245" spans="2:56">
      <c r="B245" s="67" t="s">
        <v>59</v>
      </c>
      <c r="C245" s="68" t="s">
        <v>101</v>
      </c>
      <c r="D245" s="46"/>
      <c r="E245" s="46"/>
      <c r="F245" s="46"/>
      <c r="G245" s="46"/>
      <c r="H245" s="46"/>
      <c r="I245" s="46"/>
      <c r="J245" s="46" t="s">
        <v>49</v>
      </c>
      <c r="K245" s="46"/>
      <c r="L245" s="46"/>
      <c r="M245" s="46" t="s">
        <v>49</v>
      </c>
      <c r="N245" s="46"/>
      <c r="O245" s="46" t="s">
        <v>49</v>
      </c>
      <c r="P245" s="46" t="s">
        <v>49</v>
      </c>
      <c r="Q245" s="46"/>
      <c r="R245" s="46" t="s">
        <v>49</v>
      </c>
      <c r="S245" s="46" t="s">
        <v>49</v>
      </c>
      <c r="T245" s="46" t="s">
        <v>49</v>
      </c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</row>
    <row r="246" spans="2:56">
      <c r="B246" s="46"/>
      <c r="C246" s="46"/>
      <c r="D246" s="46"/>
      <c r="E246" s="46"/>
      <c r="F246" s="46"/>
      <c r="G246" s="46"/>
      <c r="H246" s="46"/>
      <c r="I246" s="46"/>
      <c r="J246" s="46"/>
      <c r="K246" s="46" t="s">
        <v>49</v>
      </c>
      <c r="L246" s="46"/>
      <c r="M246" s="46" t="s">
        <v>49</v>
      </c>
      <c r="N246" s="46"/>
      <c r="O246" s="46" t="s">
        <v>49</v>
      </c>
      <c r="P246" s="46"/>
      <c r="Q246" s="46" t="s">
        <v>49</v>
      </c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</row>
    <row r="247" spans="2:56"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 t="s">
        <v>49</v>
      </c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</row>
    <row r="248" spans="2:56"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 t="s">
        <v>49</v>
      </c>
      <c r="P248" s="46" t="s">
        <v>49</v>
      </c>
      <c r="Q248" s="46"/>
      <c r="R248" s="46"/>
      <c r="S248" s="46"/>
      <c r="T248" s="46" t="s">
        <v>49</v>
      </c>
      <c r="U248" s="46"/>
      <c r="V248" s="46"/>
      <c r="W248" s="46"/>
      <c r="X248" s="46" t="s">
        <v>49</v>
      </c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</row>
    <row r="249" spans="2:56"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</row>
    <row r="250" spans="2:56"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 t="s">
        <v>49</v>
      </c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</row>
    <row r="251" spans="2:56"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</row>
    <row r="252" spans="2:56"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 t="s">
        <v>49</v>
      </c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</row>
    <row r="253" spans="2:56"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 t="s">
        <v>49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</row>
    <row r="254" spans="2:56"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</row>
    <row r="255" spans="2:56"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</row>
    <row r="256" spans="2:56"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</row>
    <row r="257" spans="2:56"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 t="s">
        <v>49</v>
      </c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</row>
    <row r="258" spans="2:56"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</row>
    <row r="259" spans="2:56"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</row>
    <row r="260" spans="2:56"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</row>
    <row r="261" spans="2:56"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</row>
    <row r="262" spans="2:56"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</row>
    <row r="263" spans="2:56"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</row>
    <row r="264" spans="2:56"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</row>
    <row r="265" spans="2:56"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</row>
    <row r="266" spans="2:56"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</row>
    <row r="267" spans="2:56"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</row>
    <row r="268" spans="2:56"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</row>
    <row r="269" spans="2:56"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</row>
    <row r="270" spans="2:56"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</row>
    <row r="271" spans="2:56"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</row>
    <row r="272" spans="2:56"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</row>
    <row r="273" spans="2:56"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</row>
    <row r="274" spans="2:56"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</row>
    <row r="275" spans="2:56"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</row>
    <row r="276" spans="2:56"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</row>
    <row r="277" spans="2:56"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</row>
    <row r="278" spans="2:56"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</row>
    <row r="279" spans="2:56"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</row>
    <row r="280" spans="2:56"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</row>
    <row r="281" spans="2:56"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</row>
    <row r="282" spans="2:56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</row>
    <row r="283" spans="2:56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</row>
    <row r="284" spans="2:56"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</row>
    <row r="285" spans="2:56"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</row>
    <row r="286" spans="2:56"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</row>
    <row r="287" spans="2:56"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</row>
    <row r="288" spans="2:56"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</row>
    <row r="289" spans="2:56"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</row>
    <row r="290" spans="2:56"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</row>
    <row r="291" spans="2:56"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</row>
    <row r="292" spans="2:56"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</row>
    <row r="293" spans="2:56"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</row>
    <row r="294" spans="2:56"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</row>
    <row r="295" spans="2:56"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</row>
    <row r="296" spans="2:56"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</row>
    <row r="297" spans="2:56"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</row>
    <row r="298" spans="2:56"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</row>
    <row r="299" spans="2:56"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</row>
    <row r="300" spans="2:56"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</row>
    <row r="301" spans="2:56"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</row>
    <row r="302" spans="2:56"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</row>
    <row r="303" spans="2:56"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</row>
    <row r="304" spans="2:56"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</row>
    <row r="305" spans="2:56"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</row>
    <row r="306" spans="2:56"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</row>
    <row r="307" spans="2:56"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</row>
    <row r="308" spans="2:56"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</row>
    <row r="309" spans="2:56"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</row>
    <row r="310" spans="2:56"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</row>
    <row r="311" spans="2:56"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</row>
    <row r="312" spans="2:56"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</row>
    <row r="313" spans="2:56"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</row>
    <row r="314" spans="2:56"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</row>
    <row r="315" spans="2:56"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</row>
    <row r="316" spans="2:56"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</row>
    <row r="317" spans="2:56"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</row>
    <row r="318" spans="2:56"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</row>
    <row r="319" spans="2:56"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</row>
    <row r="320" spans="2:56"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</row>
    <row r="321" spans="2:56"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</row>
    <row r="322" spans="2:56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</row>
    <row r="323" spans="2:56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</row>
    <row r="324" spans="2:56"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</row>
    <row r="325" spans="2:56"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</row>
    <row r="326" spans="2:56"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</row>
    <row r="327" spans="2:56"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</row>
    <row r="328" spans="2:56"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</row>
    <row r="329" spans="2:56"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</row>
    <row r="330" spans="2:56"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</row>
    <row r="331" spans="2:56"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</row>
    <row r="332" spans="2:56"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</row>
    <row r="333" spans="2:56"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</row>
    <row r="334" spans="2:56"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</row>
    <row r="335" spans="2:56"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</row>
    <row r="336" spans="2:56"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</row>
    <row r="337" spans="2:56"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</row>
    <row r="338" spans="2:56"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</row>
    <row r="339" spans="2:56"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</row>
    <row r="340" spans="2:56"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</row>
    <row r="341" spans="2:56"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</row>
  </sheetData>
  <mergeCells count="4">
    <mergeCell ref="B1:AH1"/>
    <mergeCell ref="B2:AH2"/>
    <mergeCell ref="B150:AH150"/>
    <mergeCell ref="B151:AH151"/>
  </mergeCells>
  <conditionalFormatting sqref="M7:AH7 D25 O26:AH26 D31 O28:AH30 O32:AH33 D34:D35 D39:D40 O36:AH38 D49 N53:AG53 N56:AG57 N59:AG60 K66:AG66 N65:AG65 K69:AG69 O67:AG67 N70:AG70 D111 N73:AG74 D115 O116:AH117 D118:D120 P118:AH119 D123:D124 O121:AH122 D126:D129 O125:AH125 K61:AG62 N68:AG68 L113:AH114 D143:AH143 D131:D142 F131:AH142 E63:AG64 F126:AH129 F123:AH124 F120:AH120 F115:AH115 F111:AH111 E71:AG72 E58:AG58 E54:AG55 E52:AG52 F49:AH49 F39:AH40 F34:AH35 F31:AH31 F25:AH25 O109:AH110 D112:AH112 D15:AH18 D173:N181 F22:AD22 AF22:AH22 AE23 D50:AH50 D51:AG51 D76:AH76 D75:AG75 D27:AH27 D156:AH170 O171:AH178 O41:AH48 D41:N43">
    <cfRule type="containsText" dxfId="682" priority="466" operator="containsText" text="B">
      <formula>NOT(ISERROR(SEARCH("B",D7)))</formula>
    </cfRule>
    <cfRule type="containsText" dxfId="681" priority="467" operator="containsText" text="TB">
      <formula>NOT(ISERROR(SEARCH("TB",D7)))</formula>
    </cfRule>
    <cfRule type="containsText" dxfId="680" priority="468" operator="containsText" text="T">
      <formula>NOT(ISERROR(SEARCH("T",D7)))</formula>
    </cfRule>
  </conditionalFormatting>
  <conditionalFormatting sqref="M7:AH7 D25 O26:AH26 D31 O28:AH30 O32:AH33 D34:D35 D39:D40 O36:AH38 D49 N53:AG53 N56:AG57 N59:AG60 K66:AG66 N65:AG65 K69:AG69 O67:AG67 N70:AG70 D111 N73:AG74 D115 O116:AH117 D118:D120 P118:AH119 D123:D124 O121:AH122 D126:D129 O125:AH125 K61:AG62 N68:AG68 L113:AH114 D131:D142 F131:AH142 E63:AG64 F126:AH129 F123:AH124 F120:AH120 F115:AH115 F111:AH111 E71:AG72 E58:AG58 E54:AG55 E52:AG52 F49:AH49 F39:AH40 F34:AH35 F31:AH31 F25:AH25 D143:AH143 O109:AH110 D112:AH112 D15:AH18 D173:N181 F22:AD22 AF22:AH22 AE23 D50:AH50 D51:AG51 D76:AH76 D75:AG75 D27:AH27 D156:AH170 O171:AH178 O41:AH48 D41:N43">
    <cfRule type="containsText" dxfId="679" priority="465" operator="containsText" text="TB">
      <formula>NOT(ISERROR(SEARCH("TB",D7)))</formula>
    </cfRule>
  </conditionalFormatting>
  <conditionalFormatting sqref="B146:B148">
    <cfRule type="containsText" dxfId="678" priority="462" operator="containsText" text="B">
      <formula>NOT(ISERROR(SEARCH("B",B146)))</formula>
    </cfRule>
    <cfRule type="containsText" dxfId="677" priority="463" operator="containsText" text="TB">
      <formula>NOT(ISERROR(SEARCH("TB",B146)))</formula>
    </cfRule>
    <cfRule type="containsText" dxfId="676" priority="464" operator="containsText" text="T">
      <formula>NOT(ISERROR(SEARCH("T",B146)))</formula>
    </cfRule>
  </conditionalFormatting>
  <conditionalFormatting sqref="B146:B148">
    <cfRule type="containsText" dxfId="675" priority="461" operator="containsText" text="TB">
      <formula>NOT(ISERROR(SEARCH("TB",B146)))</formula>
    </cfRule>
  </conditionalFormatting>
  <conditionalFormatting sqref="D182:AH240 O179:AH181">
    <cfRule type="containsText" dxfId="674" priority="458" operator="containsText" text="B">
      <formula>NOT(ISERROR(SEARCH("B",D179)))</formula>
    </cfRule>
    <cfRule type="containsText" dxfId="673" priority="459" operator="containsText" text="TB">
      <formula>NOT(ISERROR(SEARCH("TB",D179)))</formula>
    </cfRule>
    <cfRule type="containsText" dxfId="672" priority="460" operator="containsText" text="T">
      <formula>NOT(ISERROR(SEARCH("T",D179)))</formula>
    </cfRule>
  </conditionalFormatting>
  <conditionalFormatting sqref="O179:AH181 D182:AH241">
    <cfRule type="containsText" dxfId="671" priority="457" operator="containsText" text="TB">
      <formula>NOT(ISERROR(SEARCH("TB",D179)))</formula>
    </cfRule>
  </conditionalFormatting>
  <conditionalFormatting sqref="B243:B245">
    <cfRule type="containsText" dxfId="670" priority="454" operator="containsText" text="B">
      <formula>NOT(ISERROR(SEARCH("B",B243)))</formula>
    </cfRule>
    <cfRule type="containsText" dxfId="669" priority="455" operator="containsText" text="TB">
      <formula>NOT(ISERROR(SEARCH("TB",B243)))</formula>
    </cfRule>
    <cfRule type="containsText" dxfId="668" priority="456" operator="containsText" text="T">
      <formula>NOT(ISERROR(SEARCH("T",B243)))</formula>
    </cfRule>
  </conditionalFormatting>
  <conditionalFormatting sqref="B243:B245">
    <cfRule type="containsText" dxfId="667" priority="453" operator="containsText" text="TB">
      <formula>NOT(ISERROR(SEARCH("TB",B243)))</formula>
    </cfRule>
  </conditionalFormatting>
  <conditionalFormatting sqref="D8:D12 M13:AH14 D20 D22 O21:AH21 D24 O23:AD23 F24:AH24 F20:AH20 F8:AH12 M19:AH19 AF23:AH23">
    <cfRule type="containsText" dxfId="666" priority="450" operator="containsText" text="B">
      <formula>NOT(ISERROR(SEARCH("B",D8)))</formula>
    </cfRule>
    <cfRule type="containsText" dxfId="665" priority="451" operator="containsText" text="TB">
      <formula>NOT(ISERROR(SEARCH("TB",D8)))</formula>
    </cfRule>
    <cfRule type="containsText" dxfId="664" priority="452" operator="containsText" text="T">
      <formula>NOT(ISERROR(SEARCH("T",D8)))</formula>
    </cfRule>
  </conditionalFormatting>
  <conditionalFormatting sqref="D8:D12 M13:AH14 D20 D22 O21:AH21 D24 O23:AD23 F24:AH24 F20:AH20 F8:AH12 M19:AH19 AF23:AH23">
    <cfRule type="containsText" dxfId="663" priority="449" operator="containsText" text="TB">
      <formula>NOT(ISERROR(SEARCH("TB",D8)))</formula>
    </cfRule>
  </conditionalFormatting>
  <conditionalFormatting sqref="D7 F7:L7">
    <cfRule type="containsText" dxfId="662" priority="446" operator="containsText" text="B">
      <formula>NOT(ISERROR(SEARCH("B",D7)))</formula>
    </cfRule>
    <cfRule type="containsText" dxfId="661" priority="447" operator="containsText" text="TB">
      <formula>NOT(ISERROR(SEARCH("TB",D7)))</formula>
    </cfRule>
    <cfRule type="containsText" dxfId="660" priority="448" operator="containsText" text="T">
      <formula>NOT(ISERROR(SEARCH("T",D7)))</formula>
    </cfRule>
  </conditionalFormatting>
  <conditionalFormatting sqref="D7 F7:L7">
    <cfRule type="containsText" dxfId="659" priority="445" operator="containsText" text="TB">
      <formula>NOT(ISERROR(SEARCH("TB",D7)))</formula>
    </cfRule>
  </conditionalFormatting>
  <conditionalFormatting sqref="D13:D14 F13:L14">
    <cfRule type="containsText" dxfId="658" priority="442" operator="containsText" text="B">
      <formula>NOT(ISERROR(SEARCH("B",D13)))</formula>
    </cfRule>
    <cfRule type="containsText" dxfId="657" priority="443" operator="containsText" text="TB">
      <formula>NOT(ISERROR(SEARCH("TB",D13)))</formula>
    </cfRule>
    <cfRule type="containsText" dxfId="656" priority="444" operator="containsText" text="T">
      <formula>NOT(ISERROR(SEARCH("T",D13)))</formula>
    </cfRule>
  </conditionalFormatting>
  <conditionalFormatting sqref="D13:D14 F13:L14">
    <cfRule type="containsText" dxfId="655" priority="441" operator="containsText" text="TB">
      <formula>NOT(ISERROR(SEARCH("TB",D13)))</formula>
    </cfRule>
  </conditionalFormatting>
  <conditionalFormatting sqref="D19 F19:L19">
    <cfRule type="containsText" dxfId="654" priority="438" operator="containsText" text="B">
      <formula>NOT(ISERROR(SEARCH("B",D19)))</formula>
    </cfRule>
    <cfRule type="containsText" dxfId="653" priority="439" operator="containsText" text="TB">
      <formula>NOT(ISERROR(SEARCH("TB",D19)))</formula>
    </cfRule>
    <cfRule type="containsText" dxfId="652" priority="440" operator="containsText" text="T">
      <formula>NOT(ISERROR(SEARCH("T",D19)))</formula>
    </cfRule>
  </conditionalFormatting>
  <conditionalFormatting sqref="D19 F19:L19">
    <cfRule type="containsText" dxfId="651" priority="437" operator="containsText" text="TB">
      <formula>NOT(ISERROR(SEARCH("TB",D19)))</formula>
    </cfRule>
  </conditionalFormatting>
  <conditionalFormatting sqref="D21 F21:N21">
    <cfRule type="containsText" dxfId="650" priority="434" operator="containsText" text="B">
      <formula>NOT(ISERROR(SEARCH("B",D21)))</formula>
    </cfRule>
    <cfRule type="containsText" dxfId="649" priority="435" operator="containsText" text="TB">
      <formula>NOT(ISERROR(SEARCH("TB",D21)))</formula>
    </cfRule>
    <cfRule type="containsText" dxfId="648" priority="436" operator="containsText" text="T">
      <formula>NOT(ISERROR(SEARCH("T",D21)))</formula>
    </cfRule>
  </conditionalFormatting>
  <conditionalFormatting sqref="D21 F21:N21">
    <cfRule type="containsText" dxfId="647" priority="433" operator="containsText" text="TB">
      <formula>NOT(ISERROR(SEARCH("TB",D21)))</formula>
    </cfRule>
  </conditionalFormatting>
  <conditionalFormatting sqref="D23 F23:N23">
    <cfRule type="containsText" dxfId="646" priority="430" operator="containsText" text="B">
      <formula>NOT(ISERROR(SEARCH("B",D23)))</formula>
    </cfRule>
    <cfRule type="containsText" dxfId="645" priority="431" operator="containsText" text="TB">
      <formula>NOT(ISERROR(SEARCH("TB",D23)))</formula>
    </cfRule>
    <cfRule type="containsText" dxfId="644" priority="432" operator="containsText" text="T">
      <formula>NOT(ISERROR(SEARCH("T",D23)))</formula>
    </cfRule>
  </conditionalFormatting>
  <conditionalFormatting sqref="D23 F23:N23">
    <cfRule type="containsText" dxfId="643" priority="429" operator="containsText" text="TB">
      <formula>NOT(ISERROR(SEARCH("TB",D23)))</formula>
    </cfRule>
  </conditionalFormatting>
  <conditionalFormatting sqref="D26 F26:N26">
    <cfRule type="containsText" dxfId="642" priority="426" operator="containsText" text="B">
      <formula>NOT(ISERROR(SEARCH("B",D26)))</formula>
    </cfRule>
    <cfRule type="containsText" dxfId="641" priority="427" operator="containsText" text="TB">
      <formula>NOT(ISERROR(SEARCH("TB",D26)))</formula>
    </cfRule>
    <cfRule type="containsText" dxfId="640" priority="428" operator="containsText" text="T">
      <formula>NOT(ISERROR(SEARCH("T",D26)))</formula>
    </cfRule>
  </conditionalFormatting>
  <conditionalFormatting sqref="D26 F26:N26">
    <cfRule type="containsText" dxfId="639" priority="425" operator="containsText" text="TB">
      <formula>NOT(ISERROR(SEARCH("TB",D26)))</formula>
    </cfRule>
  </conditionalFormatting>
  <conditionalFormatting sqref="D28:D30 F28:N30">
    <cfRule type="containsText" dxfId="638" priority="422" operator="containsText" text="B">
      <formula>NOT(ISERROR(SEARCH("B",D28)))</formula>
    </cfRule>
    <cfRule type="containsText" dxfId="637" priority="423" operator="containsText" text="TB">
      <formula>NOT(ISERROR(SEARCH("TB",D28)))</formula>
    </cfRule>
    <cfRule type="containsText" dxfId="636" priority="424" operator="containsText" text="T">
      <formula>NOT(ISERROR(SEARCH("T",D28)))</formula>
    </cfRule>
  </conditionalFormatting>
  <conditionalFormatting sqref="D28:D30 F28:N30">
    <cfRule type="containsText" dxfId="635" priority="421" operator="containsText" text="TB">
      <formula>NOT(ISERROR(SEARCH("TB",D28)))</formula>
    </cfRule>
  </conditionalFormatting>
  <conditionalFormatting sqref="D32:D33 F32:N33">
    <cfRule type="containsText" dxfId="634" priority="418" operator="containsText" text="B">
      <formula>NOT(ISERROR(SEARCH("B",D32)))</formula>
    </cfRule>
    <cfRule type="containsText" dxfId="633" priority="419" operator="containsText" text="TB">
      <formula>NOT(ISERROR(SEARCH("TB",D32)))</formula>
    </cfRule>
    <cfRule type="containsText" dxfId="632" priority="420" operator="containsText" text="T">
      <formula>NOT(ISERROR(SEARCH("T",D32)))</formula>
    </cfRule>
  </conditionalFormatting>
  <conditionalFormatting sqref="D32:D33 F32:N33">
    <cfRule type="containsText" dxfId="631" priority="417" operator="containsText" text="TB">
      <formula>NOT(ISERROR(SEARCH("TB",D32)))</formula>
    </cfRule>
  </conditionalFormatting>
  <conditionalFormatting sqref="D36:D38 F36:N38">
    <cfRule type="containsText" dxfId="630" priority="414" operator="containsText" text="B">
      <formula>NOT(ISERROR(SEARCH("B",D36)))</formula>
    </cfRule>
    <cfRule type="containsText" dxfId="629" priority="415" operator="containsText" text="TB">
      <formula>NOT(ISERROR(SEARCH("TB",D36)))</formula>
    </cfRule>
    <cfRule type="containsText" dxfId="628" priority="416" operator="containsText" text="T">
      <formula>NOT(ISERROR(SEARCH("T",D36)))</formula>
    </cfRule>
  </conditionalFormatting>
  <conditionalFormatting sqref="D36:D38 F36:N38">
    <cfRule type="containsText" dxfId="627" priority="413" operator="containsText" text="TB">
      <formula>NOT(ISERROR(SEARCH("TB",D36)))</formula>
    </cfRule>
  </conditionalFormatting>
  <conditionalFormatting sqref="D44:D45 F44:N45">
    <cfRule type="containsText" dxfId="626" priority="410" operator="containsText" text="B">
      <formula>NOT(ISERROR(SEARCH("B",D44)))</formula>
    </cfRule>
    <cfRule type="containsText" dxfId="625" priority="411" operator="containsText" text="TB">
      <formula>NOT(ISERROR(SEARCH("TB",D44)))</formula>
    </cfRule>
    <cfRule type="containsText" dxfId="624" priority="412" operator="containsText" text="T">
      <formula>NOT(ISERROR(SEARCH("T",D44)))</formula>
    </cfRule>
  </conditionalFormatting>
  <conditionalFormatting sqref="D44:D45 F44:N45">
    <cfRule type="containsText" dxfId="623" priority="409" operator="containsText" text="TB">
      <formula>NOT(ISERROR(SEARCH("TB",D44)))</formula>
    </cfRule>
  </conditionalFormatting>
  <conditionalFormatting sqref="D46:D48 F46:N48">
    <cfRule type="containsText" dxfId="622" priority="406" operator="containsText" text="B">
      <formula>NOT(ISERROR(SEARCH("B",D46)))</formula>
    </cfRule>
    <cfRule type="containsText" dxfId="621" priority="407" operator="containsText" text="TB">
      <formula>NOT(ISERROR(SEARCH("TB",D46)))</formula>
    </cfRule>
    <cfRule type="containsText" dxfId="620" priority="408" operator="containsText" text="T">
      <formula>NOT(ISERROR(SEARCH("T",D46)))</formula>
    </cfRule>
  </conditionalFormatting>
  <conditionalFormatting sqref="D46:D48 F46:N48">
    <cfRule type="containsText" dxfId="619" priority="405" operator="containsText" text="TB">
      <formula>NOT(ISERROR(SEARCH("TB",D46)))</formula>
    </cfRule>
  </conditionalFormatting>
  <conditionalFormatting sqref="E53:M53">
    <cfRule type="containsText" dxfId="618" priority="402" operator="containsText" text="B">
      <formula>NOT(ISERROR(SEARCH("B",E53)))</formula>
    </cfRule>
    <cfRule type="containsText" dxfId="617" priority="403" operator="containsText" text="TB">
      <formula>NOT(ISERROR(SEARCH("TB",E53)))</formula>
    </cfRule>
    <cfRule type="containsText" dxfId="616" priority="404" operator="containsText" text="T">
      <formula>NOT(ISERROR(SEARCH("T",E53)))</formula>
    </cfRule>
  </conditionalFormatting>
  <conditionalFormatting sqref="E53:M53">
    <cfRule type="containsText" dxfId="615" priority="401" operator="containsText" text="TB">
      <formula>NOT(ISERROR(SEARCH("TB",E53)))</formula>
    </cfRule>
  </conditionalFormatting>
  <conditionalFormatting sqref="E56:M56">
    <cfRule type="containsText" dxfId="614" priority="398" operator="containsText" text="B">
      <formula>NOT(ISERROR(SEARCH("B",E56)))</formula>
    </cfRule>
    <cfRule type="containsText" dxfId="613" priority="399" operator="containsText" text="TB">
      <formula>NOT(ISERROR(SEARCH("TB",E56)))</formula>
    </cfRule>
    <cfRule type="containsText" dxfId="612" priority="400" operator="containsText" text="T">
      <formula>NOT(ISERROR(SEARCH("T",E56)))</formula>
    </cfRule>
  </conditionalFormatting>
  <conditionalFormatting sqref="E56:M56">
    <cfRule type="containsText" dxfId="611" priority="397" operator="containsText" text="TB">
      <formula>NOT(ISERROR(SEARCH("TB",E56)))</formula>
    </cfRule>
  </conditionalFormatting>
  <conditionalFormatting sqref="E57:M57">
    <cfRule type="containsText" dxfId="610" priority="394" operator="containsText" text="B">
      <formula>NOT(ISERROR(SEARCH("B",E57)))</formula>
    </cfRule>
    <cfRule type="containsText" dxfId="609" priority="395" operator="containsText" text="TB">
      <formula>NOT(ISERROR(SEARCH("TB",E57)))</formula>
    </cfRule>
    <cfRule type="containsText" dxfId="608" priority="396" operator="containsText" text="T">
      <formula>NOT(ISERROR(SEARCH("T",E57)))</formula>
    </cfRule>
  </conditionalFormatting>
  <conditionalFormatting sqref="E57:M57">
    <cfRule type="containsText" dxfId="607" priority="393" operator="containsText" text="TB">
      <formula>NOT(ISERROR(SEARCH("TB",E57)))</formula>
    </cfRule>
  </conditionalFormatting>
  <conditionalFormatting sqref="E59:M60">
    <cfRule type="containsText" dxfId="606" priority="390" operator="containsText" text="B">
      <formula>NOT(ISERROR(SEARCH("B",E59)))</formula>
    </cfRule>
    <cfRule type="containsText" dxfId="605" priority="391" operator="containsText" text="TB">
      <formula>NOT(ISERROR(SEARCH("TB",E59)))</formula>
    </cfRule>
    <cfRule type="containsText" dxfId="604" priority="392" operator="containsText" text="T">
      <formula>NOT(ISERROR(SEARCH("T",E59)))</formula>
    </cfRule>
  </conditionalFormatting>
  <conditionalFormatting sqref="E59:M60">
    <cfRule type="containsText" dxfId="603" priority="389" operator="containsText" text="TB">
      <formula>NOT(ISERROR(SEARCH("TB",E59)))</formula>
    </cfRule>
  </conditionalFormatting>
  <conditionalFormatting sqref="E65:M65">
    <cfRule type="containsText" dxfId="602" priority="386" operator="containsText" text="B">
      <formula>NOT(ISERROR(SEARCH("B",E65)))</formula>
    </cfRule>
    <cfRule type="containsText" dxfId="601" priority="387" operator="containsText" text="TB">
      <formula>NOT(ISERROR(SEARCH("TB",E65)))</formula>
    </cfRule>
    <cfRule type="containsText" dxfId="600" priority="388" operator="containsText" text="T">
      <formula>NOT(ISERROR(SEARCH("T",E65)))</formula>
    </cfRule>
  </conditionalFormatting>
  <conditionalFormatting sqref="E65:M65">
    <cfRule type="containsText" dxfId="599" priority="385" operator="containsText" text="TB">
      <formula>NOT(ISERROR(SEARCH("TB",E65)))</formula>
    </cfRule>
  </conditionalFormatting>
  <conditionalFormatting sqref="E67:N67">
    <cfRule type="containsText" dxfId="598" priority="382" operator="containsText" text="B">
      <formula>NOT(ISERROR(SEARCH("B",E67)))</formula>
    </cfRule>
    <cfRule type="containsText" dxfId="597" priority="383" operator="containsText" text="TB">
      <formula>NOT(ISERROR(SEARCH("TB",E67)))</formula>
    </cfRule>
    <cfRule type="containsText" dxfId="596" priority="384" operator="containsText" text="T">
      <formula>NOT(ISERROR(SEARCH("T",E67)))</formula>
    </cfRule>
  </conditionalFormatting>
  <conditionalFormatting sqref="E67:N67">
    <cfRule type="containsText" dxfId="595" priority="381" operator="containsText" text="TB">
      <formula>NOT(ISERROR(SEARCH("TB",E67)))</formula>
    </cfRule>
  </conditionalFormatting>
  <conditionalFormatting sqref="E70:M70">
    <cfRule type="containsText" dxfId="594" priority="378" operator="containsText" text="B">
      <formula>NOT(ISERROR(SEARCH("B",E70)))</formula>
    </cfRule>
    <cfRule type="containsText" dxfId="593" priority="379" operator="containsText" text="TB">
      <formula>NOT(ISERROR(SEARCH("TB",E70)))</formula>
    </cfRule>
    <cfRule type="containsText" dxfId="592" priority="380" operator="containsText" text="T">
      <formula>NOT(ISERROR(SEARCH("T",E70)))</formula>
    </cfRule>
  </conditionalFormatting>
  <conditionalFormatting sqref="E70:M70">
    <cfRule type="containsText" dxfId="591" priority="377" operator="containsText" text="TB">
      <formula>NOT(ISERROR(SEARCH("TB",E70)))</formula>
    </cfRule>
  </conditionalFormatting>
  <conditionalFormatting sqref="E73:M74">
    <cfRule type="containsText" dxfId="590" priority="374" operator="containsText" text="B">
      <formula>NOT(ISERROR(SEARCH("B",E73)))</formula>
    </cfRule>
    <cfRule type="containsText" dxfId="589" priority="375" operator="containsText" text="TB">
      <formula>NOT(ISERROR(SEARCH("TB",E73)))</formula>
    </cfRule>
    <cfRule type="containsText" dxfId="588" priority="376" operator="containsText" text="T">
      <formula>NOT(ISERROR(SEARCH("T",E73)))</formula>
    </cfRule>
  </conditionalFormatting>
  <conditionalFormatting sqref="E73:M74">
    <cfRule type="containsText" dxfId="587" priority="373" operator="containsText" text="TB">
      <formula>NOT(ISERROR(SEARCH("TB",E73)))</formula>
    </cfRule>
  </conditionalFormatting>
  <conditionalFormatting sqref="D109:D110 F109:N110">
    <cfRule type="containsText" dxfId="586" priority="370" operator="containsText" text="B">
      <formula>NOT(ISERROR(SEARCH("B",D109)))</formula>
    </cfRule>
    <cfRule type="containsText" dxfId="585" priority="371" operator="containsText" text="TB">
      <formula>NOT(ISERROR(SEARCH("TB",D109)))</formula>
    </cfRule>
    <cfRule type="containsText" dxfId="584" priority="372" operator="containsText" text="T">
      <formula>NOT(ISERROR(SEARCH("T",D109)))</formula>
    </cfRule>
  </conditionalFormatting>
  <conditionalFormatting sqref="D109:D110 F109:N110">
    <cfRule type="containsText" dxfId="583" priority="369" operator="containsText" text="TB">
      <formula>NOT(ISERROR(SEARCH("TB",D109)))</formula>
    </cfRule>
  </conditionalFormatting>
  <conditionalFormatting sqref="D116 F116:N116">
    <cfRule type="containsText" dxfId="582" priority="366" operator="containsText" text="B">
      <formula>NOT(ISERROR(SEARCH("B",D116)))</formula>
    </cfRule>
    <cfRule type="containsText" dxfId="581" priority="367" operator="containsText" text="TB">
      <formula>NOT(ISERROR(SEARCH("TB",D116)))</formula>
    </cfRule>
    <cfRule type="containsText" dxfId="580" priority="368" operator="containsText" text="T">
      <formula>NOT(ISERROR(SEARCH("T",D116)))</formula>
    </cfRule>
  </conditionalFormatting>
  <conditionalFormatting sqref="D116 F116:N116">
    <cfRule type="containsText" dxfId="579" priority="365" operator="containsText" text="TB">
      <formula>NOT(ISERROR(SEARCH("TB",D116)))</formula>
    </cfRule>
  </conditionalFormatting>
  <conditionalFormatting sqref="D117 F117:N117">
    <cfRule type="containsText" dxfId="578" priority="362" operator="containsText" text="B">
      <formula>NOT(ISERROR(SEARCH("B",D117)))</formula>
    </cfRule>
    <cfRule type="containsText" dxfId="577" priority="363" operator="containsText" text="TB">
      <formula>NOT(ISERROR(SEARCH("TB",D117)))</formula>
    </cfRule>
    <cfRule type="containsText" dxfId="576" priority="364" operator="containsText" text="T">
      <formula>NOT(ISERROR(SEARCH("T",D117)))</formula>
    </cfRule>
  </conditionalFormatting>
  <conditionalFormatting sqref="D117 F117:N117">
    <cfRule type="containsText" dxfId="575" priority="361" operator="containsText" text="TB">
      <formula>NOT(ISERROR(SEARCH("TB",D117)))</formula>
    </cfRule>
  </conditionalFormatting>
  <conditionalFormatting sqref="F118:O119">
    <cfRule type="containsText" dxfId="574" priority="358" operator="containsText" text="B">
      <formula>NOT(ISERROR(SEARCH("B",F118)))</formula>
    </cfRule>
    <cfRule type="containsText" dxfId="573" priority="359" operator="containsText" text="TB">
      <formula>NOT(ISERROR(SEARCH("TB",F118)))</formula>
    </cfRule>
    <cfRule type="containsText" dxfId="572" priority="360" operator="containsText" text="T">
      <formula>NOT(ISERROR(SEARCH("T",F118)))</formula>
    </cfRule>
  </conditionalFormatting>
  <conditionalFormatting sqref="F118:O119">
    <cfRule type="containsText" dxfId="571" priority="357" operator="containsText" text="TB">
      <formula>NOT(ISERROR(SEARCH("TB",F118)))</formula>
    </cfRule>
  </conditionalFormatting>
  <conditionalFormatting sqref="D121:D122 F121:N122">
    <cfRule type="containsText" dxfId="570" priority="354" operator="containsText" text="B">
      <formula>NOT(ISERROR(SEARCH("B",D121)))</formula>
    </cfRule>
    <cfRule type="containsText" dxfId="569" priority="355" operator="containsText" text="TB">
      <formula>NOT(ISERROR(SEARCH("TB",D121)))</formula>
    </cfRule>
    <cfRule type="containsText" dxfId="568" priority="356" operator="containsText" text="T">
      <formula>NOT(ISERROR(SEARCH("T",D121)))</formula>
    </cfRule>
  </conditionalFormatting>
  <conditionalFormatting sqref="D121:D122 F121:N122">
    <cfRule type="containsText" dxfId="567" priority="353" operator="containsText" text="TB">
      <formula>NOT(ISERROR(SEARCH("TB",D121)))</formula>
    </cfRule>
  </conditionalFormatting>
  <conditionalFormatting sqref="D125 F125:N125">
    <cfRule type="containsText" dxfId="566" priority="350" operator="containsText" text="B">
      <formula>NOT(ISERROR(SEARCH("B",D125)))</formula>
    </cfRule>
    <cfRule type="containsText" dxfId="565" priority="351" operator="containsText" text="TB">
      <formula>NOT(ISERROR(SEARCH("TB",D125)))</formula>
    </cfRule>
    <cfRule type="containsText" dxfId="564" priority="352" operator="containsText" text="T">
      <formula>NOT(ISERROR(SEARCH("T",D125)))</formula>
    </cfRule>
  </conditionalFormatting>
  <conditionalFormatting sqref="D125 F125:N125">
    <cfRule type="containsText" dxfId="563" priority="349" operator="containsText" text="TB">
      <formula>NOT(ISERROR(SEARCH("TB",D125)))</formula>
    </cfRule>
  </conditionalFormatting>
  <conditionalFormatting sqref="E61:J62">
    <cfRule type="containsText" dxfId="562" priority="346" operator="containsText" text="B">
      <formula>NOT(ISERROR(SEARCH("B",E61)))</formula>
    </cfRule>
    <cfRule type="containsText" dxfId="561" priority="347" operator="containsText" text="TB">
      <formula>NOT(ISERROR(SEARCH("TB",E61)))</formula>
    </cfRule>
    <cfRule type="containsText" dxfId="560" priority="348" operator="containsText" text="T">
      <formula>NOT(ISERROR(SEARCH("T",E61)))</formula>
    </cfRule>
  </conditionalFormatting>
  <conditionalFormatting sqref="E61:J62">
    <cfRule type="containsText" dxfId="559" priority="345" operator="containsText" text="TB">
      <formula>NOT(ISERROR(SEARCH("TB",E61)))</formula>
    </cfRule>
  </conditionalFormatting>
  <conditionalFormatting sqref="E66:J66">
    <cfRule type="containsText" dxfId="558" priority="342" operator="containsText" text="B">
      <formula>NOT(ISERROR(SEARCH("B",E66)))</formula>
    </cfRule>
    <cfRule type="containsText" dxfId="557" priority="343" operator="containsText" text="TB">
      <formula>NOT(ISERROR(SEARCH("TB",E66)))</formula>
    </cfRule>
    <cfRule type="containsText" dxfId="556" priority="344" operator="containsText" text="T">
      <formula>NOT(ISERROR(SEARCH("T",E66)))</formula>
    </cfRule>
  </conditionalFormatting>
  <conditionalFormatting sqref="E66:J66">
    <cfRule type="containsText" dxfId="555" priority="341" operator="containsText" text="TB">
      <formula>NOT(ISERROR(SEARCH("TB",E66)))</formula>
    </cfRule>
  </conditionalFormatting>
  <conditionalFormatting sqref="E68:M68">
    <cfRule type="containsText" dxfId="554" priority="338" operator="containsText" text="B">
      <formula>NOT(ISERROR(SEARCH("B",E68)))</formula>
    </cfRule>
    <cfRule type="containsText" dxfId="553" priority="339" operator="containsText" text="TB">
      <formula>NOT(ISERROR(SEARCH("TB",E68)))</formula>
    </cfRule>
    <cfRule type="containsText" dxfId="552" priority="340" operator="containsText" text="T">
      <formula>NOT(ISERROR(SEARCH("T",E68)))</formula>
    </cfRule>
  </conditionalFormatting>
  <conditionalFormatting sqref="E68:M68">
    <cfRule type="containsText" dxfId="551" priority="337" operator="containsText" text="TB">
      <formula>NOT(ISERROR(SEARCH("TB",E68)))</formula>
    </cfRule>
  </conditionalFormatting>
  <conditionalFormatting sqref="E69:J69">
    <cfRule type="containsText" dxfId="550" priority="334" operator="containsText" text="B">
      <formula>NOT(ISERROR(SEARCH("B",E69)))</formula>
    </cfRule>
    <cfRule type="containsText" dxfId="549" priority="335" operator="containsText" text="TB">
      <formula>NOT(ISERROR(SEARCH("TB",E69)))</formula>
    </cfRule>
    <cfRule type="containsText" dxfId="548" priority="336" operator="containsText" text="T">
      <formula>NOT(ISERROR(SEARCH("T",E69)))</formula>
    </cfRule>
  </conditionalFormatting>
  <conditionalFormatting sqref="E69:J69">
    <cfRule type="containsText" dxfId="547" priority="333" operator="containsText" text="TB">
      <formula>NOT(ISERROR(SEARCH("TB",E69)))</formula>
    </cfRule>
  </conditionalFormatting>
  <conditionalFormatting sqref="D113:D114 F113:K114">
    <cfRule type="containsText" dxfId="546" priority="330" operator="containsText" text="B">
      <formula>NOT(ISERROR(SEARCH("B",D113)))</formula>
    </cfRule>
    <cfRule type="containsText" dxfId="545" priority="331" operator="containsText" text="TB">
      <formula>NOT(ISERROR(SEARCH("TB",D113)))</formula>
    </cfRule>
    <cfRule type="containsText" dxfId="544" priority="332" operator="containsText" text="T">
      <formula>NOT(ISERROR(SEARCH("T",D113)))</formula>
    </cfRule>
  </conditionalFormatting>
  <conditionalFormatting sqref="D113:D114 F113:K114">
    <cfRule type="containsText" dxfId="543" priority="329" operator="containsText" text="TB">
      <formula>NOT(ISERROR(SEARCH("TB",D113)))</formula>
    </cfRule>
  </conditionalFormatting>
  <conditionalFormatting sqref="D171:N172">
    <cfRule type="containsText" dxfId="542" priority="326" operator="containsText" text="B">
      <formula>NOT(ISERROR(SEARCH("B",D171)))</formula>
    </cfRule>
    <cfRule type="containsText" dxfId="541" priority="327" operator="containsText" text="TB">
      <formula>NOT(ISERROR(SEARCH("TB",D171)))</formula>
    </cfRule>
    <cfRule type="containsText" dxfId="540" priority="328" operator="containsText" text="T">
      <formula>NOT(ISERROR(SEARCH("T",D171)))</formula>
    </cfRule>
  </conditionalFormatting>
  <conditionalFormatting sqref="D171:N172">
    <cfRule type="containsText" dxfId="539" priority="325" operator="containsText" text="TB">
      <formula>NOT(ISERROR(SEARCH("TB",D171)))</formula>
    </cfRule>
  </conditionalFormatting>
  <conditionalFormatting sqref="D130 F130:AH130">
    <cfRule type="containsText" dxfId="538" priority="322" operator="containsText" text="B">
      <formula>NOT(ISERROR(SEARCH("B",D130)))</formula>
    </cfRule>
    <cfRule type="containsText" dxfId="537" priority="323" operator="containsText" text="TB">
      <formula>NOT(ISERROR(SEARCH("TB",D130)))</formula>
    </cfRule>
    <cfRule type="containsText" dxfId="536" priority="324" operator="containsText" text="T">
      <formula>NOT(ISERROR(SEARCH("T",D130)))</formula>
    </cfRule>
  </conditionalFormatting>
  <conditionalFormatting sqref="D130 F130:AH130">
    <cfRule type="containsText" dxfId="535" priority="321" operator="containsText" text="TB">
      <formula>NOT(ISERROR(SEARCH("TB",D130)))</formula>
    </cfRule>
  </conditionalFormatting>
  <conditionalFormatting sqref="E25 E31 E34:E35 E39:E40 E49 D52 D54:D55 D58 D71:D72 E111 E115 E118:E120 E123:E124 E126:E129 D63:D64 E131:E142">
    <cfRule type="containsText" dxfId="534" priority="318" operator="containsText" text="B">
      <formula>NOT(ISERROR(SEARCH("B",D25)))</formula>
    </cfRule>
    <cfRule type="containsText" dxfId="533" priority="319" operator="containsText" text="TB">
      <formula>NOT(ISERROR(SEARCH("TB",D25)))</formula>
    </cfRule>
    <cfRule type="containsText" dxfId="532" priority="320" operator="containsText" text="T">
      <formula>NOT(ISERROR(SEARCH("T",D25)))</formula>
    </cfRule>
  </conditionalFormatting>
  <conditionalFormatting sqref="E25 E31 E34:E35 E39:E40 E49 D52 D54:D55 D58 D71:D72 E111 E115 E118:E120 E123:E124 E126:E129 D63:D64 E131:E142">
    <cfRule type="containsText" dxfId="531" priority="317" operator="containsText" text="TB">
      <formula>NOT(ISERROR(SEARCH("TB",D25)))</formula>
    </cfRule>
  </conditionalFormatting>
  <conditionalFormatting sqref="E8:E12 E20 E22 E24">
    <cfRule type="containsText" dxfId="530" priority="314" operator="containsText" text="B">
      <formula>NOT(ISERROR(SEARCH("B",E8)))</formula>
    </cfRule>
    <cfRule type="containsText" dxfId="529" priority="315" operator="containsText" text="TB">
      <formula>NOT(ISERROR(SEARCH("TB",E8)))</formula>
    </cfRule>
    <cfRule type="containsText" dxfId="528" priority="316" operator="containsText" text="T">
      <formula>NOT(ISERROR(SEARCH("T",E8)))</formula>
    </cfRule>
  </conditionalFormatting>
  <conditionalFormatting sqref="E8:E12 E20 E22 E24">
    <cfRule type="containsText" dxfId="527" priority="313" operator="containsText" text="TB">
      <formula>NOT(ISERROR(SEARCH("TB",E8)))</formula>
    </cfRule>
  </conditionalFormatting>
  <conditionalFormatting sqref="E7">
    <cfRule type="containsText" dxfId="526" priority="310" operator="containsText" text="B">
      <formula>NOT(ISERROR(SEARCH("B",E7)))</formula>
    </cfRule>
    <cfRule type="containsText" dxfId="525" priority="311" operator="containsText" text="TB">
      <formula>NOT(ISERROR(SEARCH("TB",E7)))</formula>
    </cfRule>
    <cfRule type="containsText" dxfId="524" priority="312" operator="containsText" text="T">
      <formula>NOT(ISERROR(SEARCH("T",E7)))</formula>
    </cfRule>
  </conditionalFormatting>
  <conditionalFormatting sqref="E7">
    <cfRule type="containsText" dxfId="523" priority="309" operator="containsText" text="TB">
      <formula>NOT(ISERROR(SEARCH("TB",E7)))</formula>
    </cfRule>
  </conditionalFormatting>
  <conditionalFormatting sqref="E13:E14">
    <cfRule type="containsText" dxfId="522" priority="306" operator="containsText" text="B">
      <formula>NOT(ISERROR(SEARCH("B",E13)))</formula>
    </cfRule>
    <cfRule type="containsText" dxfId="521" priority="307" operator="containsText" text="TB">
      <formula>NOT(ISERROR(SEARCH("TB",E13)))</formula>
    </cfRule>
    <cfRule type="containsText" dxfId="520" priority="308" operator="containsText" text="T">
      <formula>NOT(ISERROR(SEARCH("T",E13)))</formula>
    </cfRule>
  </conditionalFormatting>
  <conditionalFormatting sqref="E13:E14">
    <cfRule type="containsText" dxfId="519" priority="305" operator="containsText" text="TB">
      <formula>NOT(ISERROR(SEARCH("TB",E13)))</formula>
    </cfRule>
  </conditionalFormatting>
  <conditionalFormatting sqref="E19">
    <cfRule type="containsText" dxfId="518" priority="302" operator="containsText" text="B">
      <formula>NOT(ISERROR(SEARCH("B",E19)))</formula>
    </cfRule>
    <cfRule type="containsText" dxfId="517" priority="303" operator="containsText" text="TB">
      <formula>NOT(ISERROR(SEARCH("TB",E19)))</formula>
    </cfRule>
    <cfRule type="containsText" dxfId="516" priority="304" operator="containsText" text="T">
      <formula>NOT(ISERROR(SEARCH("T",E19)))</formula>
    </cfRule>
  </conditionalFormatting>
  <conditionalFormatting sqref="E19">
    <cfRule type="containsText" dxfId="515" priority="301" operator="containsText" text="TB">
      <formula>NOT(ISERROR(SEARCH("TB",E19)))</formula>
    </cfRule>
  </conditionalFormatting>
  <conditionalFormatting sqref="E21">
    <cfRule type="containsText" dxfId="514" priority="298" operator="containsText" text="B">
      <formula>NOT(ISERROR(SEARCH("B",E21)))</formula>
    </cfRule>
    <cfRule type="containsText" dxfId="513" priority="299" operator="containsText" text="TB">
      <formula>NOT(ISERROR(SEARCH("TB",E21)))</formula>
    </cfRule>
    <cfRule type="containsText" dxfId="512" priority="300" operator="containsText" text="T">
      <formula>NOT(ISERROR(SEARCH("T",E21)))</formula>
    </cfRule>
  </conditionalFormatting>
  <conditionalFormatting sqref="E21">
    <cfRule type="containsText" dxfId="511" priority="297" operator="containsText" text="TB">
      <formula>NOT(ISERROR(SEARCH("TB",E21)))</formula>
    </cfRule>
  </conditionalFormatting>
  <conditionalFormatting sqref="E23">
    <cfRule type="containsText" dxfId="510" priority="294" operator="containsText" text="B">
      <formula>NOT(ISERROR(SEARCH("B",E23)))</formula>
    </cfRule>
    <cfRule type="containsText" dxfId="509" priority="295" operator="containsText" text="TB">
      <formula>NOT(ISERROR(SEARCH("TB",E23)))</formula>
    </cfRule>
    <cfRule type="containsText" dxfId="508" priority="296" operator="containsText" text="T">
      <formula>NOT(ISERROR(SEARCH("T",E23)))</formula>
    </cfRule>
  </conditionalFormatting>
  <conditionalFormatting sqref="E23">
    <cfRule type="containsText" dxfId="507" priority="293" operator="containsText" text="TB">
      <formula>NOT(ISERROR(SEARCH("TB",E23)))</formula>
    </cfRule>
  </conditionalFormatting>
  <conditionalFormatting sqref="E26">
    <cfRule type="containsText" dxfId="506" priority="290" operator="containsText" text="B">
      <formula>NOT(ISERROR(SEARCH("B",E26)))</formula>
    </cfRule>
    <cfRule type="containsText" dxfId="505" priority="291" operator="containsText" text="TB">
      <formula>NOT(ISERROR(SEARCH("TB",E26)))</formula>
    </cfRule>
    <cfRule type="containsText" dxfId="504" priority="292" operator="containsText" text="T">
      <formula>NOT(ISERROR(SEARCH("T",E26)))</formula>
    </cfRule>
  </conditionalFormatting>
  <conditionalFormatting sqref="E26">
    <cfRule type="containsText" dxfId="503" priority="289" operator="containsText" text="TB">
      <formula>NOT(ISERROR(SEARCH("TB",E26)))</formula>
    </cfRule>
  </conditionalFormatting>
  <conditionalFormatting sqref="E28:E30">
    <cfRule type="containsText" dxfId="502" priority="286" operator="containsText" text="B">
      <formula>NOT(ISERROR(SEARCH("B",E28)))</formula>
    </cfRule>
    <cfRule type="containsText" dxfId="501" priority="287" operator="containsText" text="TB">
      <formula>NOT(ISERROR(SEARCH("TB",E28)))</formula>
    </cfRule>
    <cfRule type="containsText" dxfId="500" priority="288" operator="containsText" text="T">
      <formula>NOT(ISERROR(SEARCH("T",E28)))</formula>
    </cfRule>
  </conditionalFormatting>
  <conditionalFormatting sqref="E28:E30">
    <cfRule type="containsText" dxfId="499" priority="285" operator="containsText" text="TB">
      <formula>NOT(ISERROR(SEARCH("TB",E28)))</formula>
    </cfRule>
  </conditionalFormatting>
  <conditionalFormatting sqref="E32:E33">
    <cfRule type="containsText" dxfId="498" priority="282" operator="containsText" text="B">
      <formula>NOT(ISERROR(SEARCH("B",E32)))</formula>
    </cfRule>
    <cfRule type="containsText" dxfId="497" priority="283" operator="containsText" text="TB">
      <formula>NOT(ISERROR(SEARCH("TB",E32)))</formula>
    </cfRule>
    <cfRule type="containsText" dxfId="496" priority="284" operator="containsText" text="T">
      <formula>NOT(ISERROR(SEARCH("T",E32)))</formula>
    </cfRule>
  </conditionalFormatting>
  <conditionalFormatting sqref="E32:E33">
    <cfRule type="containsText" dxfId="495" priority="281" operator="containsText" text="TB">
      <formula>NOT(ISERROR(SEARCH("TB",E32)))</formula>
    </cfRule>
  </conditionalFormatting>
  <conditionalFormatting sqref="E36:E38">
    <cfRule type="containsText" dxfId="494" priority="278" operator="containsText" text="B">
      <formula>NOT(ISERROR(SEARCH("B",E36)))</formula>
    </cfRule>
    <cfRule type="containsText" dxfId="493" priority="279" operator="containsText" text="TB">
      <formula>NOT(ISERROR(SEARCH("TB",E36)))</formula>
    </cfRule>
    <cfRule type="containsText" dxfId="492" priority="280" operator="containsText" text="T">
      <formula>NOT(ISERROR(SEARCH("T",E36)))</formula>
    </cfRule>
  </conditionalFormatting>
  <conditionalFormatting sqref="E36:E38">
    <cfRule type="containsText" dxfId="491" priority="277" operator="containsText" text="TB">
      <formula>NOT(ISERROR(SEARCH("TB",E36)))</formula>
    </cfRule>
  </conditionalFormatting>
  <conditionalFormatting sqref="E44:E45">
    <cfRule type="containsText" dxfId="490" priority="274" operator="containsText" text="B">
      <formula>NOT(ISERROR(SEARCH("B",E44)))</formula>
    </cfRule>
    <cfRule type="containsText" dxfId="489" priority="275" operator="containsText" text="TB">
      <formula>NOT(ISERROR(SEARCH("TB",E44)))</formula>
    </cfRule>
    <cfRule type="containsText" dxfId="488" priority="276" operator="containsText" text="T">
      <formula>NOT(ISERROR(SEARCH("T",E44)))</formula>
    </cfRule>
  </conditionalFormatting>
  <conditionalFormatting sqref="E44:E45">
    <cfRule type="containsText" dxfId="487" priority="273" operator="containsText" text="TB">
      <formula>NOT(ISERROR(SEARCH("TB",E44)))</formula>
    </cfRule>
  </conditionalFormatting>
  <conditionalFormatting sqref="E46:E48">
    <cfRule type="containsText" dxfId="486" priority="270" operator="containsText" text="B">
      <formula>NOT(ISERROR(SEARCH("B",E46)))</formula>
    </cfRule>
    <cfRule type="containsText" dxfId="485" priority="271" operator="containsText" text="TB">
      <formula>NOT(ISERROR(SEARCH("TB",E46)))</formula>
    </cfRule>
    <cfRule type="containsText" dxfId="484" priority="272" operator="containsText" text="T">
      <formula>NOT(ISERROR(SEARCH("T",E46)))</formula>
    </cfRule>
  </conditionalFormatting>
  <conditionalFormatting sqref="E46:E48">
    <cfRule type="containsText" dxfId="483" priority="269" operator="containsText" text="TB">
      <formula>NOT(ISERROR(SEARCH("TB",E46)))</formula>
    </cfRule>
  </conditionalFormatting>
  <conditionalFormatting sqref="D53">
    <cfRule type="containsText" dxfId="482" priority="266" operator="containsText" text="B">
      <formula>NOT(ISERROR(SEARCH("B",D53)))</formula>
    </cfRule>
    <cfRule type="containsText" dxfId="481" priority="267" operator="containsText" text="TB">
      <formula>NOT(ISERROR(SEARCH("TB",D53)))</formula>
    </cfRule>
    <cfRule type="containsText" dxfId="480" priority="268" operator="containsText" text="T">
      <formula>NOT(ISERROR(SEARCH("T",D53)))</formula>
    </cfRule>
  </conditionalFormatting>
  <conditionalFormatting sqref="D53">
    <cfRule type="containsText" dxfId="479" priority="265" operator="containsText" text="TB">
      <formula>NOT(ISERROR(SEARCH("TB",D53)))</formula>
    </cfRule>
  </conditionalFormatting>
  <conditionalFormatting sqref="D56">
    <cfRule type="containsText" dxfId="478" priority="262" operator="containsText" text="B">
      <formula>NOT(ISERROR(SEARCH("B",D56)))</formula>
    </cfRule>
    <cfRule type="containsText" dxfId="477" priority="263" operator="containsText" text="TB">
      <formula>NOT(ISERROR(SEARCH("TB",D56)))</formula>
    </cfRule>
    <cfRule type="containsText" dxfId="476" priority="264" operator="containsText" text="T">
      <formula>NOT(ISERROR(SEARCH("T",D56)))</formula>
    </cfRule>
  </conditionalFormatting>
  <conditionalFormatting sqref="D56">
    <cfRule type="containsText" dxfId="475" priority="261" operator="containsText" text="TB">
      <formula>NOT(ISERROR(SEARCH("TB",D56)))</formula>
    </cfRule>
  </conditionalFormatting>
  <conditionalFormatting sqref="D57">
    <cfRule type="containsText" dxfId="474" priority="258" operator="containsText" text="B">
      <formula>NOT(ISERROR(SEARCH("B",D57)))</formula>
    </cfRule>
    <cfRule type="containsText" dxfId="473" priority="259" operator="containsText" text="TB">
      <formula>NOT(ISERROR(SEARCH("TB",D57)))</formula>
    </cfRule>
    <cfRule type="containsText" dxfId="472" priority="260" operator="containsText" text="T">
      <formula>NOT(ISERROR(SEARCH("T",D57)))</formula>
    </cfRule>
  </conditionalFormatting>
  <conditionalFormatting sqref="D57">
    <cfRule type="containsText" dxfId="471" priority="257" operator="containsText" text="TB">
      <formula>NOT(ISERROR(SEARCH("TB",D57)))</formula>
    </cfRule>
  </conditionalFormatting>
  <conditionalFormatting sqref="D59:D60">
    <cfRule type="containsText" dxfId="470" priority="254" operator="containsText" text="B">
      <formula>NOT(ISERROR(SEARCH("B",D59)))</formula>
    </cfRule>
    <cfRule type="containsText" dxfId="469" priority="255" operator="containsText" text="TB">
      <formula>NOT(ISERROR(SEARCH("TB",D59)))</formula>
    </cfRule>
    <cfRule type="containsText" dxfId="468" priority="256" operator="containsText" text="T">
      <formula>NOT(ISERROR(SEARCH("T",D59)))</formula>
    </cfRule>
  </conditionalFormatting>
  <conditionalFormatting sqref="D59:D60">
    <cfRule type="containsText" dxfId="467" priority="253" operator="containsText" text="TB">
      <formula>NOT(ISERROR(SEARCH("TB",D59)))</formula>
    </cfRule>
  </conditionalFormatting>
  <conditionalFormatting sqref="D65">
    <cfRule type="containsText" dxfId="466" priority="250" operator="containsText" text="B">
      <formula>NOT(ISERROR(SEARCH("B",D65)))</formula>
    </cfRule>
    <cfRule type="containsText" dxfId="465" priority="251" operator="containsText" text="TB">
      <formula>NOT(ISERROR(SEARCH("TB",D65)))</formula>
    </cfRule>
    <cfRule type="containsText" dxfId="464" priority="252" operator="containsText" text="T">
      <formula>NOT(ISERROR(SEARCH("T",D65)))</formula>
    </cfRule>
  </conditionalFormatting>
  <conditionalFormatting sqref="D65">
    <cfRule type="containsText" dxfId="463" priority="249" operator="containsText" text="TB">
      <formula>NOT(ISERROR(SEARCH("TB",D65)))</formula>
    </cfRule>
  </conditionalFormatting>
  <conditionalFormatting sqref="D67">
    <cfRule type="containsText" dxfId="462" priority="246" operator="containsText" text="B">
      <formula>NOT(ISERROR(SEARCH("B",D67)))</formula>
    </cfRule>
    <cfRule type="containsText" dxfId="461" priority="247" operator="containsText" text="TB">
      <formula>NOT(ISERROR(SEARCH("TB",D67)))</formula>
    </cfRule>
    <cfRule type="containsText" dxfId="460" priority="248" operator="containsText" text="T">
      <formula>NOT(ISERROR(SEARCH("T",D67)))</formula>
    </cfRule>
  </conditionalFormatting>
  <conditionalFormatting sqref="D67">
    <cfRule type="containsText" dxfId="459" priority="245" operator="containsText" text="TB">
      <formula>NOT(ISERROR(SEARCH("TB",D67)))</formula>
    </cfRule>
  </conditionalFormatting>
  <conditionalFormatting sqref="D70">
    <cfRule type="containsText" dxfId="458" priority="242" operator="containsText" text="B">
      <formula>NOT(ISERROR(SEARCH("B",D70)))</formula>
    </cfRule>
    <cfRule type="containsText" dxfId="457" priority="243" operator="containsText" text="TB">
      <formula>NOT(ISERROR(SEARCH("TB",D70)))</formula>
    </cfRule>
    <cfRule type="containsText" dxfId="456" priority="244" operator="containsText" text="T">
      <formula>NOT(ISERROR(SEARCH("T",D70)))</formula>
    </cfRule>
  </conditionalFormatting>
  <conditionalFormatting sqref="D70">
    <cfRule type="containsText" dxfId="455" priority="241" operator="containsText" text="TB">
      <formula>NOT(ISERROR(SEARCH("TB",D70)))</formula>
    </cfRule>
  </conditionalFormatting>
  <conditionalFormatting sqref="D73:D74">
    <cfRule type="containsText" dxfId="454" priority="238" operator="containsText" text="B">
      <formula>NOT(ISERROR(SEARCH("B",D73)))</formula>
    </cfRule>
    <cfRule type="containsText" dxfId="453" priority="239" operator="containsText" text="TB">
      <formula>NOT(ISERROR(SEARCH("TB",D73)))</formula>
    </cfRule>
    <cfRule type="containsText" dxfId="452" priority="240" operator="containsText" text="T">
      <formula>NOT(ISERROR(SEARCH("T",D73)))</formula>
    </cfRule>
  </conditionalFormatting>
  <conditionalFormatting sqref="D73:D74">
    <cfRule type="containsText" dxfId="451" priority="237" operator="containsText" text="TB">
      <formula>NOT(ISERROR(SEARCH("TB",D73)))</formula>
    </cfRule>
  </conditionalFormatting>
  <conditionalFormatting sqref="E109:E110">
    <cfRule type="containsText" dxfId="450" priority="234" operator="containsText" text="B">
      <formula>NOT(ISERROR(SEARCH("B",E109)))</formula>
    </cfRule>
    <cfRule type="containsText" dxfId="449" priority="235" operator="containsText" text="TB">
      <formula>NOT(ISERROR(SEARCH("TB",E109)))</formula>
    </cfRule>
    <cfRule type="containsText" dxfId="448" priority="236" operator="containsText" text="T">
      <formula>NOT(ISERROR(SEARCH("T",E109)))</formula>
    </cfRule>
  </conditionalFormatting>
  <conditionalFormatting sqref="E109:E110">
    <cfRule type="containsText" dxfId="447" priority="233" operator="containsText" text="TB">
      <formula>NOT(ISERROR(SEARCH("TB",E109)))</formula>
    </cfRule>
  </conditionalFormatting>
  <conditionalFormatting sqref="E116">
    <cfRule type="containsText" dxfId="446" priority="230" operator="containsText" text="B">
      <formula>NOT(ISERROR(SEARCH("B",E116)))</formula>
    </cfRule>
    <cfRule type="containsText" dxfId="445" priority="231" operator="containsText" text="TB">
      <formula>NOT(ISERROR(SEARCH("TB",E116)))</formula>
    </cfRule>
    <cfRule type="containsText" dxfId="444" priority="232" operator="containsText" text="T">
      <formula>NOT(ISERROR(SEARCH("T",E116)))</formula>
    </cfRule>
  </conditionalFormatting>
  <conditionalFormatting sqref="E116">
    <cfRule type="containsText" dxfId="443" priority="229" operator="containsText" text="TB">
      <formula>NOT(ISERROR(SEARCH("TB",E116)))</formula>
    </cfRule>
  </conditionalFormatting>
  <conditionalFormatting sqref="E117">
    <cfRule type="containsText" dxfId="442" priority="226" operator="containsText" text="B">
      <formula>NOT(ISERROR(SEARCH("B",E117)))</formula>
    </cfRule>
    <cfRule type="containsText" dxfId="441" priority="227" operator="containsText" text="TB">
      <formula>NOT(ISERROR(SEARCH("TB",E117)))</formula>
    </cfRule>
    <cfRule type="containsText" dxfId="440" priority="228" operator="containsText" text="T">
      <formula>NOT(ISERROR(SEARCH("T",E117)))</formula>
    </cfRule>
  </conditionalFormatting>
  <conditionalFormatting sqref="E117">
    <cfRule type="containsText" dxfId="439" priority="225" operator="containsText" text="TB">
      <formula>NOT(ISERROR(SEARCH("TB",E117)))</formula>
    </cfRule>
  </conditionalFormatting>
  <conditionalFormatting sqref="E121:E122">
    <cfRule type="containsText" dxfId="438" priority="222" operator="containsText" text="B">
      <formula>NOT(ISERROR(SEARCH("B",E121)))</formula>
    </cfRule>
    <cfRule type="containsText" dxfId="437" priority="223" operator="containsText" text="TB">
      <formula>NOT(ISERROR(SEARCH("TB",E121)))</formula>
    </cfRule>
    <cfRule type="containsText" dxfId="436" priority="224" operator="containsText" text="T">
      <formula>NOT(ISERROR(SEARCH("T",E121)))</formula>
    </cfRule>
  </conditionalFormatting>
  <conditionalFormatting sqref="E121:E122">
    <cfRule type="containsText" dxfId="435" priority="221" operator="containsText" text="TB">
      <formula>NOT(ISERROR(SEARCH("TB",E121)))</formula>
    </cfRule>
  </conditionalFormatting>
  <conditionalFormatting sqref="E125">
    <cfRule type="containsText" dxfId="434" priority="218" operator="containsText" text="B">
      <formula>NOT(ISERROR(SEARCH("B",E125)))</formula>
    </cfRule>
    <cfRule type="containsText" dxfId="433" priority="219" operator="containsText" text="TB">
      <formula>NOT(ISERROR(SEARCH("TB",E125)))</formula>
    </cfRule>
    <cfRule type="containsText" dxfId="432" priority="220" operator="containsText" text="T">
      <formula>NOT(ISERROR(SEARCH("T",E125)))</formula>
    </cfRule>
  </conditionalFormatting>
  <conditionalFormatting sqref="E125">
    <cfRule type="containsText" dxfId="431" priority="217" operator="containsText" text="TB">
      <formula>NOT(ISERROR(SEARCH("TB",E125)))</formula>
    </cfRule>
  </conditionalFormatting>
  <conditionalFormatting sqref="D61:D62">
    <cfRule type="containsText" dxfId="430" priority="214" operator="containsText" text="B">
      <formula>NOT(ISERROR(SEARCH("B",D61)))</formula>
    </cfRule>
    <cfRule type="containsText" dxfId="429" priority="215" operator="containsText" text="TB">
      <formula>NOT(ISERROR(SEARCH("TB",D61)))</formula>
    </cfRule>
    <cfRule type="containsText" dxfId="428" priority="216" operator="containsText" text="T">
      <formula>NOT(ISERROR(SEARCH("T",D61)))</formula>
    </cfRule>
  </conditionalFormatting>
  <conditionalFormatting sqref="D61:D62">
    <cfRule type="containsText" dxfId="427" priority="213" operator="containsText" text="TB">
      <formula>NOT(ISERROR(SEARCH("TB",D61)))</formula>
    </cfRule>
  </conditionalFormatting>
  <conditionalFormatting sqref="D66">
    <cfRule type="containsText" dxfId="426" priority="210" operator="containsText" text="B">
      <formula>NOT(ISERROR(SEARCH("B",D66)))</formula>
    </cfRule>
    <cfRule type="containsText" dxfId="425" priority="211" operator="containsText" text="TB">
      <formula>NOT(ISERROR(SEARCH("TB",D66)))</formula>
    </cfRule>
    <cfRule type="containsText" dxfId="424" priority="212" operator="containsText" text="T">
      <formula>NOT(ISERROR(SEARCH("T",D66)))</formula>
    </cfRule>
  </conditionalFormatting>
  <conditionalFormatting sqref="D66">
    <cfRule type="containsText" dxfId="423" priority="209" operator="containsText" text="TB">
      <formula>NOT(ISERROR(SEARCH("TB",D66)))</formula>
    </cfRule>
  </conditionalFormatting>
  <conditionalFormatting sqref="D68">
    <cfRule type="containsText" dxfId="422" priority="206" operator="containsText" text="B">
      <formula>NOT(ISERROR(SEARCH("B",D68)))</formula>
    </cfRule>
    <cfRule type="containsText" dxfId="421" priority="207" operator="containsText" text="TB">
      <formula>NOT(ISERROR(SEARCH("TB",D68)))</formula>
    </cfRule>
    <cfRule type="containsText" dxfId="420" priority="208" operator="containsText" text="T">
      <formula>NOT(ISERROR(SEARCH("T",D68)))</formula>
    </cfRule>
  </conditionalFormatting>
  <conditionalFormatting sqref="D68">
    <cfRule type="containsText" dxfId="419" priority="205" operator="containsText" text="TB">
      <formula>NOT(ISERROR(SEARCH("TB",D68)))</formula>
    </cfRule>
  </conditionalFormatting>
  <conditionalFormatting sqref="D69">
    <cfRule type="containsText" dxfId="418" priority="202" operator="containsText" text="B">
      <formula>NOT(ISERROR(SEARCH("B",D69)))</formula>
    </cfRule>
    <cfRule type="containsText" dxfId="417" priority="203" operator="containsText" text="TB">
      <formula>NOT(ISERROR(SEARCH("TB",D69)))</formula>
    </cfRule>
    <cfRule type="containsText" dxfId="416" priority="204" operator="containsText" text="T">
      <formula>NOT(ISERROR(SEARCH("T",D69)))</formula>
    </cfRule>
  </conditionalFormatting>
  <conditionalFormatting sqref="D69">
    <cfRule type="containsText" dxfId="415" priority="201" operator="containsText" text="TB">
      <formula>NOT(ISERROR(SEARCH("TB",D69)))</formula>
    </cfRule>
  </conditionalFormatting>
  <conditionalFormatting sqref="E113:E114">
    <cfRule type="containsText" dxfId="414" priority="198" operator="containsText" text="B">
      <formula>NOT(ISERROR(SEARCH("B",E113)))</formula>
    </cfRule>
    <cfRule type="containsText" dxfId="413" priority="199" operator="containsText" text="TB">
      <formula>NOT(ISERROR(SEARCH("TB",E113)))</formula>
    </cfRule>
    <cfRule type="containsText" dxfId="412" priority="200" operator="containsText" text="T">
      <formula>NOT(ISERROR(SEARCH("T",E113)))</formula>
    </cfRule>
  </conditionalFormatting>
  <conditionalFormatting sqref="E113:E114">
    <cfRule type="containsText" dxfId="411" priority="197" operator="containsText" text="TB">
      <formula>NOT(ISERROR(SEARCH("TB",E113)))</formula>
    </cfRule>
  </conditionalFormatting>
  <conditionalFormatting sqref="E130">
    <cfRule type="containsText" dxfId="410" priority="194" operator="containsText" text="B">
      <formula>NOT(ISERROR(SEARCH("B",E130)))</formula>
    </cfRule>
    <cfRule type="containsText" dxfId="409" priority="195" operator="containsText" text="TB">
      <formula>NOT(ISERROR(SEARCH("TB",E130)))</formula>
    </cfRule>
    <cfRule type="containsText" dxfId="408" priority="196" operator="containsText" text="T">
      <formula>NOT(ISERROR(SEARCH("T",E130)))</formula>
    </cfRule>
  </conditionalFormatting>
  <conditionalFormatting sqref="E130">
    <cfRule type="containsText" dxfId="407" priority="193" operator="containsText" text="TB">
      <formula>NOT(ISERROR(SEARCH("TB",E130)))</formula>
    </cfRule>
  </conditionalFormatting>
  <conditionalFormatting sqref="D144:AH144">
    <cfRule type="containsText" dxfId="406" priority="192" operator="containsText" text="TB">
      <formula>NOT(ISERROR(SEARCH("TB",D144)))</formula>
    </cfRule>
  </conditionalFormatting>
  <conditionalFormatting sqref="D77 D80 O81:AH82 D83:D85 P83:AH84 D88:D89 O86:AH87 D91:D94 O90:AH90 L78:AH79 D108:AH108 D96:D107 F96:AH107 F91:AH94 F88:AH89 F85:AH85 F80:AH80 F77:AH77">
    <cfRule type="containsText" dxfId="405" priority="189" operator="containsText" text="B">
      <formula>NOT(ISERROR(SEARCH("B",D77)))</formula>
    </cfRule>
    <cfRule type="containsText" dxfId="404" priority="190" operator="containsText" text="TB">
      <formula>NOT(ISERROR(SEARCH("TB",D77)))</formula>
    </cfRule>
    <cfRule type="containsText" dxfId="403" priority="191" operator="containsText" text="T">
      <formula>NOT(ISERROR(SEARCH("T",D77)))</formula>
    </cfRule>
  </conditionalFormatting>
  <conditionalFormatting sqref="D77 D80 O81:AH82 D83:D85 P83:AH84 D88:D89 O86:AH87 D91:D94 O90:AH90 L78:AH79 D96:D107 F96:AH107 F91:AH94 F88:AH89 F85:AH85 F80:AH80 F77:AH77 D108:AH108">
    <cfRule type="containsText" dxfId="402" priority="188" operator="containsText" text="TB">
      <formula>NOT(ISERROR(SEARCH("TB",D77)))</formula>
    </cfRule>
  </conditionalFormatting>
  <conditionalFormatting sqref="D81 F81:N81">
    <cfRule type="containsText" dxfId="401" priority="185" operator="containsText" text="B">
      <formula>NOT(ISERROR(SEARCH("B",D81)))</formula>
    </cfRule>
    <cfRule type="containsText" dxfId="400" priority="186" operator="containsText" text="TB">
      <formula>NOT(ISERROR(SEARCH("TB",D81)))</formula>
    </cfRule>
    <cfRule type="containsText" dxfId="399" priority="187" operator="containsText" text="T">
      <formula>NOT(ISERROR(SEARCH("T",D81)))</formula>
    </cfRule>
  </conditionalFormatting>
  <conditionalFormatting sqref="D81 F81:N81">
    <cfRule type="containsText" dxfId="398" priority="184" operator="containsText" text="TB">
      <formula>NOT(ISERROR(SEARCH("TB",D81)))</formula>
    </cfRule>
  </conditionalFormatting>
  <conditionalFormatting sqref="D82 F82:N82">
    <cfRule type="containsText" dxfId="397" priority="181" operator="containsText" text="B">
      <formula>NOT(ISERROR(SEARCH("B",D82)))</formula>
    </cfRule>
    <cfRule type="containsText" dxfId="396" priority="182" operator="containsText" text="TB">
      <formula>NOT(ISERROR(SEARCH("TB",D82)))</formula>
    </cfRule>
    <cfRule type="containsText" dxfId="395" priority="183" operator="containsText" text="T">
      <formula>NOT(ISERROR(SEARCH("T",D82)))</formula>
    </cfRule>
  </conditionalFormatting>
  <conditionalFormatting sqref="D82 F82:N82">
    <cfRule type="containsText" dxfId="394" priority="180" operator="containsText" text="TB">
      <formula>NOT(ISERROR(SEARCH("TB",D82)))</formula>
    </cfRule>
  </conditionalFormatting>
  <conditionalFormatting sqref="F83:O84">
    <cfRule type="containsText" dxfId="393" priority="177" operator="containsText" text="B">
      <formula>NOT(ISERROR(SEARCH("B",F83)))</formula>
    </cfRule>
    <cfRule type="containsText" dxfId="392" priority="178" operator="containsText" text="TB">
      <formula>NOT(ISERROR(SEARCH("TB",F83)))</formula>
    </cfRule>
    <cfRule type="containsText" dxfId="391" priority="179" operator="containsText" text="T">
      <formula>NOT(ISERROR(SEARCH("T",F83)))</formula>
    </cfRule>
  </conditionalFormatting>
  <conditionalFormatting sqref="F83:O84">
    <cfRule type="containsText" dxfId="390" priority="176" operator="containsText" text="TB">
      <formula>NOT(ISERROR(SEARCH("TB",F83)))</formula>
    </cfRule>
  </conditionalFormatting>
  <conditionalFormatting sqref="D86:D87 F86:N87">
    <cfRule type="containsText" dxfId="389" priority="173" operator="containsText" text="B">
      <formula>NOT(ISERROR(SEARCH("B",D86)))</formula>
    </cfRule>
    <cfRule type="containsText" dxfId="388" priority="174" operator="containsText" text="TB">
      <formula>NOT(ISERROR(SEARCH("TB",D86)))</formula>
    </cfRule>
    <cfRule type="containsText" dxfId="387" priority="175" operator="containsText" text="T">
      <formula>NOT(ISERROR(SEARCH("T",D86)))</formula>
    </cfRule>
  </conditionalFormatting>
  <conditionalFormatting sqref="D86:D87 F86:N87">
    <cfRule type="containsText" dxfId="386" priority="172" operator="containsText" text="TB">
      <formula>NOT(ISERROR(SEARCH("TB",D86)))</formula>
    </cfRule>
  </conditionalFormatting>
  <conditionalFormatting sqref="D90 F90:N90">
    <cfRule type="containsText" dxfId="385" priority="169" operator="containsText" text="B">
      <formula>NOT(ISERROR(SEARCH("B",D90)))</formula>
    </cfRule>
    <cfRule type="containsText" dxfId="384" priority="170" operator="containsText" text="TB">
      <formula>NOT(ISERROR(SEARCH("TB",D90)))</formula>
    </cfRule>
    <cfRule type="containsText" dxfId="383" priority="171" operator="containsText" text="T">
      <formula>NOT(ISERROR(SEARCH("T",D90)))</formula>
    </cfRule>
  </conditionalFormatting>
  <conditionalFormatting sqref="D90 F90:N90">
    <cfRule type="containsText" dxfId="382" priority="168" operator="containsText" text="TB">
      <formula>NOT(ISERROR(SEARCH("TB",D90)))</formula>
    </cfRule>
  </conditionalFormatting>
  <conditionalFormatting sqref="D78:D79 F78:K79">
    <cfRule type="containsText" dxfId="381" priority="165" operator="containsText" text="B">
      <formula>NOT(ISERROR(SEARCH("B",D78)))</formula>
    </cfRule>
    <cfRule type="containsText" dxfId="380" priority="166" operator="containsText" text="TB">
      <formula>NOT(ISERROR(SEARCH("TB",D78)))</formula>
    </cfRule>
    <cfRule type="containsText" dxfId="379" priority="167" operator="containsText" text="T">
      <formula>NOT(ISERROR(SEARCH("T",D78)))</formula>
    </cfRule>
  </conditionalFormatting>
  <conditionalFormatting sqref="D78:D79 F78:K79">
    <cfRule type="containsText" dxfId="378" priority="164" operator="containsText" text="TB">
      <formula>NOT(ISERROR(SEARCH("TB",D78)))</formula>
    </cfRule>
  </conditionalFormatting>
  <conditionalFormatting sqref="D95 F95:AH95">
    <cfRule type="containsText" dxfId="377" priority="161" operator="containsText" text="B">
      <formula>NOT(ISERROR(SEARCH("B",D95)))</formula>
    </cfRule>
    <cfRule type="containsText" dxfId="376" priority="162" operator="containsText" text="TB">
      <formula>NOT(ISERROR(SEARCH("TB",D95)))</formula>
    </cfRule>
    <cfRule type="containsText" dxfId="375" priority="163" operator="containsText" text="T">
      <formula>NOT(ISERROR(SEARCH("T",D95)))</formula>
    </cfRule>
  </conditionalFormatting>
  <conditionalFormatting sqref="D95 F95:AH95">
    <cfRule type="containsText" dxfId="374" priority="160" operator="containsText" text="TB">
      <formula>NOT(ISERROR(SEARCH("TB",D95)))</formula>
    </cfRule>
  </conditionalFormatting>
  <conditionalFormatting sqref="E77 E80 E83:E85 E88:E89 E91:E94 E96:E107">
    <cfRule type="containsText" dxfId="373" priority="157" operator="containsText" text="B">
      <formula>NOT(ISERROR(SEARCH("B",E77)))</formula>
    </cfRule>
    <cfRule type="containsText" dxfId="372" priority="158" operator="containsText" text="TB">
      <formula>NOT(ISERROR(SEARCH("TB",E77)))</formula>
    </cfRule>
    <cfRule type="containsText" dxfId="371" priority="159" operator="containsText" text="T">
      <formula>NOT(ISERROR(SEARCH("T",E77)))</formula>
    </cfRule>
  </conditionalFormatting>
  <conditionalFormatting sqref="E77 E80 E83:E85 E88:E89 E91:E94 E96:E107">
    <cfRule type="containsText" dxfId="370" priority="156" operator="containsText" text="TB">
      <formula>NOT(ISERROR(SEARCH("TB",E77)))</formula>
    </cfRule>
  </conditionalFormatting>
  <conditionalFormatting sqref="E81">
    <cfRule type="containsText" dxfId="369" priority="153" operator="containsText" text="B">
      <formula>NOT(ISERROR(SEARCH("B",E81)))</formula>
    </cfRule>
    <cfRule type="containsText" dxfId="368" priority="154" operator="containsText" text="TB">
      <formula>NOT(ISERROR(SEARCH("TB",E81)))</formula>
    </cfRule>
    <cfRule type="containsText" dxfId="367" priority="155" operator="containsText" text="T">
      <formula>NOT(ISERROR(SEARCH("T",E81)))</formula>
    </cfRule>
  </conditionalFormatting>
  <conditionalFormatting sqref="E81">
    <cfRule type="containsText" dxfId="366" priority="152" operator="containsText" text="TB">
      <formula>NOT(ISERROR(SEARCH("TB",E81)))</formula>
    </cfRule>
  </conditionalFormatting>
  <conditionalFormatting sqref="E82">
    <cfRule type="containsText" dxfId="365" priority="149" operator="containsText" text="B">
      <formula>NOT(ISERROR(SEARCH("B",E82)))</formula>
    </cfRule>
    <cfRule type="containsText" dxfId="364" priority="150" operator="containsText" text="TB">
      <formula>NOT(ISERROR(SEARCH("TB",E82)))</formula>
    </cfRule>
    <cfRule type="containsText" dxfId="363" priority="151" operator="containsText" text="T">
      <formula>NOT(ISERROR(SEARCH("T",E82)))</formula>
    </cfRule>
  </conditionalFormatting>
  <conditionalFormatting sqref="E82">
    <cfRule type="containsText" dxfId="362" priority="148" operator="containsText" text="TB">
      <formula>NOT(ISERROR(SEARCH("TB",E82)))</formula>
    </cfRule>
  </conditionalFormatting>
  <conditionalFormatting sqref="E86:E87">
    <cfRule type="containsText" dxfId="361" priority="145" operator="containsText" text="B">
      <formula>NOT(ISERROR(SEARCH("B",E86)))</formula>
    </cfRule>
    <cfRule type="containsText" dxfId="360" priority="146" operator="containsText" text="TB">
      <formula>NOT(ISERROR(SEARCH("TB",E86)))</formula>
    </cfRule>
    <cfRule type="containsText" dxfId="359" priority="147" operator="containsText" text="T">
      <formula>NOT(ISERROR(SEARCH("T",E86)))</formula>
    </cfRule>
  </conditionalFormatting>
  <conditionalFormatting sqref="E86:E87">
    <cfRule type="containsText" dxfId="358" priority="144" operator="containsText" text="TB">
      <formula>NOT(ISERROR(SEARCH("TB",E86)))</formula>
    </cfRule>
  </conditionalFormatting>
  <conditionalFormatting sqref="E90">
    <cfRule type="containsText" dxfId="357" priority="141" operator="containsText" text="B">
      <formula>NOT(ISERROR(SEARCH("B",E90)))</formula>
    </cfRule>
    <cfRule type="containsText" dxfId="356" priority="142" operator="containsText" text="TB">
      <formula>NOT(ISERROR(SEARCH("TB",E90)))</formula>
    </cfRule>
    <cfRule type="containsText" dxfId="355" priority="143" operator="containsText" text="T">
      <formula>NOT(ISERROR(SEARCH("T",E90)))</formula>
    </cfRule>
  </conditionalFormatting>
  <conditionalFormatting sqref="E90">
    <cfRule type="containsText" dxfId="354" priority="140" operator="containsText" text="TB">
      <formula>NOT(ISERROR(SEARCH("TB",E90)))</formula>
    </cfRule>
  </conditionalFormatting>
  <conditionalFormatting sqref="E78:E79">
    <cfRule type="containsText" dxfId="353" priority="137" operator="containsText" text="B">
      <formula>NOT(ISERROR(SEARCH("B",E78)))</formula>
    </cfRule>
    <cfRule type="containsText" dxfId="352" priority="138" operator="containsText" text="TB">
      <formula>NOT(ISERROR(SEARCH("TB",E78)))</formula>
    </cfRule>
    <cfRule type="containsText" dxfId="351" priority="139" operator="containsText" text="T">
      <formula>NOT(ISERROR(SEARCH("T",E78)))</formula>
    </cfRule>
  </conditionalFormatting>
  <conditionalFormatting sqref="E78:E79">
    <cfRule type="containsText" dxfId="350" priority="136" operator="containsText" text="TB">
      <formula>NOT(ISERROR(SEARCH("TB",E78)))</formula>
    </cfRule>
  </conditionalFormatting>
  <conditionalFormatting sqref="E95">
    <cfRule type="containsText" dxfId="349" priority="133" operator="containsText" text="B">
      <formula>NOT(ISERROR(SEARCH("B",E95)))</formula>
    </cfRule>
    <cfRule type="containsText" dxfId="348" priority="134" operator="containsText" text="TB">
      <formula>NOT(ISERROR(SEARCH("TB",E95)))</formula>
    </cfRule>
    <cfRule type="containsText" dxfId="347" priority="135" operator="containsText" text="T">
      <formula>NOT(ISERROR(SEARCH("T",E95)))</formula>
    </cfRule>
  </conditionalFormatting>
  <conditionalFormatting sqref="E95">
    <cfRule type="containsText" dxfId="346" priority="132" operator="containsText" text="TB">
      <formula>NOT(ISERROR(SEARCH("TB",E95)))</formula>
    </cfRule>
  </conditionalFormatting>
  <conditionalFormatting sqref="C80:C126">
    <cfRule type="expression" dxfId="345" priority="129">
      <formula>AND($AL80&gt;0,$X80&gt;89)</formula>
    </cfRule>
    <cfRule type="expression" dxfId="344" priority="130">
      <formula>AND($AL80&gt;0,$X80&gt;59)</formula>
    </cfRule>
    <cfRule type="expression" dxfId="343" priority="131">
      <formula>AND($AL80&gt;0,$X80&gt;44)</formula>
    </cfRule>
  </conditionalFormatting>
  <conditionalFormatting sqref="AE22">
    <cfRule type="containsText" dxfId="342" priority="126" operator="containsText" text="B">
      <formula>NOT(ISERROR(SEARCH("B",AE22)))</formula>
    </cfRule>
    <cfRule type="containsText" dxfId="341" priority="127" operator="containsText" text="TB">
      <formula>NOT(ISERROR(SEARCH("TB",AE22)))</formula>
    </cfRule>
    <cfRule type="containsText" dxfId="340" priority="128" operator="containsText" text="T">
      <formula>NOT(ISERROR(SEARCH("T",AE22)))</formula>
    </cfRule>
  </conditionalFormatting>
  <conditionalFormatting sqref="AE22">
    <cfRule type="containsText" dxfId="339" priority="125" operator="containsText" text="TB">
      <formula>NOT(ISERROR(SEARCH("TB",AE22)))</formula>
    </cfRule>
  </conditionalFormatting>
  <conditionalFormatting sqref="B51:B75">
    <cfRule type="expression" dxfId="338" priority="469">
      <formula>AND($AK51&gt;0,$W51&gt;89)</formula>
    </cfRule>
    <cfRule type="expression" dxfId="337" priority="470">
      <formula>AND($AK51&gt;0,$W51&gt;59)</formula>
    </cfRule>
    <cfRule type="expression" dxfId="336" priority="471">
      <formula>AND($AK51&gt;0,$W51&gt;44)</formula>
    </cfRule>
  </conditionalFormatting>
  <conditionalFormatting sqref="C7:C20 C22:C65">
    <cfRule type="expression" dxfId="335" priority="122">
      <formula>AND($AK7&gt;0,$W7&gt;89)</formula>
    </cfRule>
    <cfRule type="expression" dxfId="334" priority="123">
      <formula>AND($AK7&gt;0,$W7&gt;59)</formula>
    </cfRule>
    <cfRule type="expression" dxfId="333" priority="124">
      <formula>AND($AK7&gt;0,$W7&gt;44)</formula>
    </cfRule>
  </conditionalFormatting>
  <conditionalFormatting sqref="C183">
    <cfRule type="expression" dxfId="332" priority="119">
      <formula>AND($AK183&gt;0,$W183&gt;89)</formula>
    </cfRule>
    <cfRule type="expression" dxfId="331" priority="120">
      <formula>AND($AK183&gt;0,$W183&gt;59)</formula>
    </cfRule>
    <cfRule type="expression" dxfId="330" priority="121">
      <formula>AND($AK183&gt;0,$W183&gt;44)</formula>
    </cfRule>
  </conditionalFormatting>
  <conditionalFormatting sqref="C184">
    <cfRule type="expression" dxfId="329" priority="116">
      <formula>AND($AK184&gt;0,$W184&gt;89)</formula>
    </cfRule>
    <cfRule type="expression" dxfId="328" priority="117">
      <formula>AND($AK184&gt;0,$W184&gt;59)</formula>
    </cfRule>
    <cfRule type="expression" dxfId="327" priority="118">
      <formula>AND($AK184&gt;0,$W184&gt;44)</formula>
    </cfRule>
  </conditionalFormatting>
  <conditionalFormatting sqref="C185">
    <cfRule type="expression" dxfId="326" priority="113">
      <formula>AND($AK185&gt;0,$W185&gt;89)</formula>
    </cfRule>
    <cfRule type="expression" dxfId="325" priority="114">
      <formula>AND($AK185&gt;0,$W185&gt;59)</formula>
    </cfRule>
    <cfRule type="expression" dxfId="324" priority="115">
      <formula>AND($AK185&gt;0,$W185&gt;44)</formula>
    </cfRule>
  </conditionalFormatting>
  <conditionalFormatting sqref="C186">
    <cfRule type="expression" dxfId="323" priority="110">
      <formula>AND($AK186&gt;0,$W186&gt;89)</formula>
    </cfRule>
    <cfRule type="expression" dxfId="322" priority="111">
      <formula>AND($AK186&gt;0,$W186&gt;59)</formula>
    </cfRule>
    <cfRule type="expression" dxfId="321" priority="112">
      <formula>AND($AK186&gt;0,$W186&gt;44)</formula>
    </cfRule>
  </conditionalFormatting>
  <conditionalFormatting sqref="C187">
    <cfRule type="expression" dxfId="320" priority="107">
      <formula>AND($AK187&gt;0,$W187&gt;89)</formula>
    </cfRule>
    <cfRule type="expression" dxfId="319" priority="108">
      <formula>AND($AK187&gt;0,$W187&gt;59)</formula>
    </cfRule>
    <cfRule type="expression" dxfId="318" priority="109">
      <formula>AND($AK187&gt;0,$W187&gt;44)</formula>
    </cfRule>
  </conditionalFormatting>
  <conditionalFormatting sqref="C188">
    <cfRule type="expression" dxfId="317" priority="104">
      <formula>AND($AK188&gt;0,$W188&gt;89)</formula>
    </cfRule>
    <cfRule type="expression" dxfId="316" priority="105">
      <formula>AND($AK188&gt;0,$W188&gt;59)</formula>
    </cfRule>
    <cfRule type="expression" dxfId="315" priority="106">
      <formula>AND($AK188&gt;0,$W188&gt;44)</formula>
    </cfRule>
  </conditionalFormatting>
  <conditionalFormatting sqref="C189">
    <cfRule type="expression" dxfId="314" priority="101">
      <formula>AND($AK189&gt;0,$W189&gt;89)</formula>
    </cfRule>
    <cfRule type="expression" dxfId="313" priority="102">
      <formula>AND($AK189&gt;0,$W189&gt;59)</formula>
    </cfRule>
    <cfRule type="expression" dxfId="312" priority="103">
      <formula>AND($AK189&gt;0,$W189&gt;44)</formula>
    </cfRule>
  </conditionalFormatting>
  <conditionalFormatting sqref="C190">
    <cfRule type="expression" dxfId="311" priority="98">
      <formula>AND($AK190&gt;0,$W190&gt;89)</formula>
    </cfRule>
    <cfRule type="expression" dxfId="310" priority="99">
      <formula>AND($AK190&gt;0,$W190&gt;59)</formula>
    </cfRule>
    <cfRule type="expression" dxfId="309" priority="100">
      <formula>AND($AK190&gt;0,$W190&gt;44)</formula>
    </cfRule>
  </conditionalFormatting>
  <conditionalFormatting sqref="C191">
    <cfRule type="expression" dxfId="308" priority="95">
      <formula>AND($AK191&gt;0,$W191&gt;89)</formula>
    </cfRule>
    <cfRule type="expression" dxfId="307" priority="96">
      <formula>AND($AK191&gt;0,$W191&gt;59)</formula>
    </cfRule>
    <cfRule type="expression" dxfId="306" priority="97">
      <formula>AND($AK191&gt;0,$W191&gt;44)</formula>
    </cfRule>
  </conditionalFormatting>
  <conditionalFormatting sqref="C192">
    <cfRule type="expression" dxfId="305" priority="92">
      <formula>AND($AK192&gt;0,$W192&gt;89)</formula>
    </cfRule>
    <cfRule type="expression" dxfId="304" priority="93">
      <formula>AND($AK192&gt;0,$W192&gt;59)</formula>
    </cfRule>
    <cfRule type="expression" dxfId="303" priority="94">
      <formula>AND($AK192&gt;0,$W192&gt;44)</formula>
    </cfRule>
  </conditionalFormatting>
  <conditionalFormatting sqref="C193">
    <cfRule type="expression" dxfId="302" priority="89">
      <formula>AND($AK193&gt;0,$W193&gt;89)</formula>
    </cfRule>
    <cfRule type="expression" dxfId="301" priority="90">
      <formula>AND($AK193&gt;0,$W193&gt;59)</formula>
    </cfRule>
    <cfRule type="expression" dxfId="300" priority="91">
      <formula>AND($AK193&gt;0,$W193&gt;44)</formula>
    </cfRule>
  </conditionalFormatting>
  <conditionalFormatting sqref="AH52:AH65">
    <cfRule type="containsText" dxfId="299" priority="86" operator="containsText" text="B">
      <formula>NOT(ISERROR(SEARCH("B",AH52)))</formula>
    </cfRule>
    <cfRule type="containsText" dxfId="298" priority="87" operator="containsText" text="TB">
      <formula>NOT(ISERROR(SEARCH("TB",AH52)))</formula>
    </cfRule>
    <cfRule type="containsText" dxfId="297" priority="88" operator="containsText" text="T">
      <formula>NOT(ISERROR(SEARCH("T",AH52)))</formula>
    </cfRule>
  </conditionalFormatting>
  <conditionalFormatting sqref="AH52:AH65">
    <cfRule type="containsText" dxfId="296" priority="85" operator="containsText" text="TB">
      <formula>NOT(ISERROR(SEARCH("TB",AH52)))</formula>
    </cfRule>
  </conditionalFormatting>
  <conditionalFormatting sqref="C66:C75">
    <cfRule type="expression" dxfId="295" priority="82">
      <formula>AND($AK66&gt;0,$W66&gt;89)</formula>
    </cfRule>
    <cfRule type="expression" dxfId="294" priority="83">
      <formula>AND($AK66&gt;0,$W66&gt;59)</formula>
    </cfRule>
    <cfRule type="expression" dxfId="293" priority="84">
      <formula>AND($AK66&gt;0,$W66&gt;44)</formula>
    </cfRule>
  </conditionalFormatting>
  <conditionalFormatting sqref="C156">
    <cfRule type="expression" dxfId="292" priority="79">
      <formula>AND($AK156&gt;0,$W156&gt;89)</formula>
    </cfRule>
    <cfRule type="expression" dxfId="291" priority="80">
      <formula>AND($AK156&gt;0,$W156&gt;59)</formula>
    </cfRule>
    <cfRule type="expression" dxfId="290" priority="81">
      <formula>AND($AK156&gt;0,$W156&gt;44)</formula>
    </cfRule>
  </conditionalFormatting>
  <conditionalFormatting sqref="C157">
    <cfRule type="expression" dxfId="289" priority="76">
      <formula>AND($AK157&gt;0,$W157&gt;89)</formula>
    </cfRule>
    <cfRule type="expression" dxfId="288" priority="77">
      <formula>AND($AK157&gt;0,$W157&gt;59)</formula>
    </cfRule>
    <cfRule type="expression" dxfId="287" priority="78">
      <formula>AND($AK157&gt;0,$W157&gt;44)</formula>
    </cfRule>
  </conditionalFormatting>
  <conditionalFormatting sqref="C158">
    <cfRule type="expression" dxfId="286" priority="73">
      <formula>AND($AK158&gt;0,$W158&gt;89)</formula>
    </cfRule>
    <cfRule type="expression" dxfId="285" priority="74">
      <formula>AND($AK158&gt;0,$W158&gt;59)</formula>
    </cfRule>
    <cfRule type="expression" dxfId="284" priority="75">
      <formula>AND($AK158&gt;0,$W158&gt;44)</formula>
    </cfRule>
  </conditionalFormatting>
  <conditionalFormatting sqref="C159">
    <cfRule type="expression" dxfId="283" priority="70">
      <formula>AND($AK159&gt;0,$W159&gt;89)</formula>
    </cfRule>
    <cfRule type="expression" dxfId="282" priority="71">
      <formula>AND($AK159&gt;0,$W159&gt;59)</formula>
    </cfRule>
    <cfRule type="expression" dxfId="281" priority="72">
      <formula>AND($AK159&gt;0,$W159&gt;44)</formula>
    </cfRule>
  </conditionalFormatting>
  <conditionalFormatting sqref="C160">
    <cfRule type="expression" dxfId="280" priority="67">
      <formula>AND($AK160&gt;0,$W160&gt;89)</formula>
    </cfRule>
    <cfRule type="expression" dxfId="279" priority="68">
      <formula>AND($AK160&gt;0,$W160&gt;59)</formula>
    </cfRule>
    <cfRule type="expression" dxfId="278" priority="69">
      <formula>AND($AK160&gt;0,$W160&gt;44)</formula>
    </cfRule>
  </conditionalFormatting>
  <conditionalFormatting sqref="C161">
    <cfRule type="expression" dxfId="277" priority="64">
      <formula>AND($AK161&gt;0,$W161&gt;89)</formula>
    </cfRule>
    <cfRule type="expression" dxfId="276" priority="65">
      <formula>AND($AK161&gt;0,$W161&gt;59)</formula>
    </cfRule>
    <cfRule type="expression" dxfId="275" priority="66">
      <formula>AND($AK161&gt;0,$W161&gt;44)</formula>
    </cfRule>
  </conditionalFormatting>
  <conditionalFormatting sqref="C162">
    <cfRule type="expression" dxfId="274" priority="61">
      <formula>AND($AK162&gt;0,$W162&gt;89)</formula>
    </cfRule>
    <cfRule type="expression" dxfId="273" priority="62">
      <formula>AND($AK162&gt;0,$W162&gt;59)</formula>
    </cfRule>
    <cfRule type="expression" dxfId="272" priority="63">
      <formula>AND($AK162&gt;0,$W162&gt;44)</formula>
    </cfRule>
  </conditionalFormatting>
  <conditionalFormatting sqref="C163">
    <cfRule type="expression" dxfId="271" priority="58">
      <formula>AND($AK163&gt;0,$W163&gt;89)</formula>
    </cfRule>
    <cfRule type="expression" dxfId="270" priority="59">
      <formula>AND($AK163&gt;0,$W163&gt;59)</formula>
    </cfRule>
    <cfRule type="expression" dxfId="269" priority="60">
      <formula>AND($AK163&gt;0,$W163&gt;44)</formula>
    </cfRule>
  </conditionalFormatting>
  <conditionalFormatting sqref="C164">
    <cfRule type="expression" dxfId="268" priority="55">
      <formula>AND($AK164&gt;0,$W164&gt;89)</formula>
    </cfRule>
    <cfRule type="expression" dxfId="267" priority="56">
      <formula>AND($AK164&gt;0,$W164&gt;59)</formula>
    </cfRule>
    <cfRule type="expression" dxfId="266" priority="57">
      <formula>AND($AK164&gt;0,$W164&gt;44)</formula>
    </cfRule>
  </conditionalFormatting>
  <conditionalFormatting sqref="C165">
    <cfRule type="expression" dxfId="265" priority="52">
      <formula>AND($AK165&gt;0,$W165&gt;89)</formula>
    </cfRule>
    <cfRule type="expression" dxfId="264" priority="53">
      <formula>AND($AK165&gt;0,$W165&gt;59)</formula>
    </cfRule>
    <cfRule type="expression" dxfId="263" priority="54">
      <formula>AND($AK165&gt;0,$W165&gt;44)</formula>
    </cfRule>
  </conditionalFormatting>
  <conditionalFormatting sqref="C166">
    <cfRule type="expression" dxfId="262" priority="49">
      <formula>AND($AK166&gt;0,$W166&gt;89)</formula>
    </cfRule>
    <cfRule type="expression" dxfId="261" priority="50">
      <formula>AND($AK166&gt;0,$W166&gt;59)</formula>
    </cfRule>
    <cfRule type="expression" dxfId="260" priority="51">
      <formula>AND($AK166&gt;0,$W166&gt;44)</formula>
    </cfRule>
  </conditionalFormatting>
  <conditionalFormatting sqref="C167">
    <cfRule type="expression" dxfId="259" priority="46">
      <formula>AND($AK167&gt;0,$W167&gt;89)</formula>
    </cfRule>
    <cfRule type="expression" dxfId="258" priority="47">
      <formula>AND($AK167&gt;0,$W167&gt;59)</formula>
    </cfRule>
    <cfRule type="expression" dxfId="257" priority="48">
      <formula>AND($AK167&gt;0,$W167&gt;44)</formula>
    </cfRule>
  </conditionalFormatting>
  <conditionalFormatting sqref="C168">
    <cfRule type="expression" dxfId="256" priority="43">
      <formula>AND($AK168&gt;0,$W168&gt;89)</formula>
    </cfRule>
    <cfRule type="expression" dxfId="255" priority="44">
      <formula>AND($AK168&gt;0,$W168&gt;59)</formula>
    </cfRule>
    <cfRule type="expression" dxfId="254" priority="45">
      <formula>AND($AK168&gt;0,$W168&gt;44)</formula>
    </cfRule>
  </conditionalFormatting>
  <conditionalFormatting sqref="C169">
    <cfRule type="expression" dxfId="253" priority="40">
      <formula>AND($AK169&gt;0,$W169&gt;89)</formula>
    </cfRule>
    <cfRule type="expression" dxfId="252" priority="41">
      <formula>AND($AK169&gt;0,$W169&gt;59)</formula>
    </cfRule>
    <cfRule type="expression" dxfId="251" priority="42">
      <formula>AND($AK169&gt;0,$W169&gt;44)</formula>
    </cfRule>
  </conditionalFormatting>
  <conditionalFormatting sqref="C170">
    <cfRule type="expression" dxfId="250" priority="37">
      <formula>AND($AK170&gt;0,$W170&gt;89)</formula>
    </cfRule>
    <cfRule type="expression" dxfId="249" priority="38">
      <formula>AND($AK170&gt;0,$W170&gt;59)</formula>
    </cfRule>
    <cfRule type="expression" dxfId="248" priority="39">
      <formula>AND($AK170&gt;0,$W170&gt;44)</formula>
    </cfRule>
  </conditionalFormatting>
  <conditionalFormatting sqref="C171">
    <cfRule type="expression" dxfId="247" priority="34">
      <formula>AND($AK171&gt;0,$W171&gt;89)</formula>
    </cfRule>
    <cfRule type="expression" dxfId="246" priority="35">
      <formula>AND($AK171&gt;0,$W171&gt;59)</formula>
    </cfRule>
    <cfRule type="expression" dxfId="245" priority="36">
      <formula>AND($AK171&gt;0,$W171&gt;44)</formula>
    </cfRule>
  </conditionalFormatting>
  <conditionalFormatting sqref="C172">
    <cfRule type="expression" dxfId="244" priority="31">
      <formula>AND($AK172&gt;0,$W172&gt;89)</formula>
    </cfRule>
    <cfRule type="expression" dxfId="243" priority="32">
      <formula>AND($AK172&gt;0,$W172&gt;59)</formula>
    </cfRule>
    <cfRule type="expression" dxfId="242" priority="33">
      <formula>AND($AK172&gt;0,$W172&gt;44)</formula>
    </cfRule>
  </conditionalFormatting>
  <conditionalFormatting sqref="C173">
    <cfRule type="expression" dxfId="241" priority="28">
      <formula>AND($AK173&gt;0,$W173&gt;89)</formula>
    </cfRule>
    <cfRule type="expression" dxfId="240" priority="29">
      <formula>AND($AK173&gt;0,$W173&gt;59)</formula>
    </cfRule>
    <cfRule type="expression" dxfId="239" priority="30">
      <formula>AND($AK173&gt;0,$W173&gt;44)</formula>
    </cfRule>
  </conditionalFormatting>
  <conditionalFormatting sqref="C174">
    <cfRule type="expression" dxfId="238" priority="25">
      <formula>AND($AK174&gt;0,$W174&gt;89)</formula>
    </cfRule>
    <cfRule type="expression" dxfId="237" priority="26">
      <formula>AND($AK174&gt;0,$W174&gt;59)</formula>
    </cfRule>
    <cfRule type="expression" dxfId="236" priority="27">
      <formula>AND($AK174&gt;0,$W174&gt;44)</formula>
    </cfRule>
  </conditionalFormatting>
  <conditionalFormatting sqref="C175">
    <cfRule type="expression" dxfId="235" priority="22">
      <formula>AND($AK175&gt;0,$W175&gt;89)</formula>
    </cfRule>
    <cfRule type="expression" dxfId="234" priority="23">
      <formula>AND($AK175&gt;0,$W175&gt;59)</formula>
    </cfRule>
    <cfRule type="expression" dxfId="233" priority="24">
      <formula>AND($AK175&gt;0,$W175&gt;44)</formula>
    </cfRule>
  </conditionalFormatting>
  <conditionalFormatting sqref="C176">
    <cfRule type="expression" dxfId="232" priority="19">
      <formula>AND($AK176&gt;0,$W176&gt;89)</formula>
    </cfRule>
    <cfRule type="expression" dxfId="231" priority="20">
      <formula>AND($AK176&gt;0,$W176&gt;59)</formula>
    </cfRule>
    <cfRule type="expression" dxfId="230" priority="21">
      <formula>AND($AK176&gt;0,$W176&gt;44)</formula>
    </cfRule>
  </conditionalFormatting>
  <conditionalFormatting sqref="C177">
    <cfRule type="expression" dxfId="229" priority="16">
      <formula>AND($AK177&gt;0,$W177&gt;89)</formula>
    </cfRule>
    <cfRule type="expression" dxfId="228" priority="17">
      <formula>AND($AK177&gt;0,$W177&gt;59)</formula>
    </cfRule>
    <cfRule type="expression" dxfId="227" priority="18">
      <formula>AND($AK177&gt;0,$W177&gt;44)</formula>
    </cfRule>
  </conditionalFormatting>
  <conditionalFormatting sqref="C178">
    <cfRule type="expression" dxfId="226" priority="13">
      <formula>AND($AK178&gt;0,$W178&gt;89)</formula>
    </cfRule>
    <cfRule type="expression" dxfId="225" priority="14">
      <formula>AND($AK178&gt;0,$W178&gt;59)</formula>
    </cfRule>
    <cfRule type="expression" dxfId="224" priority="15">
      <formula>AND($AK178&gt;0,$W178&gt;44)</formula>
    </cfRule>
  </conditionalFormatting>
  <conditionalFormatting sqref="C179">
    <cfRule type="expression" dxfId="223" priority="10">
      <formula>AND($AK179&gt;0,$W179&gt;89)</formula>
    </cfRule>
    <cfRule type="expression" dxfId="222" priority="11">
      <formula>AND($AK179&gt;0,$W179&gt;59)</formula>
    </cfRule>
    <cfRule type="expression" dxfId="221" priority="12">
      <formula>AND($AK179&gt;0,$W179&gt;44)</formula>
    </cfRule>
  </conditionalFormatting>
  <conditionalFormatting sqref="C180">
    <cfRule type="expression" dxfId="220" priority="7">
      <formula>AND($AK180&gt;0,$W180&gt;89)</formula>
    </cfRule>
    <cfRule type="expression" dxfId="219" priority="8">
      <formula>AND($AK180&gt;0,$W180&gt;59)</formula>
    </cfRule>
    <cfRule type="expression" dxfId="218" priority="9">
      <formula>AND($AK180&gt;0,$W180&gt;44)</formula>
    </cfRule>
  </conditionalFormatting>
  <conditionalFormatting sqref="C181">
    <cfRule type="expression" dxfId="217" priority="4">
      <formula>AND($AK181&gt;0,$W181&gt;89)</formula>
    </cfRule>
    <cfRule type="expression" dxfId="216" priority="5">
      <formula>AND($AK181&gt;0,$W181&gt;59)</formula>
    </cfRule>
    <cfRule type="expression" dxfId="215" priority="6">
      <formula>AND($AK181&gt;0,$W181&gt;44)</formula>
    </cfRule>
  </conditionalFormatting>
  <conditionalFormatting sqref="C182">
    <cfRule type="expression" dxfId="214" priority="1">
      <formula>AND($AK182&gt;0,$W182&gt;89)</formula>
    </cfRule>
    <cfRule type="expression" dxfId="213" priority="2">
      <formula>AND($AK182&gt;0,$W182&gt;59)</formula>
    </cfRule>
    <cfRule type="expression" dxfId="212" priority="3">
      <formula>AND($AK182&gt;0,$W182&gt;44)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3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9" sqref="F29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168" t="s">
        <v>112</v>
      </c>
      <c r="B1" s="168"/>
      <c r="C1" s="168"/>
      <c r="D1" s="168"/>
      <c r="E1" s="168"/>
      <c r="F1" s="168"/>
      <c r="G1" s="168"/>
      <c r="H1" s="168"/>
      <c r="I1" s="168"/>
      <c r="J1" s="70"/>
      <c r="K1" s="70"/>
      <c r="L1" s="70"/>
      <c r="M1" s="70"/>
    </row>
    <row r="2" spans="1:13" ht="20.25" thickTop="1" thickBot="1">
      <c r="A2" s="168" t="s">
        <v>113</v>
      </c>
      <c r="B2" s="168"/>
      <c r="C2" s="168"/>
      <c r="D2" s="168"/>
      <c r="E2" s="168"/>
      <c r="F2" s="168"/>
      <c r="G2" s="168"/>
      <c r="H2" s="168"/>
      <c r="I2" s="168"/>
      <c r="J2" s="70"/>
      <c r="K2" s="70"/>
      <c r="L2" s="70"/>
      <c r="M2" s="70"/>
    </row>
    <row r="3" spans="1:13" ht="16.5" thickTop="1" thickBot="1">
      <c r="A3" s="71" t="s">
        <v>56</v>
      </c>
      <c r="B3" s="71" t="s">
        <v>57</v>
      </c>
      <c r="C3" s="71" t="s">
        <v>114</v>
      </c>
      <c r="D3" s="71" t="s">
        <v>115</v>
      </c>
      <c r="E3" s="71" t="s">
        <v>116</v>
      </c>
      <c r="F3" s="71" t="s">
        <v>117</v>
      </c>
      <c r="G3" s="71" t="s">
        <v>118</v>
      </c>
      <c r="H3" s="71" t="s">
        <v>119</v>
      </c>
      <c r="I3" s="71" t="s">
        <v>120</v>
      </c>
      <c r="J3" s="70"/>
      <c r="K3" s="70"/>
      <c r="L3" s="70"/>
      <c r="M3" s="70"/>
    </row>
    <row r="4" spans="1:13" ht="15.75" thickTop="1">
      <c r="A4" s="72">
        <v>1</v>
      </c>
      <c r="B4" s="55" t="s">
        <v>72</v>
      </c>
      <c r="C4" s="81">
        <f t="shared" ref="C4:C31" si="0">SUMIFS(tballsa,tballnk,B4)</f>
        <v>1161479000</v>
      </c>
      <c r="D4" s="73">
        <v>1000000000</v>
      </c>
      <c r="E4" s="73">
        <f>C4-D4</f>
        <v>161479000</v>
      </c>
      <c r="F4" s="74"/>
      <c r="G4" s="63"/>
      <c r="H4" s="75"/>
      <c r="I4" s="76"/>
      <c r="J4" s="70"/>
      <c r="K4" s="70"/>
      <c r="L4" s="70"/>
      <c r="M4" s="70"/>
    </row>
    <row r="5" spans="1:13">
      <c r="A5" s="72">
        <v>2</v>
      </c>
      <c r="B5" s="55" t="s">
        <v>189</v>
      </c>
      <c r="C5" s="81">
        <f t="shared" si="0"/>
        <v>545553000</v>
      </c>
      <c r="D5" s="73">
        <f>C5</f>
        <v>545553000</v>
      </c>
      <c r="E5" s="73">
        <f t="shared" ref="E5:E68" si="1">C5-D5</f>
        <v>0</v>
      </c>
      <c r="F5" s="77"/>
      <c r="G5" s="63"/>
      <c r="H5" s="75"/>
      <c r="I5" s="78"/>
      <c r="J5" s="70"/>
      <c r="K5" s="70"/>
      <c r="L5" s="70"/>
      <c r="M5" s="70"/>
    </row>
    <row r="6" spans="1:13">
      <c r="A6" s="72">
        <v>3</v>
      </c>
      <c r="B6" s="55" t="s">
        <v>82</v>
      </c>
      <c r="C6" s="81">
        <f t="shared" si="0"/>
        <v>177265000</v>
      </c>
      <c r="D6" s="73">
        <f t="shared" ref="D6:D69" si="2">C6</f>
        <v>177265000</v>
      </c>
      <c r="E6" s="73">
        <f t="shared" si="1"/>
        <v>0</v>
      </c>
      <c r="F6" s="77"/>
      <c r="G6" s="63"/>
      <c r="H6" s="75"/>
      <c r="I6" s="78"/>
      <c r="J6" s="70"/>
      <c r="K6" s="70"/>
      <c r="L6" s="70"/>
      <c r="M6" s="70"/>
    </row>
    <row r="7" spans="1:13">
      <c r="A7" s="72">
        <v>5</v>
      </c>
      <c r="B7" s="55" t="s">
        <v>70</v>
      </c>
      <c r="C7" s="81">
        <f t="shared" si="0"/>
        <v>146635800</v>
      </c>
      <c r="D7" s="73">
        <v>100000000</v>
      </c>
      <c r="E7" s="73">
        <f t="shared" si="1"/>
        <v>46635800</v>
      </c>
      <c r="F7" s="77"/>
      <c r="G7" s="63"/>
      <c r="H7" s="75"/>
      <c r="I7" s="78"/>
      <c r="J7" s="70"/>
      <c r="K7" s="70"/>
      <c r="L7" s="70"/>
      <c r="M7" s="70"/>
    </row>
    <row r="8" spans="1:13">
      <c r="A8" s="72">
        <v>6</v>
      </c>
      <c r="B8" s="55" t="s">
        <v>87</v>
      </c>
      <c r="C8" s="81">
        <f t="shared" si="0"/>
        <v>124800300</v>
      </c>
      <c r="D8" s="73">
        <f t="shared" si="2"/>
        <v>124800300</v>
      </c>
      <c r="E8" s="73">
        <f t="shared" si="1"/>
        <v>0</v>
      </c>
      <c r="F8" s="77"/>
      <c r="G8" s="75"/>
      <c r="H8" s="75"/>
      <c r="I8" s="78"/>
      <c r="J8" s="70"/>
      <c r="K8" s="70"/>
      <c r="L8" s="70"/>
      <c r="M8" s="70"/>
    </row>
    <row r="9" spans="1:13">
      <c r="A9" s="72">
        <v>7</v>
      </c>
      <c r="B9" s="55" t="s">
        <v>154</v>
      </c>
      <c r="C9" s="81">
        <f t="shared" si="0"/>
        <v>112896000</v>
      </c>
      <c r="D9" s="73">
        <v>50000000</v>
      </c>
      <c r="E9" s="73">
        <f t="shared" si="1"/>
        <v>62896000</v>
      </c>
      <c r="F9" s="77"/>
      <c r="G9" s="75"/>
      <c r="H9" s="75"/>
      <c r="I9" s="78"/>
      <c r="J9" s="70"/>
      <c r="K9" s="70"/>
      <c r="L9" s="70"/>
      <c r="M9" s="70"/>
    </row>
    <row r="10" spans="1:13">
      <c r="A10" s="72">
        <v>8</v>
      </c>
      <c r="B10" s="55" t="s">
        <v>77</v>
      </c>
      <c r="C10" s="81">
        <f t="shared" si="0"/>
        <v>98500000</v>
      </c>
      <c r="D10" s="73">
        <f t="shared" si="2"/>
        <v>98500000</v>
      </c>
      <c r="E10" s="73">
        <f t="shared" si="1"/>
        <v>0</v>
      </c>
      <c r="F10" s="77"/>
      <c r="G10" s="75"/>
      <c r="H10" s="75"/>
      <c r="I10" s="78"/>
      <c r="J10" s="70"/>
      <c r="K10" s="70"/>
      <c r="L10" s="70"/>
      <c r="M10" s="70"/>
    </row>
    <row r="11" spans="1:13">
      <c r="A11" s="72">
        <v>10</v>
      </c>
      <c r="B11" s="55" t="s">
        <v>90</v>
      </c>
      <c r="C11" s="81">
        <f t="shared" si="0"/>
        <v>89310000</v>
      </c>
      <c r="D11" s="73">
        <f t="shared" si="2"/>
        <v>89310000</v>
      </c>
      <c r="E11" s="73">
        <f t="shared" si="1"/>
        <v>0</v>
      </c>
      <c r="F11" s="79"/>
      <c r="G11" s="80"/>
      <c r="H11" s="80" t="s">
        <v>49</v>
      </c>
      <c r="I11" s="78"/>
      <c r="J11" s="70"/>
      <c r="K11" s="70"/>
      <c r="L11" s="70"/>
      <c r="M11" s="70"/>
    </row>
    <row r="12" spans="1:13">
      <c r="A12" s="72">
        <v>11</v>
      </c>
      <c r="B12" s="55" t="s">
        <v>190</v>
      </c>
      <c r="C12" s="81">
        <f t="shared" si="0"/>
        <v>82835000</v>
      </c>
      <c r="D12" s="73">
        <f t="shared" si="2"/>
        <v>82835000</v>
      </c>
      <c r="E12" s="73">
        <f t="shared" si="1"/>
        <v>0</v>
      </c>
      <c r="F12" s="79"/>
      <c r="G12" s="80"/>
      <c r="H12" s="80"/>
      <c r="I12" s="78"/>
      <c r="J12" s="70"/>
      <c r="K12" s="70"/>
      <c r="L12" s="70"/>
      <c r="M12" s="70"/>
    </row>
    <row r="13" spans="1:13">
      <c r="A13" s="72">
        <v>12</v>
      </c>
      <c r="B13" s="55" t="s">
        <v>93</v>
      </c>
      <c r="C13" s="81">
        <f t="shared" si="0"/>
        <v>55487800</v>
      </c>
      <c r="D13" s="73">
        <f t="shared" si="2"/>
        <v>55487800</v>
      </c>
      <c r="E13" s="73">
        <f t="shared" si="1"/>
        <v>0</v>
      </c>
      <c r="F13" s="79"/>
      <c r="G13" s="80"/>
      <c r="H13" s="80"/>
      <c r="I13" s="78"/>
      <c r="J13" s="70"/>
      <c r="K13" s="70"/>
      <c r="L13" s="70"/>
      <c r="M13" s="70"/>
    </row>
    <row r="14" spans="1:13">
      <c r="A14" s="72">
        <v>13</v>
      </c>
      <c r="B14" s="55" t="s">
        <v>61</v>
      </c>
      <c r="C14" s="81">
        <f t="shared" si="0"/>
        <v>49750000</v>
      </c>
      <c r="D14" s="73">
        <f t="shared" si="2"/>
        <v>49750000</v>
      </c>
      <c r="E14" s="73">
        <f t="shared" si="1"/>
        <v>0</v>
      </c>
      <c r="F14" s="79"/>
      <c r="G14" s="80"/>
      <c r="H14" s="80"/>
      <c r="I14" s="78"/>
      <c r="J14" s="70"/>
      <c r="K14" s="70"/>
      <c r="L14" s="70"/>
      <c r="M14" s="70"/>
    </row>
    <row r="15" spans="1:13">
      <c r="A15" s="72">
        <v>15</v>
      </c>
      <c r="B15" s="55" t="s">
        <v>107</v>
      </c>
      <c r="C15" s="81">
        <f t="shared" si="0"/>
        <v>38010800</v>
      </c>
      <c r="D15" s="73">
        <f t="shared" si="2"/>
        <v>38010800</v>
      </c>
      <c r="E15" s="73">
        <f t="shared" si="1"/>
        <v>0</v>
      </c>
      <c r="F15" s="79"/>
      <c r="G15" s="80"/>
      <c r="H15" s="80"/>
      <c r="I15" s="78"/>
      <c r="J15" s="70"/>
      <c r="K15" s="70"/>
      <c r="L15" s="70"/>
      <c r="M15" s="70"/>
    </row>
    <row r="16" spans="1:13">
      <c r="A16" s="72">
        <v>17</v>
      </c>
      <c r="B16" s="55" t="s">
        <v>150</v>
      </c>
      <c r="C16" s="81">
        <f t="shared" si="0"/>
        <v>32200000</v>
      </c>
      <c r="D16" s="73">
        <f t="shared" si="2"/>
        <v>32200000</v>
      </c>
      <c r="E16" s="73">
        <f t="shared" si="1"/>
        <v>0</v>
      </c>
      <c r="F16" s="79"/>
      <c r="G16" s="80"/>
      <c r="H16" s="80"/>
      <c r="I16" s="78"/>
      <c r="J16" s="70"/>
      <c r="K16" s="70"/>
      <c r="L16" s="70"/>
      <c r="M16" s="70"/>
    </row>
    <row r="17" spans="1:13">
      <c r="A17" s="72">
        <v>18</v>
      </c>
      <c r="B17" s="55" t="s">
        <v>63</v>
      </c>
      <c r="C17" s="81">
        <f t="shared" si="0"/>
        <v>28645000</v>
      </c>
      <c r="D17" s="73">
        <f t="shared" si="2"/>
        <v>28645000</v>
      </c>
      <c r="E17" s="73">
        <f t="shared" si="1"/>
        <v>0</v>
      </c>
      <c r="F17" s="79"/>
      <c r="G17" s="80"/>
      <c r="H17" s="80"/>
      <c r="I17" s="78"/>
      <c r="J17" s="70"/>
      <c r="K17" s="70"/>
      <c r="L17" s="70"/>
      <c r="M17" s="70"/>
    </row>
    <row r="18" spans="1:13">
      <c r="A18" s="72">
        <v>19</v>
      </c>
      <c r="B18" s="55" t="s">
        <v>68</v>
      </c>
      <c r="C18" s="81">
        <f t="shared" si="0"/>
        <v>27690000</v>
      </c>
      <c r="D18" s="73">
        <f t="shared" si="2"/>
        <v>27690000</v>
      </c>
      <c r="E18" s="73">
        <f t="shared" si="1"/>
        <v>0</v>
      </c>
      <c r="F18" s="79"/>
      <c r="G18" s="80"/>
      <c r="H18" s="80"/>
      <c r="I18" s="78"/>
      <c r="J18" s="70"/>
      <c r="K18" s="70"/>
      <c r="L18" s="70"/>
      <c r="M18" s="70"/>
    </row>
    <row r="19" spans="1:13">
      <c r="A19" s="72">
        <v>20</v>
      </c>
      <c r="B19" s="55" t="s">
        <v>94</v>
      </c>
      <c r="C19" s="81">
        <f t="shared" si="0"/>
        <v>26470000</v>
      </c>
      <c r="D19" s="73">
        <f>C19-9700000</f>
        <v>16770000</v>
      </c>
      <c r="E19" s="73">
        <f t="shared" si="1"/>
        <v>9700000</v>
      </c>
      <c r="F19" s="79"/>
      <c r="G19" s="80"/>
      <c r="H19" s="80"/>
      <c r="I19" s="78"/>
      <c r="J19" s="70"/>
      <c r="K19" s="70"/>
      <c r="L19" s="70"/>
      <c r="M19" s="70"/>
    </row>
    <row r="20" spans="1:13">
      <c r="A20" s="72">
        <v>21</v>
      </c>
      <c r="B20" s="55" t="s">
        <v>139</v>
      </c>
      <c r="C20" s="81">
        <f t="shared" si="0"/>
        <v>26010000</v>
      </c>
      <c r="D20" s="73">
        <f t="shared" si="2"/>
        <v>26010000</v>
      </c>
      <c r="E20" s="73">
        <f t="shared" si="1"/>
        <v>0</v>
      </c>
      <c r="F20" s="79"/>
      <c r="G20" s="80"/>
      <c r="H20" s="80"/>
      <c r="I20" s="78"/>
      <c r="J20" s="70"/>
      <c r="K20" s="70"/>
      <c r="L20" s="70"/>
      <c r="M20" s="70"/>
    </row>
    <row r="21" spans="1:13">
      <c r="A21" s="72">
        <v>22</v>
      </c>
      <c r="B21" s="55" t="s">
        <v>104</v>
      </c>
      <c r="C21" s="81">
        <f t="shared" si="0"/>
        <v>25960000</v>
      </c>
      <c r="D21" s="73">
        <f t="shared" si="2"/>
        <v>25960000</v>
      </c>
      <c r="E21" s="73">
        <f t="shared" si="1"/>
        <v>0</v>
      </c>
      <c r="F21" s="79"/>
      <c r="G21" s="80"/>
      <c r="H21" s="80"/>
      <c r="I21" s="78"/>
      <c r="J21" s="70"/>
      <c r="K21" s="70"/>
      <c r="L21" s="70"/>
      <c r="M21" s="70"/>
    </row>
    <row r="22" spans="1:13">
      <c r="A22" s="72">
        <v>23</v>
      </c>
      <c r="B22" s="55" t="s">
        <v>137</v>
      </c>
      <c r="C22" s="81">
        <f t="shared" si="0"/>
        <v>25680000</v>
      </c>
      <c r="D22" s="73">
        <f t="shared" si="2"/>
        <v>25680000</v>
      </c>
      <c r="E22" s="73">
        <f t="shared" si="1"/>
        <v>0</v>
      </c>
      <c r="F22" s="79"/>
      <c r="G22" s="80"/>
      <c r="H22" s="80"/>
      <c r="I22" s="78"/>
      <c r="J22" s="70"/>
      <c r="K22" s="70"/>
      <c r="L22" s="70"/>
      <c r="M22" s="70"/>
    </row>
    <row r="23" spans="1:13">
      <c r="A23" s="72">
        <v>24</v>
      </c>
      <c r="B23" s="55" t="s">
        <v>131</v>
      </c>
      <c r="C23" s="81">
        <f t="shared" si="0"/>
        <v>23100000</v>
      </c>
      <c r="D23" s="73">
        <f t="shared" si="2"/>
        <v>23100000</v>
      </c>
      <c r="E23" s="73">
        <f t="shared" si="1"/>
        <v>0</v>
      </c>
      <c r="F23" s="79"/>
      <c r="G23" s="80"/>
      <c r="H23" s="80"/>
      <c r="I23" s="78"/>
      <c r="J23" s="70"/>
      <c r="K23" s="70"/>
      <c r="L23" s="70"/>
      <c r="M23" s="70"/>
    </row>
    <row r="24" spans="1:13">
      <c r="A24" s="72">
        <v>25</v>
      </c>
      <c r="B24" s="55" t="s">
        <v>133</v>
      </c>
      <c r="C24" s="81">
        <f t="shared" si="0"/>
        <v>20430000</v>
      </c>
      <c r="D24" s="73">
        <f t="shared" si="2"/>
        <v>20430000</v>
      </c>
      <c r="E24" s="73">
        <f t="shared" si="1"/>
        <v>0</v>
      </c>
      <c r="F24" s="79"/>
      <c r="G24" s="80"/>
      <c r="H24" s="80"/>
      <c r="I24" s="78"/>
      <c r="J24" s="70"/>
      <c r="K24" s="70"/>
      <c r="L24" s="70"/>
      <c r="M24" s="70"/>
    </row>
    <row r="25" spans="1:13">
      <c r="A25" s="72">
        <v>26</v>
      </c>
      <c r="B25" s="55" t="s">
        <v>88</v>
      </c>
      <c r="C25" s="81">
        <f t="shared" si="0"/>
        <v>19790000</v>
      </c>
      <c r="D25" s="73">
        <f t="shared" si="2"/>
        <v>19790000</v>
      </c>
      <c r="E25" s="73">
        <f t="shared" si="1"/>
        <v>0</v>
      </c>
      <c r="F25" s="79"/>
      <c r="G25" s="80"/>
      <c r="H25" s="80"/>
      <c r="I25" s="78"/>
      <c r="J25" s="70"/>
      <c r="K25" s="70"/>
      <c r="L25" s="70"/>
      <c r="M25" s="70"/>
    </row>
    <row r="26" spans="1:13">
      <c r="A26" s="72">
        <v>27</v>
      </c>
      <c r="B26" s="55" t="s">
        <v>130</v>
      </c>
      <c r="C26" s="81">
        <f t="shared" si="0"/>
        <v>19706800</v>
      </c>
      <c r="D26" s="73">
        <f t="shared" si="2"/>
        <v>19706800</v>
      </c>
      <c r="E26" s="73">
        <f t="shared" si="1"/>
        <v>0</v>
      </c>
      <c r="F26" s="79"/>
      <c r="G26" s="80"/>
      <c r="H26" s="80"/>
      <c r="I26" s="78"/>
      <c r="J26" s="70"/>
      <c r="K26" s="70"/>
      <c r="L26" s="70"/>
      <c r="M26" s="70"/>
    </row>
    <row r="27" spans="1:13">
      <c r="A27" s="72">
        <v>28</v>
      </c>
      <c r="B27" s="55" t="s">
        <v>187</v>
      </c>
      <c r="C27" s="81">
        <f t="shared" si="0"/>
        <v>18360000</v>
      </c>
      <c r="D27" s="73">
        <f t="shared" si="2"/>
        <v>18360000</v>
      </c>
      <c r="E27" s="73">
        <f t="shared" si="1"/>
        <v>0</v>
      </c>
      <c r="F27" s="79"/>
      <c r="G27" s="80"/>
      <c r="H27" s="80"/>
      <c r="I27" s="78"/>
      <c r="J27" s="70"/>
      <c r="K27" s="70"/>
      <c r="L27" s="70"/>
      <c r="M27" s="70"/>
    </row>
    <row r="28" spans="1:13">
      <c r="A28" s="72">
        <v>29</v>
      </c>
      <c r="B28" s="55" t="s">
        <v>156</v>
      </c>
      <c r="C28" s="81">
        <f t="shared" si="0"/>
        <v>18130000</v>
      </c>
      <c r="D28" s="73">
        <f t="shared" si="2"/>
        <v>18130000</v>
      </c>
      <c r="E28" s="73">
        <f t="shared" si="1"/>
        <v>0</v>
      </c>
      <c r="F28" s="79"/>
      <c r="G28" s="80"/>
      <c r="H28" s="80"/>
      <c r="I28" s="78"/>
      <c r="J28" s="70"/>
      <c r="K28" s="70"/>
      <c r="L28" s="70"/>
      <c r="M28" s="70"/>
    </row>
    <row r="29" spans="1:13">
      <c r="A29" s="72">
        <v>30</v>
      </c>
      <c r="B29" s="55" t="s">
        <v>138</v>
      </c>
      <c r="C29" s="81">
        <f t="shared" si="0"/>
        <v>18000000</v>
      </c>
      <c r="D29" s="73">
        <f t="shared" si="2"/>
        <v>18000000</v>
      </c>
      <c r="E29" s="73">
        <f t="shared" si="1"/>
        <v>0</v>
      </c>
      <c r="F29" s="79"/>
      <c r="G29" s="80"/>
      <c r="H29" s="80"/>
      <c r="I29" s="78"/>
      <c r="J29" s="70"/>
      <c r="K29" s="70"/>
      <c r="L29" s="70"/>
      <c r="M29" s="70"/>
    </row>
    <row r="30" spans="1:13">
      <c r="A30" s="72">
        <v>31</v>
      </c>
      <c r="B30" s="55" t="s">
        <v>74</v>
      </c>
      <c r="C30" s="81">
        <f t="shared" si="0"/>
        <v>17690000</v>
      </c>
      <c r="D30" s="73">
        <f t="shared" si="2"/>
        <v>17690000</v>
      </c>
      <c r="E30" s="73">
        <f t="shared" si="1"/>
        <v>0</v>
      </c>
      <c r="F30" s="41"/>
      <c r="G30" s="80"/>
      <c r="H30" s="80"/>
      <c r="I30" s="78"/>
      <c r="J30" s="70"/>
      <c r="K30" s="70"/>
      <c r="L30" s="70"/>
      <c r="M30" s="70"/>
    </row>
    <row r="31" spans="1:13">
      <c r="A31" s="72">
        <v>32</v>
      </c>
      <c r="B31" s="55" t="s">
        <v>108</v>
      </c>
      <c r="C31" s="81">
        <f t="shared" si="0"/>
        <v>17672500</v>
      </c>
      <c r="D31" s="73">
        <f t="shared" si="2"/>
        <v>17672500</v>
      </c>
      <c r="E31" s="73">
        <f t="shared" si="1"/>
        <v>0</v>
      </c>
      <c r="F31" s="41"/>
      <c r="G31" s="80"/>
      <c r="H31" s="80"/>
      <c r="I31" s="78"/>
      <c r="J31" s="70"/>
      <c r="K31" s="70"/>
      <c r="L31" s="70"/>
      <c r="M31" s="70"/>
    </row>
    <row r="32" spans="1:13">
      <c r="A32" s="72">
        <v>34</v>
      </c>
      <c r="B32" s="55" t="s">
        <v>140</v>
      </c>
      <c r="C32" s="81">
        <f t="shared" ref="C32:C62" si="3">SUMIFS(tballsa,tballnk,B32)</f>
        <v>14977000</v>
      </c>
      <c r="D32" s="73">
        <f t="shared" si="2"/>
        <v>14977000</v>
      </c>
      <c r="E32" s="73">
        <f t="shared" si="1"/>
        <v>0</v>
      </c>
      <c r="F32" s="41"/>
      <c r="G32" s="80"/>
      <c r="H32" s="80"/>
      <c r="I32" s="78"/>
      <c r="J32" s="70"/>
      <c r="K32" s="70"/>
      <c r="L32" s="70"/>
      <c r="M32" s="70"/>
    </row>
    <row r="33" spans="1:13">
      <c r="A33" s="72">
        <v>35</v>
      </c>
      <c r="B33" s="55" t="s">
        <v>81</v>
      </c>
      <c r="C33" s="81">
        <f t="shared" si="3"/>
        <v>13960000</v>
      </c>
      <c r="D33" s="73">
        <f t="shared" si="2"/>
        <v>13960000</v>
      </c>
      <c r="E33" s="73">
        <f t="shared" si="1"/>
        <v>0</v>
      </c>
      <c r="F33" s="41"/>
      <c r="G33" s="80"/>
      <c r="H33" s="80"/>
      <c r="I33" s="78"/>
      <c r="J33" s="70"/>
      <c r="K33" s="70"/>
      <c r="L33" s="70"/>
      <c r="M33" s="70"/>
    </row>
    <row r="34" spans="1:13">
      <c r="A34" s="72">
        <v>36</v>
      </c>
      <c r="B34" s="55" t="s">
        <v>141</v>
      </c>
      <c r="C34" s="81">
        <f t="shared" si="3"/>
        <v>13685000</v>
      </c>
      <c r="D34" s="73">
        <f t="shared" si="2"/>
        <v>13685000</v>
      </c>
      <c r="E34" s="73">
        <f t="shared" si="1"/>
        <v>0</v>
      </c>
      <c r="F34" s="41"/>
      <c r="G34" s="80"/>
      <c r="H34" s="80"/>
      <c r="I34" s="78"/>
      <c r="J34" s="70"/>
      <c r="K34" s="70"/>
      <c r="L34" s="70"/>
      <c r="M34" s="70"/>
    </row>
    <row r="35" spans="1:13">
      <c r="A35" s="72">
        <v>37</v>
      </c>
      <c r="B35" s="55" t="s">
        <v>95</v>
      </c>
      <c r="C35" s="81">
        <f t="shared" si="3"/>
        <v>13187500</v>
      </c>
      <c r="D35" s="73">
        <f t="shared" si="2"/>
        <v>13187500</v>
      </c>
      <c r="E35" s="73">
        <f t="shared" si="1"/>
        <v>0</v>
      </c>
      <c r="F35" s="41"/>
      <c r="G35" s="80"/>
      <c r="H35" s="80"/>
      <c r="I35" s="78"/>
      <c r="J35" s="70"/>
      <c r="K35" s="70"/>
      <c r="L35" s="70"/>
      <c r="M35" s="70"/>
    </row>
    <row r="36" spans="1:13">
      <c r="A36" s="72">
        <v>38</v>
      </c>
      <c r="B36" s="55" t="s">
        <v>155</v>
      </c>
      <c r="C36" s="81">
        <f t="shared" si="3"/>
        <v>12695000</v>
      </c>
      <c r="D36" s="73">
        <f t="shared" si="2"/>
        <v>12695000</v>
      </c>
      <c r="E36" s="73">
        <f t="shared" si="1"/>
        <v>0</v>
      </c>
      <c r="F36" s="41"/>
      <c r="G36" s="80"/>
      <c r="H36" s="80"/>
      <c r="I36" s="78"/>
      <c r="J36" s="70"/>
      <c r="K36" s="70"/>
      <c r="L36" s="70"/>
      <c r="M36" s="70"/>
    </row>
    <row r="37" spans="1:13">
      <c r="A37" s="72">
        <v>39</v>
      </c>
      <c r="B37" s="55" t="s">
        <v>79</v>
      </c>
      <c r="C37" s="81">
        <f t="shared" si="3"/>
        <v>12050000</v>
      </c>
      <c r="D37" s="73">
        <f t="shared" si="2"/>
        <v>12050000</v>
      </c>
      <c r="E37" s="73">
        <f t="shared" si="1"/>
        <v>0</v>
      </c>
      <c r="F37" s="41"/>
      <c r="G37" s="80"/>
      <c r="H37" s="80"/>
      <c r="I37" s="78"/>
      <c r="J37" s="70"/>
      <c r="K37" s="70"/>
      <c r="L37" s="70"/>
      <c r="M37" s="70"/>
    </row>
    <row r="38" spans="1:13">
      <c r="A38" s="72">
        <v>40</v>
      </c>
      <c r="B38" s="55" t="s">
        <v>96</v>
      </c>
      <c r="C38" s="81">
        <f t="shared" si="3"/>
        <v>9715000</v>
      </c>
      <c r="D38" s="73">
        <f t="shared" si="2"/>
        <v>9715000</v>
      </c>
      <c r="E38" s="73">
        <f t="shared" si="1"/>
        <v>0</v>
      </c>
      <c r="F38" s="41"/>
      <c r="G38" s="80"/>
      <c r="H38" s="80"/>
      <c r="I38" s="78"/>
      <c r="J38" s="70"/>
      <c r="K38" s="70"/>
      <c r="L38" s="70"/>
      <c r="M38" s="70"/>
    </row>
    <row r="39" spans="1:13">
      <c r="A39" s="72">
        <v>41</v>
      </c>
      <c r="B39" s="55" t="s">
        <v>91</v>
      </c>
      <c r="C39" s="81">
        <f t="shared" si="3"/>
        <v>9698800</v>
      </c>
      <c r="D39" s="73">
        <f t="shared" si="2"/>
        <v>9698800</v>
      </c>
      <c r="E39" s="73">
        <f t="shared" si="1"/>
        <v>0</v>
      </c>
      <c r="F39" s="41"/>
      <c r="G39" s="80"/>
      <c r="H39" s="80"/>
      <c r="I39" s="78"/>
      <c r="J39" s="70"/>
      <c r="K39" s="70"/>
      <c r="L39" s="70"/>
      <c r="M39" s="70"/>
    </row>
    <row r="40" spans="1:13">
      <c r="A40" s="72">
        <v>42</v>
      </c>
      <c r="B40" s="55" t="s">
        <v>171</v>
      </c>
      <c r="C40" s="81">
        <f t="shared" si="3"/>
        <v>9020000</v>
      </c>
      <c r="D40" s="73">
        <f t="shared" si="2"/>
        <v>9020000</v>
      </c>
      <c r="E40" s="73">
        <f t="shared" si="1"/>
        <v>0</v>
      </c>
      <c r="F40" s="41"/>
      <c r="G40" s="80"/>
      <c r="H40" s="80"/>
      <c r="I40" s="78"/>
      <c r="J40" s="70"/>
      <c r="K40" s="70"/>
      <c r="L40" s="70"/>
      <c r="M40" s="70"/>
    </row>
    <row r="41" spans="1:13">
      <c r="A41" s="72">
        <v>43</v>
      </c>
      <c r="B41" s="55" t="s">
        <v>71</v>
      </c>
      <c r="C41" s="81">
        <f t="shared" si="3"/>
        <v>8818500</v>
      </c>
      <c r="D41" s="73">
        <f t="shared" si="2"/>
        <v>8818500</v>
      </c>
      <c r="E41" s="73">
        <f t="shared" si="1"/>
        <v>0</v>
      </c>
      <c r="F41" s="41"/>
      <c r="G41" s="80"/>
      <c r="H41" s="80"/>
      <c r="I41" s="78"/>
      <c r="J41" s="70"/>
      <c r="K41" s="70"/>
      <c r="L41" s="70"/>
      <c r="M41" s="70"/>
    </row>
    <row r="42" spans="1:13">
      <c r="A42" s="72">
        <v>44</v>
      </c>
      <c r="B42" s="55" t="s">
        <v>80</v>
      </c>
      <c r="C42" s="81">
        <f t="shared" si="3"/>
        <v>8080000</v>
      </c>
      <c r="D42" s="73">
        <f t="shared" si="2"/>
        <v>8080000</v>
      </c>
      <c r="E42" s="73">
        <f t="shared" si="1"/>
        <v>0</v>
      </c>
      <c r="F42" s="41"/>
      <c r="G42" s="80"/>
      <c r="H42" s="80"/>
      <c r="I42" s="78"/>
      <c r="J42" s="70"/>
      <c r="K42" s="70"/>
      <c r="L42" s="70"/>
      <c r="M42" s="70"/>
    </row>
    <row r="43" spans="1:13">
      <c r="A43" s="72">
        <v>45</v>
      </c>
      <c r="B43" s="55" t="s">
        <v>64</v>
      </c>
      <c r="C43" s="81">
        <f t="shared" si="3"/>
        <v>8072500</v>
      </c>
      <c r="D43" s="73">
        <f t="shared" si="2"/>
        <v>8072500</v>
      </c>
      <c r="E43" s="73">
        <f t="shared" si="1"/>
        <v>0</v>
      </c>
      <c r="F43" s="41"/>
      <c r="G43" s="80"/>
      <c r="H43" s="80"/>
      <c r="I43" s="78"/>
      <c r="J43" s="70"/>
      <c r="K43" s="70"/>
      <c r="L43" s="70"/>
      <c r="M43" s="70"/>
    </row>
    <row r="44" spans="1:13">
      <c r="A44" s="72">
        <v>46</v>
      </c>
      <c r="B44" s="55" t="s">
        <v>86</v>
      </c>
      <c r="C44" s="81">
        <f t="shared" si="3"/>
        <v>7759500</v>
      </c>
      <c r="D44" s="73">
        <f t="shared" si="2"/>
        <v>7759500</v>
      </c>
      <c r="E44" s="73">
        <f t="shared" si="1"/>
        <v>0</v>
      </c>
      <c r="F44" s="41"/>
      <c r="G44" s="80"/>
      <c r="H44" s="80"/>
      <c r="I44" s="78"/>
      <c r="J44" s="70"/>
      <c r="K44" s="70"/>
      <c r="L44" s="70"/>
      <c r="M44" s="70"/>
    </row>
    <row r="45" spans="1:13">
      <c r="A45" s="72">
        <v>47</v>
      </c>
      <c r="B45" s="55" t="s">
        <v>89</v>
      </c>
      <c r="C45" s="81">
        <f t="shared" si="3"/>
        <v>7280000</v>
      </c>
      <c r="D45" s="73">
        <f t="shared" si="2"/>
        <v>7280000</v>
      </c>
      <c r="E45" s="73">
        <f t="shared" si="1"/>
        <v>0</v>
      </c>
      <c r="F45" s="41"/>
      <c r="G45" s="80"/>
      <c r="H45" s="80"/>
      <c r="I45" s="78"/>
      <c r="J45" s="70"/>
      <c r="K45" s="70"/>
      <c r="L45" s="70"/>
      <c r="M45" s="70"/>
    </row>
    <row r="46" spans="1:13">
      <c r="A46" s="72">
        <v>48</v>
      </c>
      <c r="B46" s="55" t="s">
        <v>144</v>
      </c>
      <c r="C46" s="81">
        <f t="shared" si="3"/>
        <v>6840000</v>
      </c>
      <c r="D46" s="73">
        <f t="shared" si="2"/>
        <v>6840000</v>
      </c>
      <c r="E46" s="73">
        <f t="shared" si="1"/>
        <v>0</v>
      </c>
      <c r="F46" s="41"/>
      <c r="G46" s="80"/>
      <c r="H46" s="80"/>
      <c r="I46" s="78"/>
      <c r="J46" s="70"/>
      <c r="K46" s="70"/>
      <c r="L46" s="70"/>
      <c r="M46" s="70"/>
    </row>
    <row r="47" spans="1:13">
      <c r="A47" s="72">
        <v>49</v>
      </c>
      <c r="B47" s="55" t="s">
        <v>185</v>
      </c>
      <c r="C47" s="81">
        <f t="shared" si="3"/>
        <v>6730000</v>
      </c>
      <c r="D47" s="73">
        <f t="shared" si="2"/>
        <v>6730000</v>
      </c>
      <c r="E47" s="73">
        <f t="shared" si="1"/>
        <v>0</v>
      </c>
      <c r="F47" s="41"/>
      <c r="G47" s="80"/>
      <c r="H47" s="80"/>
      <c r="I47" s="41"/>
      <c r="J47" s="70"/>
      <c r="K47" s="70"/>
      <c r="L47" s="70"/>
      <c r="M47" s="70"/>
    </row>
    <row r="48" spans="1:13">
      <c r="A48" s="72">
        <v>50</v>
      </c>
      <c r="B48" s="55" t="s">
        <v>67</v>
      </c>
      <c r="C48" s="81">
        <f t="shared" si="3"/>
        <v>6300000</v>
      </c>
      <c r="D48" s="73">
        <f t="shared" si="2"/>
        <v>6300000</v>
      </c>
      <c r="E48" s="73">
        <f t="shared" si="1"/>
        <v>0</v>
      </c>
      <c r="F48" s="41"/>
      <c r="G48" s="80"/>
      <c r="H48" s="80"/>
      <c r="I48" s="41"/>
      <c r="J48" s="70"/>
      <c r="K48" s="70"/>
      <c r="L48" s="70"/>
      <c r="M48" s="70"/>
    </row>
    <row r="49" spans="1:13">
      <c r="A49" s="72">
        <v>51</v>
      </c>
      <c r="B49" s="55" t="s">
        <v>121</v>
      </c>
      <c r="C49" s="81">
        <f t="shared" si="3"/>
        <v>5950000</v>
      </c>
      <c r="D49" s="73">
        <f t="shared" si="2"/>
        <v>5950000</v>
      </c>
      <c r="E49" s="73">
        <f t="shared" si="1"/>
        <v>0</v>
      </c>
      <c r="F49" s="41"/>
      <c r="G49" s="80"/>
      <c r="H49" s="80"/>
      <c r="I49" s="41"/>
      <c r="J49" s="70"/>
      <c r="K49" s="70"/>
      <c r="L49" s="70"/>
      <c r="M49" s="70"/>
    </row>
    <row r="50" spans="1:13">
      <c r="A50" s="72">
        <v>52</v>
      </c>
      <c r="B50" s="55" t="s">
        <v>191</v>
      </c>
      <c r="C50" s="81">
        <f t="shared" si="3"/>
        <v>5000000</v>
      </c>
      <c r="D50" s="73">
        <f t="shared" si="2"/>
        <v>5000000</v>
      </c>
      <c r="E50" s="73">
        <f t="shared" si="1"/>
        <v>0</v>
      </c>
      <c r="F50" s="41"/>
      <c r="G50" s="80"/>
      <c r="H50" s="80"/>
      <c r="I50" s="41"/>
      <c r="J50" s="70"/>
      <c r="K50" s="70"/>
      <c r="L50" s="70"/>
      <c r="M50" s="70"/>
    </row>
    <row r="51" spans="1:13">
      <c r="A51" s="72">
        <v>53</v>
      </c>
      <c r="B51" s="55" t="s">
        <v>110</v>
      </c>
      <c r="C51" s="81">
        <f t="shared" si="3"/>
        <v>4920000</v>
      </c>
      <c r="D51" s="73">
        <f t="shared" si="2"/>
        <v>4920000</v>
      </c>
      <c r="E51" s="73">
        <f t="shared" si="1"/>
        <v>0</v>
      </c>
      <c r="F51" s="41"/>
      <c r="G51" s="80"/>
      <c r="H51" s="80"/>
      <c r="I51" s="41"/>
      <c r="J51" s="70"/>
      <c r="K51" s="70"/>
      <c r="L51" s="70"/>
      <c r="M51" s="70"/>
    </row>
    <row r="52" spans="1:13">
      <c r="A52" s="72">
        <v>54</v>
      </c>
      <c r="B52" s="55" t="s">
        <v>75</v>
      </c>
      <c r="C52" s="81">
        <f t="shared" si="3"/>
        <v>4907000</v>
      </c>
      <c r="D52" s="73">
        <f t="shared" si="2"/>
        <v>4907000</v>
      </c>
      <c r="E52" s="73">
        <f t="shared" si="1"/>
        <v>0</v>
      </c>
      <c r="F52" s="41"/>
      <c r="G52" s="80"/>
      <c r="H52" s="80"/>
      <c r="I52" s="41"/>
      <c r="J52" s="70"/>
      <c r="K52" s="70"/>
      <c r="L52" s="70"/>
      <c r="M52" s="70"/>
    </row>
    <row r="53" spans="1:13">
      <c r="A53" s="72">
        <v>55</v>
      </c>
      <c r="B53" s="55" t="s">
        <v>183</v>
      </c>
      <c r="C53" s="81">
        <f t="shared" si="3"/>
        <v>4845000</v>
      </c>
      <c r="D53" s="73">
        <f t="shared" si="2"/>
        <v>4845000</v>
      </c>
      <c r="E53" s="73">
        <f t="shared" si="1"/>
        <v>0</v>
      </c>
      <c r="F53" s="41"/>
      <c r="G53" s="80"/>
      <c r="H53" s="80"/>
      <c r="I53" s="41"/>
      <c r="J53" s="70"/>
      <c r="K53" s="70"/>
      <c r="L53" s="70"/>
      <c r="M53" s="70"/>
    </row>
    <row r="54" spans="1:13">
      <c r="A54" s="72">
        <v>56</v>
      </c>
      <c r="B54" s="55" t="s">
        <v>162</v>
      </c>
      <c r="C54" s="81">
        <f t="shared" si="3"/>
        <v>4523500</v>
      </c>
      <c r="D54" s="73">
        <f t="shared" si="2"/>
        <v>4523500</v>
      </c>
      <c r="E54" s="73">
        <f t="shared" si="1"/>
        <v>0</v>
      </c>
      <c r="F54" s="41"/>
      <c r="G54" s="80"/>
      <c r="H54" s="80"/>
      <c r="I54" s="41"/>
      <c r="J54" s="70"/>
      <c r="K54" s="70"/>
      <c r="L54" s="70"/>
      <c r="M54" s="70"/>
    </row>
    <row r="55" spans="1:13">
      <c r="A55" s="72">
        <v>57</v>
      </c>
      <c r="B55" s="55" t="s">
        <v>192</v>
      </c>
      <c r="C55" s="81">
        <f t="shared" si="3"/>
        <v>3782000</v>
      </c>
      <c r="D55" s="73">
        <f t="shared" si="2"/>
        <v>3782000</v>
      </c>
      <c r="E55" s="73">
        <f t="shared" si="1"/>
        <v>0</v>
      </c>
      <c r="F55" s="41"/>
      <c r="G55" s="80"/>
      <c r="H55" s="80"/>
      <c r="I55" s="41"/>
      <c r="J55" s="70"/>
      <c r="K55" s="70"/>
      <c r="L55" s="70"/>
      <c r="M55" s="70"/>
    </row>
    <row r="56" spans="1:13">
      <c r="A56" s="72">
        <v>58</v>
      </c>
      <c r="B56" s="55" t="s">
        <v>193</v>
      </c>
      <c r="C56" s="81">
        <f t="shared" si="3"/>
        <v>3760000</v>
      </c>
      <c r="D56" s="73">
        <f t="shared" si="2"/>
        <v>3760000</v>
      </c>
      <c r="E56" s="73">
        <f t="shared" si="1"/>
        <v>0</v>
      </c>
      <c r="F56" s="41"/>
      <c r="G56" s="80"/>
      <c r="H56" s="80"/>
      <c r="I56" s="41"/>
      <c r="J56" s="70"/>
      <c r="K56" s="70"/>
      <c r="L56" s="70"/>
      <c r="M56" s="70"/>
    </row>
    <row r="57" spans="1:13">
      <c r="A57" s="72">
        <v>59</v>
      </c>
      <c r="B57" s="55" t="s">
        <v>194</v>
      </c>
      <c r="C57" s="81">
        <f t="shared" si="3"/>
        <v>3760000</v>
      </c>
      <c r="D57" s="73">
        <f t="shared" si="2"/>
        <v>3760000</v>
      </c>
      <c r="E57" s="73">
        <f t="shared" si="1"/>
        <v>0</v>
      </c>
      <c r="F57" s="41"/>
      <c r="G57" s="80"/>
      <c r="H57" s="80"/>
      <c r="I57" s="41"/>
      <c r="J57" s="70"/>
      <c r="K57" s="70"/>
      <c r="L57" s="70"/>
      <c r="M57" s="70"/>
    </row>
    <row r="58" spans="1:13">
      <c r="A58" s="72">
        <v>60</v>
      </c>
      <c r="B58" s="55" t="s">
        <v>105</v>
      </c>
      <c r="C58" s="81">
        <f t="shared" si="3"/>
        <v>3500000</v>
      </c>
      <c r="D58" s="73">
        <f t="shared" si="2"/>
        <v>3500000</v>
      </c>
      <c r="E58" s="73">
        <f t="shared" si="1"/>
        <v>0</v>
      </c>
      <c r="F58" s="41"/>
      <c r="G58" s="80"/>
      <c r="H58" s="80"/>
      <c r="I58" s="41"/>
      <c r="J58" s="70"/>
      <c r="K58" s="70"/>
      <c r="L58" s="70"/>
      <c r="M58" s="70"/>
    </row>
    <row r="59" spans="1:13">
      <c r="A59" s="72">
        <v>61</v>
      </c>
      <c r="B59" s="55" t="s">
        <v>143</v>
      </c>
      <c r="C59" s="81">
        <f t="shared" si="3"/>
        <v>3272750</v>
      </c>
      <c r="D59" s="73">
        <f t="shared" si="2"/>
        <v>3272750</v>
      </c>
      <c r="E59" s="73">
        <f t="shared" si="1"/>
        <v>0</v>
      </c>
      <c r="F59" s="41"/>
      <c r="G59" s="80"/>
      <c r="H59" s="80"/>
      <c r="I59" s="41"/>
      <c r="J59" s="70"/>
      <c r="K59" s="70"/>
      <c r="L59" s="70"/>
      <c r="M59" s="70"/>
    </row>
    <row r="60" spans="1:13">
      <c r="A60" s="72">
        <v>62</v>
      </c>
      <c r="B60" s="55" t="s">
        <v>151</v>
      </c>
      <c r="C60" s="81">
        <f t="shared" si="3"/>
        <v>3000000</v>
      </c>
      <c r="D60" s="73">
        <f t="shared" si="2"/>
        <v>3000000</v>
      </c>
      <c r="E60" s="73">
        <f t="shared" si="1"/>
        <v>0</v>
      </c>
      <c r="F60" s="41"/>
      <c r="G60" s="80"/>
      <c r="H60" s="80"/>
      <c r="I60" s="41"/>
      <c r="J60" s="70"/>
      <c r="K60" s="70"/>
      <c r="L60" s="70"/>
      <c r="M60" s="70"/>
    </row>
    <row r="61" spans="1:13">
      <c r="A61" s="72">
        <v>63</v>
      </c>
      <c r="B61" s="55" t="s">
        <v>135</v>
      </c>
      <c r="C61" s="81">
        <f t="shared" si="3"/>
        <v>2925000</v>
      </c>
      <c r="D61" s="73">
        <f t="shared" si="2"/>
        <v>2925000</v>
      </c>
      <c r="E61" s="73">
        <f t="shared" si="1"/>
        <v>0</v>
      </c>
      <c r="F61" s="41"/>
      <c r="G61" s="80"/>
      <c r="H61" s="80"/>
      <c r="I61" s="41"/>
      <c r="J61" s="70"/>
      <c r="K61" s="70"/>
      <c r="L61" s="70"/>
      <c r="M61" s="70"/>
    </row>
    <row r="62" spans="1:13">
      <c r="A62" s="72">
        <v>64</v>
      </c>
      <c r="B62" s="55" t="s">
        <v>195</v>
      </c>
      <c r="C62" s="81">
        <f t="shared" si="3"/>
        <v>2220000</v>
      </c>
      <c r="D62" s="73">
        <f t="shared" si="2"/>
        <v>2220000</v>
      </c>
      <c r="E62" s="73">
        <f t="shared" si="1"/>
        <v>0</v>
      </c>
      <c r="F62" s="41"/>
      <c r="G62" s="80"/>
      <c r="H62" s="80"/>
      <c r="I62" s="41"/>
      <c r="J62" s="70"/>
      <c r="K62" s="70"/>
      <c r="L62" s="70"/>
      <c r="M62" s="70"/>
    </row>
    <row r="63" spans="1:13">
      <c r="A63" s="72">
        <v>65</v>
      </c>
      <c r="B63" s="55" t="s">
        <v>83</v>
      </c>
      <c r="C63" s="81">
        <f t="shared" ref="C63:C74" si="4">SUMIFS(tballsa,tballnk,B63)</f>
        <v>2100000</v>
      </c>
      <c r="D63" s="73">
        <f t="shared" si="2"/>
        <v>2100000</v>
      </c>
      <c r="E63" s="73">
        <f t="shared" si="1"/>
        <v>0</v>
      </c>
      <c r="F63" s="41"/>
      <c r="G63" s="80"/>
      <c r="H63" s="80"/>
      <c r="I63" s="41"/>
      <c r="J63" s="70"/>
      <c r="K63" s="70"/>
      <c r="L63" s="70"/>
      <c r="M63" s="70"/>
    </row>
    <row r="64" spans="1:13">
      <c r="A64" s="72">
        <v>66</v>
      </c>
      <c r="B64" s="55" t="s">
        <v>166</v>
      </c>
      <c r="C64" s="81">
        <f t="shared" si="4"/>
        <v>2000000</v>
      </c>
      <c r="D64" s="73">
        <f t="shared" si="2"/>
        <v>2000000</v>
      </c>
      <c r="E64" s="73">
        <f t="shared" si="1"/>
        <v>0</v>
      </c>
      <c r="F64" s="41"/>
      <c r="G64" s="80"/>
      <c r="H64" s="80"/>
      <c r="I64" s="41"/>
      <c r="J64" s="70"/>
      <c r="K64" s="70"/>
      <c r="L64" s="70"/>
      <c r="M64" s="70"/>
    </row>
    <row r="65" spans="1:13">
      <c r="A65" s="72">
        <v>67</v>
      </c>
      <c r="B65" s="55" t="s">
        <v>146</v>
      </c>
      <c r="C65" s="81">
        <f t="shared" si="4"/>
        <v>1941000</v>
      </c>
      <c r="D65" s="73">
        <f t="shared" si="2"/>
        <v>1941000</v>
      </c>
      <c r="E65" s="73">
        <f t="shared" si="1"/>
        <v>0</v>
      </c>
      <c r="F65" s="41"/>
      <c r="G65" s="80"/>
      <c r="H65" s="80"/>
      <c r="I65" s="41"/>
      <c r="J65" s="70"/>
      <c r="K65" s="70"/>
      <c r="L65" s="70"/>
      <c r="M65" s="70"/>
    </row>
    <row r="66" spans="1:13">
      <c r="A66" s="72">
        <v>68</v>
      </c>
      <c r="B66" s="55" t="s">
        <v>196</v>
      </c>
      <c r="C66" s="81">
        <f t="shared" si="4"/>
        <v>1880000</v>
      </c>
      <c r="D66" s="73">
        <f t="shared" si="2"/>
        <v>1880000</v>
      </c>
      <c r="E66" s="73">
        <f t="shared" si="1"/>
        <v>0</v>
      </c>
      <c r="F66" s="41"/>
      <c r="G66" s="80"/>
      <c r="H66" s="80"/>
      <c r="I66" s="41"/>
      <c r="J66" s="70"/>
      <c r="K66" s="70"/>
      <c r="L66" s="70"/>
      <c r="M66" s="70"/>
    </row>
    <row r="67" spans="1:13">
      <c r="A67" s="72">
        <v>69</v>
      </c>
      <c r="B67" s="55" t="s">
        <v>197</v>
      </c>
      <c r="C67" s="81">
        <f t="shared" si="4"/>
        <v>1880000</v>
      </c>
      <c r="D67" s="73">
        <f t="shared" si="2"/>
        <v>1880000</v>
      </c>
      <c r="E67" s="73">
        <f t="shared" si="1"/>
        <v>0</v>
      </c>
      <c r="F67" s="41"/>
      <c r="G67" s="80"/>
      <c r="H67" s="80"/>
      <c r="I67" s="41"/>
      <c r="J67" s="70"/>
      <c r="K67" s="70"/>
      <c r="L67" s="70"/>
      <c r="M67" s="70"/>
    </row>
    <row r="68" spans="1:13">
      <c r="A68" s="72">
        <v>70</v>
      </c>
      <c r="B68" s="55" t="s">
        <v>198</v>
      </c>
      <c r="C68" s="81">
        <f t="shared" si="4"/>
        <v>1880000</v>
      </c>
      <c r="D68" s="73">
        <f t="shared" si="2"/>
        <v>1880000</v>
      </c>
      <c r="E68" s="73">
        <f t="shared" si="1"/>
        <v>0</v>
      </c>
      <c r="F68" s="41"/>
      <c r="G68" s="80"/>
      <c r="H68" s="80"/>
      <c r="I68" s="41"/>
      <c r="J68" s="70"/>
      <c r="K68" s="70"/>
      <c r="L68" s="70"/>
      <c r="M68" s="70"/>
    </row>
    <row r="69" spans="1:13">
      <c r="A69" s="72">
        <v>71</v>
      </c>
      <c r="B69" s="55" t="s">
        <v>132</v>
      </c>
      <c r="C69" s="81">
        <f t="shared" si="4"/>
        <v>1680000</v>
      </c>
      <c r="D69" s="73">
        <f t="shared" si="2"/>
        <v>1680000</v>
      </c>
      <c r="E69" s="73">
        <f t="shared" ref="E69:E79" si="5">C69-D69</f>
        <v>0</v>
      </c>
      <c r="F69" s="41"/>
      <c r="G69" s="80"/>
      <c r="H69" s="80"/>
      <c r="I69" s="41"/>
      <c r="J69" s="70"/>
      <c r="K69" s="70"/>
      <c r="L69" s="70"/>
      <c r="M69" s="70"/>
    </row>
    <row r="70" spans="1:13">
      <c r="A70" s="72">
        <v>72</v>
      </c>
      <c r="B70" s="55" t="s">
        <v>169</v>
      </c>
      <c r="C70" s="81">
        <f t="shared" si="4"/>
        <v>1315000</v>
      </c>
      <c r="D70" s="73">
        <f t="shared" ref="D70:D74" si="6">C70</f>
        <v>1315000</v>
      </c>
      <c r="E70" s="73">
        <f t="shared" si="5"/>
        <v>0</v>
      </c>
      <c r="F70" s="41"/>
      <c r="G70" s="80"/>
      <c r="H70" s="80"/>
      <c r="I70" s="41"/>
      <c r="J70" s="70"/>
      <c r="K70" s="70"/>
      <c r="L70" s="70"/>
      <c r="M70" s="70"/>
    </row>
    <row r="71" spans="1:13">
      <c r="A71" s="72">
        <v>73</v>
      </c>
      <c r="B71" s="55" t="s">
        <v>199</v>
      </c>
      <c r="C71" s="81">
        <f t="shared" si="4"/>
        <v>1303000</v>
      </c>
      <c r="D71" s="73">
        <f t="shared" si="6"/>
        <v>1303000</v>
      </c>
      <c r="E71" s="73">
        <f t="shared" si="5"/>
        <v>0</v>
      </c>
      <c r="F71" s="41"/>
      <c r="G71" s="80"/>
      <c r="H71" s="80"/>
      <c r="I71" s="41"/>
      <c r="J71" s="70"/>
      <c r="K71" s="70"/>
      <c r="L71" s="70"/>
      <c r="M71" s="70"/>
    </row>
    <row r="72" spans="1:13">
      <c r="A72" s="72">
        <v>74</v>
      </c>
      <c r="B72" s="55" t="s">
        <v>84</v>
      </c>
      <c r="C72" s="81">
        <f t="shared" si="4"/>
        <v>1100000</v>
      </c>
      <c r="D72" s="73">
        <f t="shared" si="6"/>
        <v>1100000</v>
      </c>
      <c r="E72" s="73">
        <f t="shared" si="5"/>
        <v>0</v>
      </c>
      <c r="F72" s="41"/>
      <c r="G72" s="80"/>
      <c r="H72" s="80"/>
      <c r="I72" s="41"/>
      <c r="J72" s="70"/>
      <c r="K72" s="70"/>
      <c r="L72" s="70"/>
      <c r="M72" s="70"/>
    </row>
    <row r="73" spans="1:13">
      <c r="A73" s="72">
        <v>75</v>
      </c>
      <c r="B73" s="55" t="s">
        <v>123</v>
      </c>
      <c r="C73" s="81">
        <f t="shared" si="4"/>
        <v>903500</v>
      </c>
      <c r="D73" s="73">
        <f t="shared" si="6"/>
        <v>903500</v>
      </c>
      <c r="E73" s="73">
        <f t="shared" si="5"/>
        <v>0</v>
      </c>
      <c r="F73" s="41"/>
      <c r="G73" s="80"/>
      <c r="H73" s="80"/>
      <c r="I73" s="41"/>
      <c r="J73" s="70"/>
      <c r="K73" s="70"/>
      <c r="L73" s="70"/>
      <c r="M73" s="70"/>
    </row>
    <row r="74" spans="1:13">
      <c r="A74" s="72">
        <v>76</v>
      </c>
      <c r="B74" s="55" t="s">
        <v>73</v>
      </c>
      <c r="C74" s="81">
        <f t="shared" si="4"/>
        <v>50000</v>
      </c>
      <c r="D74" s="73">
        <f t="shared" si="6"/>
        <v>50000</v>
      </c>
      <c r="E74" s="73">
        <f t="shared" si="5"/>
        <v>0</v>
      </c>
      <c r="F74" s="41"/>
      <c r="G74" s="80"/>
      <c r="H74" s="80"/>
      <c r="I74" s="41"/>
      <c r="J74" s="70"/>
      <c r="K74" s="70"/>
      <c r="L74" s="70"/>
      <c r="M74" s="70"/>
    </row>
    <row r="75" spans="1:13" hidden="1">
      <c r="A75" s="72">
        <v>77</v>
      </c>
      <c r="B75" s="55"/>
      <c r="C75" s="81"/>
      <c r="D75" s="73"/>
      <c r="E75" s="73"/>
      <c r="F75" s="41"/>
      <c r="G75" s="80"/>
      <c r="H75" s="80"/>
      <c r="I75" s="41"/>
      <c r="J75" s="70"/>
      <c r="K75" s="70"/>
      <c r="L75" s="70"/>
      <c r="M75" s="70"/>
    </row>
    <row r="76" spans="1:13" hidden="1">
      <c r="A76" s="72">
        <v>78</v>
      </c>
      <c r="B76" s="55"/>
      <c r="C76" s="81"/>
      <c r="D76" s="73"/>
      <c r="E76" s="73"/>
      <c r="F76" s="41"/>
      <c r="G76" s="80"/>
      <c r="H76" s="80"/>
      <c r="I76" s="41"/>
      <c r="J76" s="70"/>
      <c r="K76" s="70"/>
      <c r="L76" s="70"/>
      <c r="M76" s="70"/>
    </row>
    <row r="77" spans="1:13" hidden="1">
      <c r="A77" s="72">
        <v>79</v>
      </c>
      <c r="B77" s="55"/>
      <c r="C77" s="81"/>
      <c r="D77" s="73"/>
      <c r="E77" s="73"/>
      <c r="F77" s="41"/>
      <c r="G77" s="80"/>
      <c r="H77" s="80"/>
      <c r="I77" s="41"/>
      <c r="J77" s="70"/>
      <c r="K77" s="70"/>
      <c r="L77" s="70"/>
      <c r="M77" s="70"/>
    </row>
    <row r="78" spans="1:13" hidden="1">
      <c r="A78" s="72">
        <v>80</v>
      </c>
      <c r="B78" s="55"/>
      <c r="C78" s="81"/>
      <c r="D78" s="73"/>
      <c r="E78" s="73"/>
      <c r="F78" s="41"/>
      <c r="G78" s="80"/>
      <c r="H78" s="80"/>
      <c r="I78" s="41"/>
      <c r="J78" s="70"/>
      <c r="K78" s="70"/>
      <c r="L78" s="70"/>
      <c r="M78" s="70"/>
    </row>
    <row r="79" spans="1:13" hidden="1">
      <c r="A79" s="72">
        <v>81</v>
      </c>
      <c r="B79" s="55"/>
      <c r="C79" s="81"/>
      <c r="D79" s="73"/>
      <c r="E79" s="73"/>
      <c r="F79" s="41"/>
      <c r="G79" s="80"/>
      <c r="H79" s="80"/>
      <c r="I79" s="41"/>
      <c r="J79" s="70"/>
      <c r="K79" s="70"/>
      <c r="L79" s="70"/>
      <c r="M79" s="70"/>
    </row>
    <row r="80" spans="1:13" hidden="1">
      <c r="A80" s="72">
        <v>82</v>
      </c>
      <c r="B80" s="55"/>
      <c r="C80" s="81"/>
      <c r="D80" s="73"/>
      <c r="E80" s="73"/>
      <c r="F80" s="41"/>
      <c r="G80" s="80"/>
      <c r="H80" s="80"/>
      <c r="I80" s="41"/>
      <c r="J80" s="70"/>
      <c r="K80" s="70"/>
      <c r="L80" s="70"/>
      <c r="M80" s="70"/>
    </row>
    <row r="81" spans="1:13" hidden="1">
      <c r="A81" s="72">
        <v>83</v>
      </c>
      <c r="B81" s="55"/>
      <c r="C81" s="81"/>
      <c r="D81" s="73"/>
      <c r="E81" s="73"/>
      <c r="F81" s="41"/>
      <c r="G81" s="80"/>
      <c r="H81" s="80"/>
      <c r="I81" s="41"/>
      <c r="J81" s="70"/>
      <c r="K81" s="70"/>
      <c r="L81" s="70"/>
      <c r="M81" s="70"/>
    </row>
    <row r="82" spans="1:13" hidden="1">
      <c r="A82" s="72">
        <v>84</v>
      </c>
      <c r="B82" s="55"/>
      <c r="C82" s="81"/>
      <c r="D82" s="73"/>
      <c r="E82" s="73"/>
      <c r="F82" s="41"/>
      <c r="G82" s="80"/>
      <c r="H82" s="80"/>
      <c r="I82" s="41"/>
      <c r="J82" s="70"/>
      <c r="K82" s="70"/>
      <c r="L82" s="70"/>
      <c r="M82" s="70"/>
    </row>
    <row r="83" spans="1:13" hidden="1">
      <c r="A83" s="72">
        <v>85</v>
      </c>
      <c r="B83" s="55"/>
      <c r="C83" s="81"/>
      <c r="D83" s="73"/>
      <c r="E83" s="73"/>
      <c r="F83" s="41"/>
      <c r="G83" s="80"/>
      <c r="H83" s="80"/>
      <c r="I83" s="78"/>
      <c r="J83" s="70"/>
      <c r="K83" s="70"/>
      <c r="L83" s="70"/>
      <c r="M83" s="70"/>
    </row>
    <row r="84" spans="1:13" hidden="1">
      <c r="A84" s="72">
        <v>86</v>
      </c>
      <c r="B84" s="55"/>
      <c r="C84" s="81"/>
      <c r="D84" s="73"/>
      <c r="E84" s="73"/>
      <c r="F84" s="41"/>
      <c r="G84" s="80"/>
      <c r="H84" s="80"/>
      <c r="I84" s="78"/>
      <c r="J84" s="70"/>
      <c r="K84" s="70"/>
      <c r="L84" s="70"/>
      <c r="M84" s="70"/>
    </row>
    <row r="85" spans="1:13" hidden="1">
      <c r="A85" s="72">
        <v>87</v>
      </c>
      <c r="B85" s="55"/>
      <c r="C85" s="81"/>
      <c r="D85" s="73"/>
      <c r="E85" s="73"/>
      <c r="F85" s="41"/>
      <c r="G85" s="80"/>
      <c r="H85" s="80"/>
      <c r="I85" s="41"/>
      <c r="J85" s="70"/>
      <c r="K85" s="70"/>
      <c r="L85" s="70"/>
      <c r="M85" s="70"/>
    </row>
    <row r="86" spans="1:13" hidden="1">
      <c r="A86" s="72">
        <v>88</v>
      </c>
      <c r="B86" s="55"/>
      <c r="C86" s="81"/>
      <c r="D86" s="73"/>
      <c r="E86" s="73"/>
      <c r="F86" s="41"/>
      <c r="G86" s="80"/>
      <c r="H86" s="80"/>
      <c r="I86" s="41"/>
      <c r="J86" s="70"/>
      <c r="K86" s="70"/>
      <c r="L86" s="70"/>
      <c r="M86" s="70"/>
    </row>
    <row r="87" spans="1:13" hidden="1">
      <c r="A87" s="72">
        <v>89</v>
      </c>
      <c r="B87" s="63"/>
      <c r="C87" s="73">
        <f t="shared" ref="C87:C94" si="7">SUMIFS(tballsa,tballnk,B87)</f>
        <v>0</v>
      </c>
      <c r="D87" s="73">
        <f t="shared" ref="D87:D123" si="8">C87</f>
        <v>0</v>
      </c>
      <c r="E87" s="73">
        <f t="shared" ref="E87:E124" si="9">C87-D87</f>
        <v>0</v>
      </c>
      <c r="F87" s="41"/>
      <c r="G87" s="80"/>
      <c r="H87" s="80"/>
      <c r="I87" s="41"/>
      <c r="J87" s="70"/>
      <c r="K87" s="70"/>
      <c r="L87" s="70"/>
      <c r="M87" s="70"/>
    </row>
    <row r="88" spans="1:13" hidden="1">
      <c r="A88" s="72">
        <v>90</v>
      </c>
      <c r="B88" s="63"/>
      <c r="C88" s="73">
        <f t="shared" si="7"/>
        <v>0</v>
      </c>
      <c r="D88" s="73">
        <f t="shared" si="8"/>
        <v>0</v>
      </c>
      <c r="E88" s="73">
        <f t="shared" si="9"/>
        <v>0</v>
      </c>
      <c r="F88" s="41"/>
      <c r="G88" s="80"/>
      <c r="H88" s="80"/>
      <c r="I88" s="41"/>
      <c r="J88" s="70"/>
      <c r="K88" s="70"/>
      <c r="L88" s="70"/>
      <c r="M88" s="70"/>
    </row>
    <row r="89" spans="1:13" hidden="1">
      <c r="A89" s="72">
        <v>91</v>
      </c>
      <c r="B89" s="63"/>
      <c r="C89" s="73">
        <f t="shared" si="7"/>
        <v>0</v>
      </c>
      <c r="D89" s="73">
        <f t="shared" si="8"/>
        <v>0</v>
      </c>
      <c r="E89" s="73">
        <f t="shared" si="9"/>
        <v>0</v>
      </c>
      <c r="F89" s="41"/>
      <c r="G89" s="80"/>
      <c r="H89" s="80"/>
      <c r="I89" s="41"/>
      <c r="J89" s="70"/>
      <c r="K89" s="70"/>
      <c r="L89" s="70"/>
      <c r="M89" s="70"/>
    </row>
    <row r="90" spans="1:13" hidden="1">
      <c r="A90" s="72">
        <v>92</v>
      </c>
      <c r="B90" s="63"/>
      <c r="C90" s="73">
        <f t="shared" si="7"/>
        <v>0</v>
      </c>
      <c r="D90" s="73">
        <f t="shared" si="8"/>
        <v>0</v>
      </c>
      <c r="E90" s="73">
        <f t="shared" si="9"/>
        <v>0</v>
      </c>
      <c r="F90" s="41"/>
      <c r="G90" s="80"/>
      <c r="H90" s="80"/>
      <c r="I90" s="41"/>
      <c r="J90" s="70"/>
      <c r="K90" s="70"/>
      <c r="L90" s="70"/>
      <c r="M90" s="70"/>
    </row>
    <row r="91" spans="1:13" hidden="1">
      <c r="A91" s="72">
        <v>93</v>
      </c>
      <c r="B91" s="63"/>
      <c r="C91" s="73">
        <f t="shared" si="7"/>
        <v>0</v>
      </c>
      <c r="D91" s="73">
        <f t="shared" si="8"/>
        <v>0</v>
      </c>
      <c r="E91" s="73">
        <f t="shared" si="9"/>
        <v>0</v>
      </c>
      <c r="F91" s="41"/>
      <c r="G91" s="80"/>
      <c r="H91" s="80"/>
      <c r="I91" s="41"/>
      <c r="J91" s="70"/>
      <c r="K91" s="70"/>
      <c r="L91" s="70"/>
      <c r="M91" s="70"/>
    </row>
    <row r="92" spans="1:13" hidden="1">
      <c r="A92" s="72">
        <v>94</v>
      </c>
      <c r="B92" s="63"/>
      <c r="C92" s="73">
        <f t="shared" si="7"/>
        <v>0</v>
      </c>
      <c r="D92" s="73">
        <f t="shared" si="8"/>
        <v>0</v>
      </c>
      <c r="E92" s="73">
        <f t="shared" si="9"/>
        <v>0</v>
      </c>
      <c r="F92" s="41"/>
      <c r="G92" s="80"/>
      <c r="H92" s="80"/>
      <c r="I92" s="41"/>
      <c r="J92" s="70"/>
      <c r="K92" s="70"/>
      <c r="L92" s="70"/>
      <c r="M92" s="70"/>
    </row>
    <row r="93" spans="1:13" hidden="1">
      <c r="A93" s="72">
        <v>95</v>
      </c>
      <c r="B93" s="63"/>
      <c r="C93" s="73">
        <f t="shared" si="7"/>
        <v>0</v>
      </c>
      <c r="D93" s="73">
        <f t="shared" si="8"/>
        <v>0</v>
      </c>
      <c r="E93" s="73">
        <f t="shared" si="9"/>
        <v>0</v>
      </c>
      <c r="F93" s="41"/>
      <c r="G93" s="80"/>
      <c r="H93" s="80"/>
      <c r="I93" s="41"/>
      <c r="J93" s="70"/>
      <c r="K93" s="70"/>
      <c r="L93" s="70"/>
      <c r="M93" s="70"/>
    </row>
    <row r="94" spans="1:13" hidden="1">
      <c r="A94" s="72">
        <v>96</v>
      </c>
      <c r="B94" s="63"/>
      <c r="C94" s="73">
        <f t="shared" si="7"/>
        <v>0</v>
      </c>
      <c r="D94" s="73">
        <f t="shared" si="8"/>
        <v>0</v>
      </c>
      <c r="E94" s="73">
        <f t="shared" si="9"/>
        <v>0</v>
      </c>
      <c r="F94" s="41"/>
      <c r="G94" s="80"/>
      <c r="H94" s="80"/>
      <c r="I94" s="41"/>
      <c r="J94" s="70"/>
      <c r="K94" s="70"/>
      <c r="L94" s="70"/>
      <c r="M94" s="70"/>
    </row>
    <row r="95" spans="1:13" hidden="1">
      <c r="A95" s="72">
        <v>97</v>
      </c>
      <c r="B95" s="63"/>
      <c r="C95" s="73">
        <f t="shared" ref="C95:C124" si="10">SUMIFS(tballsa,tballnk,B95)</f>
        <v>0</v>
      </c>
      <c r="D95" s="73">
        <f t="shared" si="8"/>
        <v>0</v>
      </c>
      <c r="E95" s="73">
        <f t="shared" si="9"/>
        <v>0</v>
      </c>
      <c r="F95" s="41"/>
      <c r="G95" s="80"/>
      <c r="H95" s="80"/>
      <c r="I95" s="41"/>
      <c r="J95" s="70"/>
      <c r="K95" s="70"/>
      <c r="L95" s="70"/>
      <c r="M95" s="70"/>
    </row>
    <row r="96" spans="1:13" hidden="1">
      <c r="A96" s="72">
        <v>98</v>
      </c>
      <c r="B96" s="63"/>
      <c r="C96" s="73">
        <f t="shared" si="10"/>
        <v>0</v>
      </c>
      <c r="D96" s="73">
        <f t="shared" si="8"/>
        <v>0</v>
      </c>
      <c r="E96" s="73">
        <f t="shared" si="9"/>
        <v>0</v>
      </c>
      <c r="F96" s="41"/>
      <c r="G96" s="80"/>
      <c r="H96" s="80"/>
      <c r="I96" s="41"/>
      <c r="J96" s="70"/>
      <c r="K96" s="70"/>
      <c r="L96" s="70"/>
      <c r="M96" s="70"/>
    </row>
    <row r="97" spans="1:13" hidden="1">
      <c r="A97" s="72">
        <v>99</v>
      </c>
      <c r="B97" s="63"/>
      <c r="C97" s="73">
        <f t="shared" si="10"/>
        <v>0</v>
      </c>
      <c r="D97" s="73">
        <f t="shared" si="8"/>
        <v>0</v>
      </c>
      <c r="E97" s="73">
        <f t="shared" si="9"/>
        <v>0</v>
      </c>
      <c r="F97" s="41"/>
      <c r="G97" s="80"/>
      <c r="H97" s="80"/>
      <c r="I97" s="41"/>
      <c r="J97" s="70"/>
      <c r="K97" s="70"/>
      <c r="L97" s="70"/>
      <c r="M97" s="70"/>
    </row>
    <row r="98" spans="1:13" hidden="1">
      <c r="A98" s="72">
        <v>100</v>
      </c>
      <c r="B98" s="63"/>
      <c r="C98" s="73">
        <f t="shared" si="10"/>
        <v>0</v>
      </c>
      <c r="D98" s="73">
        <f t="shared" si="8"/>
        <v>0</v>
      </c>
      <c r="E98" s="73">
        <f t="shared" si="9"/>
        <v>0</v>
      </c>
      <c r="F98" s="41"/>
      <c r="G98" s="80"/>
      <c r="H98" s="80"/>
      <c r="I98" s="41"/>
      <c r="J98" s="70"/>
      <c r="K98" s="70"/>
      <c r="L98" s="70"/>
      <c r="M98" s="70"/>
    </row>
    <row r="99" spans="1:13" hidden="1">
      <c r="A99" s="72">
        <v>101</v>
      </c>
      <c r="B99" s="63"/>
      <c r="C99" s="73">
        <f t="shared" si="10"/>
        <v>0</v>
      </c>
      <c r="D99" s="73">
        <f t="shared" si="8"/>
        <v>0</v>
      </c>
      <c r="E99" s="73">
        <f t="shared" si="9"/>
        <v>0</v>
      </c>
      <c r="F99" s="41"/>
      <c r="G99" s="80"/>
      <c r="H99" s="80"/>
      <c r="I99" s="41"/>
      <c r="J99" s="70"/>
      <c r="K99" s="70"/>
      <c r="L99" s="70"/>
      <c r="M99" s="70"/>
    </row>
    <row r="100" spans="1:13" hidden="1">
      <c r="A100" s="72">
        <v>102</v>
      </c>
      <c r="B100" s="63"/>
      <c r="C100" s="73">
        <f t="shared" si="10"/>
        <v>0</v>
      </c>
      <c r="D100" s="73">
        <f t="shared" si="8"/>
        <v>0</v>
      </c>
      <c r="E100" s="73">
        <f t="shared" si="9"/>
        <v>0</v>
      </c>
      <c r="F100" s="41"/>
      <c r="G100" s="80"/>
      <c r="H100" s="80"/>
      <c r="I100" s="41"/>
      <c r="J100" s="70"/>
      <c r="K100" s="70"/>
      <c r="L100" s="70"/>
      <c r="M100" s="70"/>
    </row>
    <row r="101" spans="1:13" hidden="1">
      <c r="A101" s="72">
        <v>103</v>
      </c>
      <c r="B101" s="63"/>
      <c r="C101" s="73">
        <f t="shared" si="10"/>
        <v>0</v>
      </c>
      <c r="D101" s="73">
        <f t="shared" si="8"/>
        <v>0</v>
      </c>
      <c r="E101" s="73">
        <f t="shared" si="9"/>
        <v>0</v>
      </c>
      <c r="F101" s="41"/>
      <c r="G101" s="80"/>
      <c r="H101" s="80"/>
      <c r="I101" s="41"/>
      <c r="J101" s="70"/>
      <c r="K101" s="70"/>
      <c r="L101" s="70"/>
      <c r="M101" s="70"/>
    </row>
    <row r="102" spans="1:13" hidden="1">
      <c r="A102" s="72">
        <v>104</v>
      </c>
      <c r="B102" s="63"/>
      <c r="C102" s="73">
        <f t="shared" si="10"/>
        <v>0</v>
      </c>
      <c r="D102" s="73">
        <f t="shared" si="8"/>
        <v>0</v>
      </c>
      <c r="E102" s="73">
        <f t="shared" si="9"/>
        <v>0</v>
      </c>
      <c r="F102" s="41"/>
      <c r="G102" s="80"/>
      <c r="H102" s="80"/>
      <c r="I102" s="41"/>
      <c r="J102" s="70"/>
      <c r="K102" s="70"/>
      <c r="L102" s="70"/>
      <c r="M102" s="70"/>
    </row>
    <row r="103" spans="1:13" hidden="1">
      <c r="A103" s="72">
        <v>105</v>
      </c>
      <c r="B103" s="63"/>
      <c r="C103" s="73">
        <f t="shared" si="10"/>
        <v>0</v>
      </c>
      <c r="D103" s="73">
        <f t="shared" si="8"/>
        <v>0</v>
      </c>
      <c r="E103" s="73">
        <f t="shared" si="9"/>
        <v>0</v>
      </c>
      <c r="F103" s="41"/>
      <c r="G103" s="80"/>
      <c r="H103" s="80"/>
      <c r="I103" s="41"/>
      <c r="J103" s="70"/>
      <c r="K103" s="70"/>
      <c r="L103" s="70"/>
      <c r="M103" s="70"/>
    </row>
    <row r="104" spans="1:13" hidden="1">
      <c r="A104" s="72">
        <v>106</v>
      </c>
      <c r="B104" s="63"/>
      <c r="C104" s="73">
        <f t="shared" si="10"/>
        <v>0</v>
      </c>
      <c r="D104" s="73">
        <f t="shared" si="8"/>
        <v>0</v>
      </c>
      <c r="E104" s="73">
        <f t="shared" si="9"/>
        <v>0</v>
      </c>
      <c r="F104" s="41"/>
      <c r="G104" s="80"/>
      <c r="H104" s="80"/>
      <c r="I104" s="41"/>
      <c r="J104" s="70"/>
      <c r="K104" s="70"/>
      <c r="L104" s="70"/>
      <c r="M104" s="70"/>
    </row>
    <row r="105" spans="1:13" hidden="1">
      <c r="A105" s="72">
        <v>107</v>
      </c>
      <c r="B105" s="63"/>
      <c r="C105" s="73">
        <f t="shared" si="10"/>
        <v>0</v>
      </c>
      <c r="D105" s="73">
        <f t="shared" si="8"/>
        <v>0</v>
      </c>
      <c r="E105" s="73">
        <f t="shared" si="9"/>
        <v>0</v>
      </c>
      <c r="F105" s="41"/>
      <c r="G105" s="80"/>
      <c r="H105" s="80"/>
      <c r="I105" s="41"/>
      <c r="J105" s="70"/>
      <c r="K105" s="70"/>
      <c r="L105" s="70"/>
      <c r="M105" s="70"/>
    </row>
    <row r="106" spans="1:13" hidden="1">
      <c r="A106" s="72">
        <v>108</v>
      </c>
      <c r="B106" s="63"/>
      <c r="C106" s="73">
        <f t="shared" si="10"/>
        <v>0</v>
      </c>
      <c r="D106" s="73">
        <f t="shared" si="8"/>
        <v>0</v>
      </c>
      <c r="E106" s="73">
        <f t="shared" si="9"/>
        <v>0</v>
      </c>
      <c r="F106" s="41"/>
      <c r="G106" s="80"/>
      <c r="H106" s="80"/>
      <c r="I106" s="41"/>
      <c r="J106" s="70"/>
      <c r="K106" s="70"/>
      <c r="L106" s="70"/>
      <c r="M106" s="70"/>
    </row>
    <row r="107" spans="1:13" hidden="1">
      <c r="A107" s="72">
        <v>109</v>
      </c>
      <c r="B107" s="63"/>
      <c r="C107" s="73">
        <f t="shared" si="10"/>
        <v>0</v>
      </c>
      <c r="D107" s="73">
        <f t="shared" si="8"/>
        <v>0</v>
      </c>
      <c r="E107" s="73">
        <f t="shared" si="9"/>
        <v>0</v>
      </c>
      <c r="F107" s="41"/>
      <c r="G107" s="80"/>
      <c r="H107" s="80"/>
      <c r="I107" s="78"/>
      <c r="J107" s="70"/>
      <c r="K107" s="70"/>
      <c r="L107" s="70"/>
      <c r="M107" s="70"/>
    </row>
    <row r="108" spans="1:13" hidden="1">
      <c r="A108" s="72">
        <v>110</v>
      </c>
      <c r="B108" s="63"/>
      <c r="C108" s="73">
        <f t="shared" si="10"/>
        <v>0</v>
      </c>
      <c r="D108" s="73">
        <f t="shared" si="8"/>
        <v>0</v>
      </c>
      <c r="E108" s="73">
        <f t="shared" si="9"/>
        <v>0</v>
      </c>
      <c r="F108" s="41"/>
      <c r="G108" s="80"/>
      <c r="H108" s="80"/>
      <c r="I108" s="78"/>
      <c r="J108" s="70"/>
      <c r="K108" s="70"/>
      <c r="L108" s="70"/>
      <c r="M108" s="70"/>
    </row>
    <row r="109" spans="1:13" hidden="1">
      <c r="A109" s="72">
        <v>111</v>
      </c>
      <c r="B109" s="63"/>
      <c r="C109" s="73">
        <f t="shared" si="10"/>
        <v>0</v>
      </c>
      <c r="D109" s="73">
        <f t="shared" si="8"/>
        <v>0</v>
      </c>
      <c r="E109" s="73">
        <f t="shared" si="9"/>
        <v>0</v>
      </c>
      <c r="F109" s="41"/>
      <c r="G109" s="80"/>
      <c r="H109" s="80"/>
      <c r="I109" s="41"/>
      <c r="J109" s="70"/>
      <c r="K109" s="70"/>
      <c r="L109" s="70"/>
      <c r="M109" s="70"/>
    </row>
    <row r="110" spans="1:13" hidden="1">
      <c r="A110" s="72">
        <v>112</v>
      </c>
      <c r="B110" s="63"/>
      <c r="C110" s="73">
        <f t="shared" si="10"/>
        <v>0</v>
      </c>
      <c r="D110" s="73">
        <f t="shared" si="8"/>
        <v>0</v>
      </c>
      <c r="E110" s="73">
        <f t="shared" si="9"/>
        <v>0</v>
      </c>
      <c r="F110" s="41"/>
      <c r="G110" s="80"/>
      <c r="H110" s="80"/>
      <c r="I110" s="41"/>
      <c r="J110" s="70"/>
      <c r="K110" s="70"/>
      <c r="L110" s="70"/>
      <c r="M110" s="70"/>
    </row>
    <row r="111" spans="1:13" hidden="1">
      <c r="A111" s="72">
        <v>113</v>
      </c>
      <c r="B111" s="63"/>
      <c r="C111" s="73">
        <f t="shared" si="10"/>
        <v>0</v>
      </c>
      <c r="D111" s="73">
        <f t="shared" si="8"/>
        <v>0</v>
      </c>
      <c r="E111" s="73">
        <f t="shared" si="9"/>
        <v>0</v>
      </c>
      <c r="F111" s="41"/>
      <c r="G111" s="80"/>
      <c r="H111" s="80"/>
      <c r="I111" s="41"/>
      <c r="J111" s="70"/>
      <c r="K111" s="70"/>
      <c r="L111" s="70"/>
      <c r="M111" s="70"/>
    </row>
    <row r="112" spans="1:13" hidden="1">
      <c r="A112" s="72">
        <v>114</v>
      </c>
      <c r="B112" s="63"/>
      <c r="C112" s="73">
        <f t="shared" si="10"/>
        <v>0</v>
      </c>
      <c r="D112" s="73">
        <f t="shared" si="8"/>
        <v>0</v>
      </c>
      <c r="E112" s="73">
        <f t="shared" si="9"/>
        <v>0</v>
      </c>
      <c r="F112" s="41"/>
      <c r="G112" s="80"/>
      <c r="H112" s="80"/>
      <c r="I112" s="41"/>
      <c r="J112" s="70"/>
      <c r="K112" s="70"/>
      <c r="L112" s="70"/>
      <c r="M112" s="70"/>
    </row>
    <row r="113" spans="1:13" hidden="1">
      <c r="A113" s="72">
        <v>115</v>
      </c>
      <c r="B113" s="63"/>
      <c r="C113" s="73">
        <f t="shared" si="10"/>
        <v>0</v>
      </c>
      <c r="D113" s="73">
        <f t="shared" si="8"/>
        <v>0</v>
      </c>
      <c r="E113" s="73">
        <f t="shared" si="9"/>
        <v>0</v>
      </c>
      <c r="F113" s="41"/>
      <c r="G113" s="80"/>
      <c r="H113" s="80"/>
      <c r="I113" s="41"/>
      <c r="J113" s="70"/>
      <c r="K113" s="70"/>
      <c r="L113" s="70"/>
      <c r="M113" s="70"/>
    </row>
    <row r="114" spans="1:13" hidden="1">
      <c r="A114" s="72">
        <v>116</v>
      </c>
      <c r="B114" s="63"/>
      <c r="C114" s="73">
        <f t="shared" si="10"/>
        <v>0</v>
      </c>
      <c r="D114" s="73">
        <f t="shared" si="8"/>
        <v>0</v>
      </c>
      <c r="E114" s="73">
        <f t="shared" si="9"/>
        <v>0</v>
      </c>
      <c r="F114" s="41"/>
      <c r="G114" s="80"/>
      <c r="H114" s="80"/>
      <c r="I114" s="41"/>
      <c r="J114" s="70"/>
      <c r="K114" s="70"/>
      <c r="L114" s="70"/>
      <c r="M114" s="70"/>
    </row>
    <row r="115" spans="1:13" hidden="1">
      <c r="A115" s="72">
        <v>117</v>
      </c>
      <c r="B115" s="63"/>
      <c r="C115" s="73">
        <f t="shared" si="10"/>
        <v>0</v>
      </c>
      <c r="D115" s="73">
        <f t="shared" si="8"/>
        <v>0</v>
      </c>
      <c r="E115" s="73">
        <f t="shared" si="9"/>
        <v>0</v>
      </c>
      <c r="F115" s="41"/>
      <c r="G115" s="80"/>
      <c r="H115" s="80"/>
      <c r="I115" s="41"/>
      <c r="J115" s="70"/>
      <c r="K115" s="70"/>
      <c r="L115" s="70"/>
      <c r="M115" s="70"/>
    </row>
    <row r="116" spans="1:13" hidden="1">
      <c r="A116" s="72">
        <v>118</v>
      </c>
      <c r="B116" s="63"/>
      <c r="C116" s="73">
        <f t="shared" si="10"/>
        <v>0</v>
      </c>
      <c r="D116" s="73">
        <f t="shared" si="8"/>
        <v>0</v>
      </c>
      <c r="E116" s="73">
        <f t="shared" si="9"/>
        <v>0</v>
      </c>
      <c r="F116" s="41"/>
      <c r="G116" s="80"/>
      <c r="H116" s="80"/>
      <c r="I116" s="41"/>
      <c r="J116" s="70"/>
      <c r="K116" s="70"/>
      <c r="L116" s="70"/>
      <c r="M116" s="70"/>
    </row>
    <row r="117" spans="1:13" hidden="1">
      <c r="A117" s="72">
        <v>119</v>
      </c>
      <c r="B117" s="63"/>
      <c r="C117" s="73">
        <f t="shared" si="10"/>
        <v>0</v>
      </c>
      <c r="D117" s="73">
        <f t="shared" si="8"/>
        <v>0</v>
      </c>
      <c r="E117" s="73">
        <f t="shared" si="9"/>
        <v>0</v>
      </c>
      <c r="F117" s="41"/>
      <c r="G117" s="80"/>
      <c r="H117" s="80"/>
      <c r="I117" s="41"/>
      <c r="J117" s="70"/>
      <c r="K117" s="70"/>
      <c r="L117" s="70"/>
      <c r="M117" s="70"/>
    </row>
    <row r="118" spans="1:13" hidden="1">
      <c r="A118" s="72">
        <v>120</v>
      </c>
      <c r="B118" s="63"/>
      <c r="C118" s="73">
        <f t="shared" si="10"/>
        <v>0</v>
      </c>
      <c r="D118" s="73">
        <f t="shared" si="8"/>
        <v>0</v>
      </c>
      <c r="E118" s="73">
        <f t="shared" si="9"/>
        <v>0</v>
      </c>
      <c r="F118" s="41"/>
      <c r="G118" s="80"/>
      <c r="H118" s="80"/>
      <c r="I118" s="41"/>
      <c r="J118" s="70"/>
      <c r="K118" s="70"/>
      <c r="L118" s="70"/>
      <c r="M118" s="70"/>
    </row>
    <row r="119" spans="1:13" hidden="1">
      <c r="A119" s="72">
        <v>121</v>
      </c>
      <c r="B119" s="63"/>
      <c r="C119" s="73">
        <f t="shared" si="10"/>
        <v>0</v>
      </c>
      <c r="D119" s="73">
        <f t="shared" si="8"/>
        <v>0</v>
      </c>
      <c r="E119" s="73">
        <f t="shared" si="9"/>
        <v>0</v>
      </c>
      <c r="F119" s="41"/>
      <c r="G119" s="80"/>
      <c r="H119" s="80"/>
      <c r="I119" s="41"/>
      <c r="J119" s="70"/>
      <c r="K119" s="70"/>
      <c r="L119" s="70"/>
      <c r="M119" s="70"/>
    </row>
    <row r="120" spans="1:13" hidden="1">
      <c r="A120" s="72">
        <v>122</v>
      </c>
      <c r="B120" s="63"/>
      <c r="C120" s="73">
        <f t="shared" si="10"/>
        <v>0</v>
      </c>
      <c r="D120" s="73">
        <f t="shared" si="8"/>
        <v>0</v>
      </c>
      <c r="E120" s="73">
        <f t="shared" si="9"/>
        <v>0</v>
      </c>
      <c r="F120" s="41"/>
      <c r="G120" s="80"/>
      <c r="H120" s="80"/>
      <c r="I120" s="41"/>
      <c r="J120" s="70"/>
      <c r="K120" s="70"/>
      <c r="L120" s="70"/>
      <c r="M120" s="70"/>
    </row>
    <row r="121" spans="1:13" hidden="1">
      <c r="A121" s="72">
        <v>123</v>
      </c>
      <c r="B121" s="63"/>
      <c r="C121" s="73">
        <f t="shared" si="10"/>
        <v>0</v>
      </c>
      <c r="D121" s="73">
        <f t="shared" si="8"/>
        <v>0</v>
      </c>
      <c r="E121" s="73">
        <f t="shared" si="9"/>
        <v>0</v>
      </c>
      <c r="F121" s="41"/>
      <c r="G121" s="80"/>
      <c r="H121" s="80"/>
      <c r="I121" s="41"/>
      <c r="J121" s="70"/>
      <c r="K121" s="70"/>
      <c r="L121" s="70"/>
      <c r="M121" s="70"/>
    </row>
    <row r="122" spans="1:13" hidden="1">
      <c r="A122" s="72">
        <v>124</v>
      </c>
      <c r="B122" s="63"/>
      <c r="C122" s="73">
        <f t="shared" si="10"/>
        <v>0</v>
      </c>
      <c r="D122" s="73">
        <f t="shared" si="8"/>
        <v>0</v>
      </c>
      <c r="E122" s="73">
        <f t="shared" si="9"/>
        <v>0</v>
      </c>
      <c r="F122" s="41"/>
      <c r="G122" s="80"/>
      <c r="H122" s="80"/>
      <c r="I122" s="41"/>
      <c r="J122" s="70"/>
      <c r="K122" s="70"/>
      <c r="L122" s="70"/>
      <c r="M122" s="70"/>
    </row>
    <row r="123" spans="1:13" hidden="1">
      <c r="A123" s="72">
        <v>125</v>
      </c>
      <c r="B123" s="63"/>
      <c r="C123" s="73">
        <f t="shared" si="10"/>
        <v>0</v>
      </c>
      <c r="D123" s="73">
        <f t="shared" si="8"/>
        <v>0</v>
      </c>
      <c r="E123" s="73">
        <f t="shared" si="9"/>
        <v>0</v>
      </c>
      <c r="F123" s="41"/>
      <c r="G123" s="80"/>
      <c r="H123" s="80"/>
      <c r="I123" s="41"/>
      <c r="J123" s="70"/>
      <c r="K123" s="70"/>
      <c r="L123" s="70"/>
      <c r="M123" s="70"/>
    </row>
    <row r="124" spans="1:13" hidden="1">
      <c r="A124" s="72">
        <v>126</v>
      </c>
      <c r="B124" s="63"/>
      <c r="C124" s="73">
        <f t="shared" si="10"/>
        <v>0</v>
      </c>
      <c r="D124" s="73">
        <f>C124</f>
        <v>0</v>
      </c>
      <c r="E124" s="73">
        <f t="shared" si="9"/>
        <v>0</v>
      </c>
      <c r="F124" s="41"/>
      <c r="G124" s="80"/>
      <c r="H124" s="80"/>
      <c r="I124" s="41"/>
      <c r="J124" s="70"/>
      <c r="K124" s="70"/>
      <c r="L124" s="70"/>
      <c r="M124" s="70"/>
    </row>
    <row r="125" spans="1:13" hidden="1">
      <c r="A125" s="72">
        <v>127</v>
      </c>
      <c r="B125" s="55"/>
      <c r="C125" s="73"/>
      <c r="D125" s="73"/>
      <c r="E125" s="80"/>
      <c r="F125" s="41"/>
      <c r="G125" s="80"/>
      <c r="H125" s="80"/>
      <c r="I125" s="41"/>
      <c r="J125" s="70"/>
      <c r="K125" s="70"/>
      <c r="L125" s="70"/>
      <c r="M125" s="70"/>
    </row>
    <row r="126" spans="1:13" hidden="1">
      <c r="A126" s="72">
        <v>128</v>
      </c>
      <c r="B126" s="55"/>
      <c r="C126" s="73"/>
      <c r="D126" s="73"/>
      <c r="E126" s="80"/>
      <c r="F126" s="41"/>
      <c r="G126" s="80"/>
      <c r="H126" s="80"/>
      <c r="I126" s="41"/>
      <c r="J126" s="70"/>
      <c r="K126" s="70"/>
      <c r="L126" s="70"/>
      <c r="M126" s="70"/>
    </row>
    <row r="127" spans="1:13" hidden="1">
      <c r="A127" s="72">
        <v>129</v>
      </c>
      <c r="B127" s="55"/>
      <c r="C127" s="73"/>
      <c r="D127" s="73"/>
      <c r="E127" s="80"/>
      <c r="F127" s="41"/>
      <c r="G127" s="80"/>
      <c r="H127" s="80"/>
      <c r="I127" s="41"/>
      <c r="J127" s="70"/>
      <c r="K127" s="70"/>
      <c r="L127" s="70"/>
      <c r="M127" s="70"/>
    </row>
    <row r="128" spans="1:13" hidden="1">
      <c r="A128" s="72">
        <v>130</v>
      </c>
      <c r="B128" s="55"/>
      <c r="C128" s="73"/>
      <c r="D128" s="73"/>
      <c r="E128" s="80"/>
      <c r="F128" s="41"/>
      <c r="G128" s="80"/>
      <c r="H128" s="80"/>
      <c r="I128" s="41"/>
      <c r="J128" s="70"/>
      <c r="K128" s="70"/>
      <c r="L128" s="70"/>
      <c r="M128" s="70"/>
    </row>
    <row r="129" spans="1:13" hidden="1">
      <c r="A129" s="72">
        <v>131</v>
      </c>
      <c r="B129" s="55"/>
      <c r="C129" s="73"/>
      <c r="D129" s="73"/>
      <c r="E129" s="80"/>
      <c r="F129" s="41"/>
      <c r="G129" s="80"/>
      <c r="H129" s="80"/>
      <c r="I129" s="41"/>
      <c r="J129" s="70"/>
      <c r="K129" s="70"/>
      <c r="L129" s="70"/>
      <c r="M129" s="70"/>
    </row>
    <row r="130" spans="1:13" hidden="1">
      <c r="A130" s="72">
        <v>132</v>
      </c>
      <c r="B130" s="55"/>
      <c r="C130" s="73"/>
      <c r="D130" s="73"/>
      <c r="E130" s="80"/>
      <c r="F130" s="41"/>
      <c r="G130" s="80"/>
      <c r="H130" s="80"/>
      <c r="I130" s="41"/>
      <c r="J130" s="70"/>
      <c r="K130" s="70"/>
      <c r="L130" s="70"/>
      <c r="M130" s="70"/>
    </row>
    <row r="131" spans="1:13" hidden="1">
      <c r="A131" s="72">
        <v>133</v>
      </c>
      <c r="B131" s="55"/>
      <c r="C131" s="73"/>
      <c r="D131" s="73"/>
      <c r="E131" s="80"/>
      <c r="F131" s="41"/>
      <c r="G131" s="80"/>
      <c r="H131" s="80"/>
      <c r="I131" s="41"/>
      <c r="J131" s="70"/>
      <c r="K131" s="70"/>
      <c r="L131" s="70"/>
      <c r="M131" s="70"/>
    </row>
    <row r="132" spans="1:13" hidden="1">
      <c r="A132" s="72">
        <v>134</v>
      </c>
      <c r="B132" s="55"/>
      <c r="C132" s="73"/>
      <c r="D132" s="73"/>
      <c r="E132" s="80"/>
      <c r="F132" s="41"/>
      <c r="G132" s="80"/>
      <c r="H132" s="80"/>
      <c r="I132" s="41"/>
      <c r="J132" s="70"/>
      <c r="K132" s="70"/>
      <c r="L132" s="70"/>
      <c r="M132" s="70"/>
    </row>
    <row r="133" spans="1:13" hidden="1">
      <c r="A133" s="72">
        <v>135</v>
      </c>
      <c r="B133" s="55"/>
      <c r="C133" s="81"/>
      <c r="D133" s="73"/>
      <c r="E133" s="80"/>
      <c r="F133" s="41"/>
      <c r="G133" s="80"/>
      <c r="H133" s="80"/>
      <c r="I133" s="41"/>
      <c r="J133" s="70"/>
      <c r="K133" s="70"/>
      <c r="L133" s="70"/>
      <c r="M133" s="70"/>
    </row>
    <row r="134" spans="1:13" hidden="1">
      <c r="A134" s="72">
        <v>136</v>
      </c>
      <c r="B134" s="55"/>
      <c r="C134" s="73"/>
      <c r="D134" s="73"/>
      <c r="E134" s="80"/>
      <c r="F134" s="41"/>
      <c r="G134" s="80"/>
      <c r="H134" s="80"/>
      <c r="I134" s="41"/>
      <c r="J134" s="70"/>
      <c r="K134" s="70"/>
      <c r="L134" s="70"/>
      <c r="M134" s="70"/>
    </row>
    <row r="135" spans="1:13" hidden="1">
      <c r="A135" s="72">
        <v>137</v>
      </c>
      <c r="B135" s="55"/>
      <c r="C135" s="73"/>
      <c r="D135" s="73"/>
      <c r="E135" s="80"/>
      <c r="F135" s="41"/>
      <c r="G135" s="80"/>
      <c r="H135" s="80"/>
      <c r="I135" s="41"/>
      <c r="J135" s="70"/>
      <c r="K135" s="70"/>
      <c r="L135" s="70"/>
      <c r="M135" s="70"/>
    </row>
    <row r="136" spans="1:13" hidden="1">
      <c r="A136" s="72">
        <v>138</v>
      </c>
      <c r="B136" s="55"/>
      <c r="C136" s="73"/>
      <c r="D136" s="73"/>
      <c r="E136" s="80"/>
      <c r="F136" s="41"/>
      <c r="G136" s="80"/>
      <c r="H136" s="80"/>
      <c r="I136" s="41"/>
      <c r="J136" s="70"/>
      <c r="K136" s="70"/>
      <c r="L136" s="70"/>
      <c r="M136" s="70"/>
    </row>
    <row r="137" spans="1:13" hidden="1">
      <c r="A137" s="72">
        <v>139</v>
      </c>
      <c r="B137" s="55"/>
      <c r="C137" s="73"/>
      <c r="D137" s="73"/>
      <c r="E137" s="80"/>
      <c r="F137" s="41"/>
      <c r="G137" s="80"/>
      <c r="H137" s="80"/>
      <c r="I137" s="41"/>
      <c r="J137" s="70"/>
      <c r="K137" s="70"/>
      <c r="L137" s="70"/>
      <c r="M137" s="70"/>
    </row>
    <row r="138" spans="1:13" hidden="1">
      <c r="A138" s="72">
        <v>140</v>
      </c>
      <c r="B138" s="55"/>
      <c r="C138" s="73"/>
      <c r="D138" s="73"/>
      <c r="E138" s="80"/>
      <c r="F138" s="41"/>
      <c r="G138" s="80"/>
      <c r="H138" s="80"/>
      <c r="I138" s="41"/>
      <c r="J138" s="70"/>
      <c r="K138" s="70"/>
      <c r="L138" s="70"/>
      <c r="M138" s="70"/>
    </row>
    <row r="139" spans="1:13" hidden="1">
      <c r="A139" s="72">
        <v>141</v>
      </c>
      <c r="B139" s="55"/>
      <c r="C139" s="73"/>
      <c r="D139" s="73"/>
      <c r="E139" s="80"/>
      <c r="F139" s="41"/>
      <c r="G139" s="80"/>
      <c r="H139" s="80"/>
      <c r="I139" s="41"/>
      <c r="J139" s="70"/>
      <c r="K139" s="70"/>
      <c r="L139" s="70"/>
      <c r="M139" s="70"/>
    </row>
    <row r="140" spans="1:13" hidden="1">
      <c r="A140" s="72">
        <v>142</v>
      </c>
      <c r="B140" s="55"/>
      <c r="C140" s="73"/>
      <c r="D140" s="73"/>
      <c r="E140" s="80"/>
      <c r="F140" s="41"/>
      <c r="G140" s="80"/>
      <c r="H140" s="80"/>
      <c r="I140" s="41"/>
      <c r="J140" s="70"/>
      <c r="K140" s="70"/>
      <c r="L140" s="70"/>
      <c r="M140" s="70"/>
    </row>
    <row r="141" spans="1:13" hidden="1">
      <c r="A141" s="72">
        <v>143</v>
      </c>
      <c r="B141" s="55"/>
      <c r="C141" s="73"/>
      <c r="D141" s="73"/>
      <c r="E141" s="80"/>
      <c r="F141" s="41"/>
      <c r="G141" s="80"/>
      <c r="H141" s="80"/>
      <c r="I141" s="41"/>
      <c r="J141" s="70"/>
      <c r="K141" s="70"/>
      <c r="L141" s="70"/>
      <c r="M141" s="70"/>
    </row>
    <row r="142" spans="1:13" hidden="1">
      <c r="A142" s="72">
        <v>144</v>
      </c>
      <c r="B142" s="55"/>
      <c r="C142" s="73"/>
      <c r="D142" s="73"/>
      <c r="E142" s="80"/>
      <c r="F142" s="41"/>
      <c r="G142" s="80"/>
      <c r="H142" s="80"/>
      <c r="I142" s="41"/>
      <c r="J142" s="70"/>
      <c r="K142" s="70"/>
      <c r="L142" s="70"/>
      <c r="M142" s="70"/>
    </row>
    <row r="143" spans="1:13" hidden="1">
      <c r="A143" s="72">
        <v>145</v>
      </c>
      <c r="B143" s="55"/>
      <c r="C143" s="73"/>
      <c r="D143" s="73"/>
      <c r="E143" s="80"/>
      <c r="F143" s="41"/>
      <c r="G143" s="80"/>
      <c r="H143" s="80"/>
      <c r="I143" s="41"/>
      <c r="J143" s="70"/>
      <c r="K143" s="70"/>
      <c r="L143" s="70"/>
      <c r="M143" s="70"/>
    </row>
    <row r="144" spans="1:13" hidden="1">
      <c r="A144" s="72">
        <v>146</v>
      </c>
      <c r="B144" s="55"/>
      <c r="C144" s="73"/>
      <c r="D144" s="73"/>
      <c r="E144" s="80"/>
      <c r="F144" s="41"/>
      <c r="G144" s="80"/>
      <c r="H144" s="80"/>
      <c r="I144" s="41"/>
      <c r="J144" s="70"/>
      <c r="K144" s="70"/>
      <c r="L144" s="70"/>
      <c r="M144" s="70"/>
    </row>
    <row r="145" spans="1:13" hidden="1">
      <c r="A145" s="72">
        <v>147</v>
      </c>
      <c r="B145" s="55"/>
      <c r="C145" s="73"/>
      <c r="D145" s="73"/>
      <c r="E145" s="80"/>
      <c r="F145" s="41"/>
      <c r="G145" s="80"/>
      <c r="H145" s="80"/>
      <c r="I145" s="41"/>
      <c r="J145" s="70"/>
      <c r="K145" s="70"/>
      <c r="L145" s="70"/>
      <c r="M145" s="70"/>
    </row>
    <row r="146" spans="1:13" hidden="1">
      <c r="A146" s="72">
        <v>148</v>
      </c>
      <c r="B146" s="55"/>
      <c r="C146" s="73"/>
      <c r="D146" s="73"/>
      <c r="E146" s="80"/>
      <c r="F146" s="41"/>
      <c r="G146" s="80"/>
      <c r="H146" s="80"/>
      <c r="I146" s="41"/>
      <c r="J146" s="70"/>
      <c r="K146" s="70"/>
      <c r="L146" s="70"/>
      <c r="M146" s="70"/>
    </row>
    <row r="147" spans="1:13" hidden="1">
      <c r="A147" s="72">
        <v>149</v>
      </c>
      <c r="B147" s="55"/>
      <c r="C147" s="73"/>
      <c r="D147" s="73"/>
      <c r="E147" s="80">
        <f>C147-D147</f>
        <v>0</v>
      </c>
      <c r="F147" s="41"/>
      <c r="G147" s="80"/>
      <c r="H147" s="80"/>
      <c r="I147" s="41"/>
      <c r="J147" s="70"/>
      <c r="K147" s="70"/>
      <c r="L147" s="70"/>
      <c r="M147" s="70"/>
    </row>
    <row r="148" spans="1:13" hidden="1">
      <c r="A148" s="72">
        <v>150</v>
      </c>
      <c r="B148" s="55"/>
      <c r="C148" s="73"/>
      <c r="D148" s="73"/>
      <c r="E148" s="80">
        <f>C148-D148</f>
        <v>0</v>
      </c>
      <c r="F148" s="41"/>
      <c r="G148" s="80"/>
      <c r="H148" s="80"/>
      <c r="I148" s="41"/>
      <c r="J148" s="70"/>
      <c r="K148" s="70"/>
      <c r="L148" s="70"/>
      <c r="M148" s="70"/>
    </row>
    <row r="149" spans="1:13" hidden="1">
      <c r="A149" s="72">
        <v>151</v>
      </c>
      <c r="B149" s="55"/>
      <c r="C149" s="73"/>
      <c r="D149" s="73"/>
      <c r="E149" s="80">
        <f>C149-D149</f>
        <v>0</v>
      </c>
      <c r="F149" s="41"/>
      <c r="G149" s="80"/>
      <c r="H149" s="80"/>
      <c r="I149" s="41"/>
      <c r="J149" s="70"/>
      <c r="K149" s="70"/>
      <c r="L149" s="70"/>
      <c r="M149" s="70"/>
    </row>
    <row r="150" spans="1:13" hidden="1">
      <c r="A150" s="72">
        <v>152</v>
      </c>
      <c r="B150" s="55"/>
      <c r="C150" s="81"/>
      <c r="D150" s="81"/>
      <c r="E150" s="80">
        <f t="shared" ref="E150:E164" si="11">C150-D150</f>
        <v>0</v>
      </c>
      <c r="F150" s="41"/>
      <c r="G150" s="80"/>
      <c r="H150" s="80"/>
      <c r="I150" s="41"/>
      <c r="J150" s="70"/>
      <c r="K150" s="70"/>
      <c r="L150" s="70"/>
      <c r="M150" s="70"/>
    </row>
    <row r="151" spans="1:13" hidden="1">
      <c r="A151" s="72">
        <v>153</v>
      </c>
      <c r="B151" s="55"/>
      <c r="C151" s="81"/>
      <c r="D151" s="80"/>
      <c r="E151" s="80">
        <f t="shared" si="11"/>
        <v>0</v>
      </c>
      <c r="F151" s="41"/>
      <c r="G151" s="80"/>
      <c r="H151" s="80"/>
      <c r="I151" s="41"/>
      <c r="J151" s="70"/>
      <c r="K151" s="70"/>
      <c r="L151" s="70"/>
      <c r="M151" s="70"/>
    </row>
    <row r="152" spans="1:13" hidden="1">
      <c r="A152" s="72">
        <v>154</v>
      </c>
      <c r="B152" s="55"/>
      <c r="C152" s="81"/>
      <c r="D152" s="80"/>
      <c r="E152" s="80">
        <f t="shared" si="11"/>
        <v>0</v>
      </c>
      <c r="F152" s="41"/>
      <c r="G152" s="80"/>
      <c r="H152" s="80"/>
      <c r="I152" s="41"/>
      <c r="J152" s="70"/>
      <c r="K152" s="70"/>
      <c r="L152" s="70"/>
      <c r="M152" s="70"/>
    </row>
    <row r="153" spans="1:13" hidden="1">
      <c r="A153" s="72">
        <v>155</v>
      </c>
      <c r="B153" s="55"/>
      <c r="C153" s="81"/>
      <c r="D153" s="80"/>
      <c r="E153" s="80">
        <f t="shared" si="11"/>
        <v>0</v>
      </c>
      <c r="F153" s="41"/>
      <c r="G153" s="80"/>
      <c r="H153" s="80"/>
      <c r="I153" s="41"/>
      <c r="J153" s="70"/>
      <c r="K153" s="70"/>
      <c r="L153" s="70"/>
      <c r="M153" s="70"/>
    </row>
    <row r="154" spans="1:13" hidden="1">
      <c r="A154" s="72">
        <v>156</v>
      </c>
      <c r="B154" s="55"/>
      <c r="C154" s="81"/>
      <c r="D154" s="80"/>
      <c r="E154" s="80">
        <f t="shared" si="11"/>
        <v>0</v>
      </c>
      <c r="F154" s="41"/>
      <c r="G154" s="80"/>
      <c r="H154" s="80"/>
      <c r="I154" s="41"/>
      <c r="J154" s="70"/>
      <c r="K154" s="70"/>
      <c r="L154" s="70"/>
      <c r="M154" s="70"/>
    </row>
    <row r="155" spans="1:13" hidden="1">
      <c r="A155" s="72">
        <v>157</v>
      </c>
      <c r="B155" s="55"/>
      <c r="C155" s="81"/>
      <c r="D155" s="80"/>
      <c r="E155" s="80">
        <f t="shared" si="11"/>
        <v>0</v>
      </c>
      <c r="F155" s="41"/>
      <c r="G155" s="80"/>
      <c r="H155" s="80"/>
      <c r="I155" s="41"/>
      <c r="J155" s="70"/>
      <c r="K155" s="70"/>
      <c r="L155" s="70"/>
      <c r="M155" s="70"/>
    </row>
    <row r="156" spans="1:13" hidden="1">
      <c r="A156" s="72">
        <v>158</v>
      </c>
      <c r="B156" s="55"/>
      <c r="C156" s="81"/>
      <c r="D156" s="80"/>
      <c r="E156" s="80">
        <f t="shared" si="11"/>
        <v>0</v>
      </c>
      <c r="F156" s="41"/>
      <c r="G156" s="80"/>
      <c r="H156" s="80"/>
      <c r="I156" s="41"/>
      <c r="J156" s="70"/>
      <c r="K156" s="70"/>
      <c r="L156" s="70"/>
      <c r="M156" s="70"/>
    </row>
    <row r="157" spans="1:13" hidden="1">
      <c r="A157" s="72">
        <v>159</v>
      </c>
      <c r="B157" s="55"/>
      <c r="C157" s="81"/>
      <c r="D157" s="80"/>
      <c r="E157" s="80">
        <f t="shared" si="11"/>
        <v>0</v>
      </c>
      <c r="F157" s="41"/>
      <c r="G157" s="80"/>
      <c r="H157" s="80"/>
      <c r="I157" s="41"/>
      <c r="J157" s="70"/>
      <c r="K157" s="70"/>
      <c r="L157" s="70"/>
      <c r="M157" s="70"/>
    </row>
    <row r="158" spans="1:13" hidden="1">
      <c r="A158" s="72">
        <v>160</v>
      </c>
      <c r="B158" s="55"/>
      <c r="C158" s="81"/>
      <c r="D158" s="80"/>
      <c r="E158" s="80">
        <f t="shared" si="11"/>
        <v>0</v>
      </c>
      <c r="F158" s="41"/>
      <c r="G158" s="80"/>
      <c r="H158" s="80"/>
      <c r="I158" s="41"/>
      <c r="J158" s="70"/>
      <c r="K158" s="70"/>
      <c r="L158" s="70"/>
      <c r="M158" s="70"/>
    </row>
    <row r="159" spans="1:13" hidden="1">
      <c r="A159" s="72">
        <v>161</v>
      </c>
      <c r="B159" s="55"/>
      <c r="C159" s="81"/>
      <c r="D159" s="80"/>
      <c r="E159" s="80">
        <f t="shared" si="11"/>
        <v>0</v>
      </c>
      <c r="F159" s="41"/>
      <c r="G159" s="80"/>
      <c r="H159" s="80"/>
      <c r="I159" s="41"/>
      <c r="J159" s="70"/>
      <c r="K159" s="70"/>
      <c r="L159" s="70"/>
      <c r="M159" s="70"/>
    </row>
    <row r="160" spans="1:13" hidden="1">
      <c r="A160" s="72">
        <v>162</v>
      </c>
      <c r="B160" s="55"/>
      <c r="C160" s="81"/>
      <c r="D160" s="80"/>
      <c r="E160" s="80">
        <f t="shared" si="11"/>
        <v>0</v>
      </c>
      <c r="F160" s="41"/>
      <c r="G160" s="80"/>
      <c r="H160" s="80"/>
      <c r="I160" s="41"/>
      <c r="J160" s="70"/>
      <c r="K160" s="70"/>
      <c r="L160" s="70"/>
      <c r="M160" s="70"/>
    </row>
    <row r="161" spans="1:13" hidden="1">
      <c r="A161" s="72">
        <v>163</v>
      </c>
      <c r="B161" s="55"/>
      <c r="C161" s="81"/>
      <c r="D161" s="80"/>
      <c r="E161" s="80">
        <f t="shared" si="11"/>
        <v>0</v>
      </c>
      <c r="F161" s="41"/>
      <c r="G161" s="80"/>
      <c r="H161" s="80"/>
      <c r="I161" s="41"/>
      <c r="J161" s="70"/>
      <c r="K161" s="70"/>
      <c r="L161" s="70"/>
      <c r="M161" s="70"/>
    </row>
    <row r="162" spans="1:13" hidden="1">
      <c r="A162" s="72">
        <v>164</v>
      </c>
      <c r="B162" s="55"/>
      <c r="C162" s="81"/>
      <c r="D162" s="80"/>
      <c r="E162" s="80">
        <f t="shared" si="11"/>
        <v>0</v>
      </c>
      <c r="F162" s="41"/>
      <c r="G162" s="80"/>
      <c r="H162" s="80"/>
      <c r="I162" s="41"/>
      <c r="J162" s="70"/>
      <c r="K162" s="70"/>
      <c r="L162" s="70"/>
      <c r="M162" s="70"/>
    </row>
    <row r="163" spans="1:13" hidden="1">
      <c r="A163" s="72">
        <v>165</v>
      </c>
      <c r="B163" s="55"/>
      <c r="C163" s="81"/>
      <c r="D163" s="80"/>
      <c r="E163" s="80">
        <f t="shared" si="11"/>
        <v>0</v>
      </c>
      <c r="F163" s="41"/>
      <c r="G163" s="80"/>
      <c r="H163" s="80"/>
      <c r="I163" s="41"/>
      <c r="J163" s="70"/>
      <c r="K163" s="70"/>
      <c r="L163" s="70"/>
      <c r="M163" s="70"/>
    </row>
    <row r="164" spans="1:13" hidden="1">
      <c r="A164" s="72">
        <v>166</v>
      </c>
      <c r="B164" s="55"/>
      <c r="C164" s="81"/>
      <c r="D164" s="80"/>
      <c r="E164" s="80">
        <f t="shared" si="11"/>
        <v>0</v>
      </c>
      <c r="F164" s="41"/>
      <c r="G164" s="80"/>
      <c r="H164" s="80"/>
      <c r="I164" s="41"/>
      <c r="J164" s="70"/>
      <c r="K164" s="70"/>
      <c r="L164" s="70"/>
      <c r="M164" s="70"/>
    </row>
    <row r="165" spans="1:13" hidden="1">
      <c r="A165" s="72">
        <v>167</v>
      </c>
      <c r="B165" s="55"/>
      <c r="C165" s="81"/>
      <c r="D165" s="80"/>
      <c r="E165" s="80">
        <f>C165-D165</f>
        <v>0</v>
      </c>
      <c r="F165" s="41"/>
      <c r="G165" s="80"/>
      <c r="H165" s="80"/>
      <c r="I165" s="41"/>
      <c r="J165" s="70"/>
      <c r="K165" s="70"/>
      <c r="L165" s="70"/>
      <c r="M165" s="70"/>
    </row>
    <row r="166" spans="1:13" hidden="1">
      <c r="A166" s="72">
        <v>168</v>
      </c>
      <c r="B166" s="55"/>
      <c r="C166" s="81"/>
      <c r="D166" s="80"/>
      <c r="E166" s="80">
        <f t="shared" ref="E166:E172" si="12">C166-D166</f>
        <v>0</v>
      </c>
      <c r="F166" s="41"/>
      <c r="G166" s="80"/>
      <c r="H166" s="80"/>
      <c r="I166" s="41"/>
      <c r="J166" s="70"/>
      <c r="K166" s="70"/>
      <c r="L166" s="70"/>
      <c r="M166" s="70"/>
    </row>
    <row r="167" spans="1:13" hidden="1">
      <c r="A167" s="72">
        <v>169</v>
      </c>
      <c r="B167" s="55"/>
      <c r="C167" s="81"/>
      <c r="D167" s="80"/>
      <c r="E167" s="80">
        <f t="shared" si="12"/>
        <v>0</v>
      </c>
      <c r="F167" s="41"/>
      <c r="G167" s="80"/>
      <c r="H167" s="80"/>
      <c r="I167" s="41"/>
      <c r="J167" s="70"/>
      <c r="K167" s="70"/>
      <c r="L167" s="70"/>
      <c r="M167" s="70"/>
    </row>
    <row r="168" spans="1:13" hidden="1">
      <c r="A168" s="72">
        <v>170</v>
      </c>
      <c r="B168" s="55"/>
      <c r="C168" s="81"/>
      <c r="D168" s="80"/>
      <c r="E168" s="80">
        <f t="shared" si="12"/>
        <v>0</v>
      </c>
      <c r="F168" s="41"/>
      <c r="G168" s="80"/>
      <c r="H168" s="80"/>
      <c r="I168" s="41"/>
      <c r="J168" s="70"/>
      <c r="K168" s="70"/>
      <c r="L168" s="70"/>
      <c r="M168" s="70"/>
    </row>
    <row r="169" spans="1:13" hidden="1">
      <c r="A169" s="72">
        <v>171</v>
      </c>
      <c r="B169" s="55"/>
      <c r="C169" s="81"/>
      <c r="D169" s="81"/>
      <c r="E169" s="80">
        <f t="shared" si="12"/>
        <v>0</v>
      </c>
      <c r="F169" s="41"/>
      <c r="G169" s="80"/>
      <c r="H169" s="80"/>
      <c r="I169" s="41"/>
      <c r="J169" s="70"/>
      <c r="K169" s="70"/>
      <c r="L169" s="70"/>
      <c r="M169" s="70"/>
    </row>
    <row r="170" spans="1:13" hidden="1">
      <c r="A170" s="72">
        <v>172</v>
      </c>
      <c r="B170" s="55"/>
      <c r="C170" s="81"/>
      <c r="D170" s="81"/>
      <c r="E170" s="80">
        <f t="shared" si="12"/>
        <v>0</v>
      </c>
      <c r="F170" s="41"/>
      <c r="G170" s="80"/>
      <c r="H170" s="80"/>
      <c r="I170" s="41"/>
      <c r="J170" s="70"/>
      <c r="K170" s="70"/>
      <c r="L170" s="70"/>
      <c r="M170" s="70"/>
    </row>
    <row r="171" spans="1:13" hidden="1">
      <c r="A171" s="72">
        <v>173</v>
      </c>
      <c r="B171" s="55"/>
      <c r="C171" s="81"/>
      <c r="D171" s="80"/>
      <c r="E171" s="80">
        <f t="shared" si="12"/>
        <v>0</v>
      </c>
      <c r="F171" s="41"/>
      <c r="G171" s="80"/>
      <c r="H171" s="80"/>
      <c r="I171" s="41"/>
      <c r="J171" s="70"/>
      <c r="K171" s="70"/>
      <c r="L171" s="70"/>
      <c r="M171" s="70"/>
    </row>
    <row r="172" spans="1:13" hidden="1">
      <c r="A172" s="72">
        <v>174</v>
      </c>
      <c r="B172" s="55"/>
      <c r="C172" s="81"/>
      <c r="D172" s="80"/>
      <c r="E172" s="80">
        <f t="shared" si="12"/>
        <v>0</v>
      </c>
      <c r="F172" s="41"/>
      <c r="G172" s="80"/>
      <c r="H172" s="80"/>
      <c r="I172" s="41"/>
      <c r="J172" s="70"/>
      <c r="K172" s="70"/>
      <c r="L172" s="70"/>
      <c r="M172" s="70"/>
    </row>
    <row r="173" spans="1:13" hidden="1">
      <c r="A173" s="72">
        <v>175</v>
      </c>
      <c r="B173" s="55"/>
      <c r="C173" s="81"/>
      <c r="D173" s="81"/>
      <c r="E173" s="80">
        <f>C173-D173</f>
        <v>0</v>
      </c>
      <c r="F173" s="41"/>
      <c r="G173" s="80"/>
      <c r="H173" s="80"/>
      <c r="I173" s="41"/>
      <c r="J173" s="70"/>
      <c r="K173" s="70"/>
      <c r="L173" s="70"/>
      <c r="M173" s="70"/>
    </row>
    <row r="174" spans="1:13" hidden="1">
      <c r="A174" s="72">
        <v>176</v>
      </c>
      <c r="B174" s="55"/>
      <c r="C174" s="81"/>
      <c r="D174" s="81"/>
      <c r="E174" s="80">
        <f>C174-D174</f>
        <v>0</v>
      </c>
      <c r="F174" s="41"/>
      <c r="G174" s="80"/>
      <c r="H174" s="80"/>
      <c r="I174" s="78"/>
      <c r="J174" s="70"/>
      <c r="K174" s="70"/>
      <c r="L174" s="70"/>
      <c r="M174" s="70"/>
    </row>
    <row r="175" spans="1:13" hidden="1">
      <c r="A175" s="72">
        <v>177</v>
      </c>
      <c r="B175" s="55"/>
      <c r="C175" s="81"/>
      <c r="D175" s="80"/>
      <c r="E175" s="80">
        <f t="shared" ref="E175:E207" si="13">C175-D175</f>
        <v>0</v>
      </c>
      <c r="F175" s="41"/>
      <c r="G175" s="80"/>
      <c r="H175" s="80"/>
      <c r="I175" s="78"/>
      <c r="J175" s="70"/>
      <c r="K175" s="70"/>
      <c r="L175" s="70"/>
      <c r="M175" s="70"/>
    </row>
    <row r="176" spans="1:13" hidden="1">
      <c r="A176" s="72">
        <v>178</v>
      </c>
      <c r="B176" s="55"/>
      <c r="C176" s="81"/>
      <c r="D176" s="81"/>
      <c r="E176" s="80">
        <f t="shared" si="13"/>
        <v>0</v>
      </c>
      <c r="F176" s="41"/>
      <c r="G176" s="80"/>
      <c r="H176" s="80"/>
      <c r="I176" s="41"/>
      <c r="J176" s="70"/>
      <c r="K176" s="70"/>
      <c r="L176" s="70"/>
      <c r="M176" s="70"/>
    </row>
    <row r="177" spans="1:13" hidden="1">
      <c r="A177" s="72">
        <v>179</v>
      </c>
      <c r="B177" s="55"/>
      <c r="C177" s="81"/>
      <c r="D177" s="80"/>
      <c r="E177" s="80">
        <f t="shared" si="13"/>
        <v>0</v>
      </c>
      <c r="F177" s="41"/>
      <c r="G177" s="80"/>
      <c r="H177" s="80"/>
      <c r="I177" s="41"/>
      <c r="J177" s="70"/>
      <c r="K177" s="70"/>
      <c r="L177" s="70"/>
      <c r="M177" s="70"/>
    </row>
    <row r="178" spans="1:13" hidden="1">
      <c r="A178" s="72">
        <v>180</v>
      </c>
      <c r="B178" s="55"/>
      <c r="C178" s="81"/>
      <c r="D178" s="80"/>
      <c r="E178" s="80">
        <f t="shared" si="13"/>
        <v>0</v>
      </c>
      <c r="F178" s="41"/>
      <c r="G178" s="80"/>
      <c r="H178" s="80"/>
      <c r="I178" s="41"/>
      <c r="J178" s="70"/>
      <c r="K178" s="70"/>
      <c r="L178" s="70"/>
      <c r="M178" s="70"/>
    </row>
    <row r="179" spans="1:13" hidden="1">
      <c r="A179" s="72">
        <v>181</v>
      </c>
      <c r="B179" s="55"/>
      <c r="C179" s="81"/>
      <c r="D179" s="80"/>
      <c r="E179" s="80">
        <f t="shared" si="13"/>
        <v>0</v>
      </c>
      <c r="F179" s="41"/>
      <c r="G179" s="80"/>
      <c r="H179" s="80"/>
      <c r="I179" s="41"/>
      <c r="J179" s="70"/>
      <c r="K179" s="70"/>
      <c r="L179" s="70"/>
      <c r="M179" s="70"/>
    </row>
    <row r="180" spans="1:13" hidden="1">
      <c r="A180" s="72">
        <v>182</v>
      </c>
      <c r="B180" s="55"/>
      <c r="C180" s="81"/>
      <c r="D180" s="80"/>
      <c r="E180" s="80">
        <f t="shared" si="13"/>
        <v>0</v>
      </c>
      <c r="F180" s="41"/>
      <c r="G180" s="80"/>
      <c r="H180" s="80"/>
      <c r="I180" s="41"/>
      <c r="J180" s="70"/>
      <c r="K180" s="70"/>
      <c r="L180" s="70"/>
      <c r="M180" s="70"/>
    </row>
    <row r="181" spans="1:13" hidden="1">
      <c r="A181" s="72">
        <v>183</v>
      </c>
      <c r="B181" s="55"/>
      <c r="C181" s="81"/>
      <c r="D181" s="80"/>
      <c r="E181" s="80">
        <f t="shared" si="13"/>
        <v>0</v>
      </c>
      <c r="F181" s="41"/>
      <c r="G181" s="80"/>
      <c r="H181" s="80"/>
      <c r="I181" s="41"/>
      <c r="J181" s="70"/>
      <c r="K181" s="70"/>
      <c r="L181" s="70"/>
      <c r="M181" s="70"/>
    </row>
    <row r="182" spans="1:13" hidden="1">
      <c r="A182" s="72">
        <v>184</v>
      </c>
      <c r="B182" s="55"/>
      <c r="C182" s="81"/>
      <c r="D182" s="81"/>
      <c r="E182" s="80">
        <f t="shared" si="13"/>
        <v>0</v>
      </c>
      <c r="F182" s="41"/>
      <c r="G182" s="80"/>
      <c r="H182" s="80"/>
      <c r="I182" s="41"/>
      <c r="J182" s="70"/>
      <c r="K182" s="70"/>
      <c r="L182" s="70"/>
      <c r="M182" s="70"/>
    </row>
    <row r="183" spans="1:13" hidden="1">
      <c r="A183" s="72">
        <v>185</v>
      </c>
      <c r="B183" s="55"/>
      <c r="C183" s="81"/>
      <c r="D183" s="80"/>
      <c r="E183" s="80">
        <f t="shared" si="13"/>
        <v>0</v>
      </c>
      <c r="F183" s="41"/>
      <c r="G183" s="80"/>
      <c r="H183" s="80"/>
      <c r="I183" s="41"/>
      <c r="J183" s="70"/>
      <c r="K183" s="70"/>
      <c r="L183" s="70"/>
      <c r="M183" s="70"/>
    </row>
    <row r="184" spans="1:13" hidden="1">
      <c r="A184" s="72">
        <v>186</v>
      </c>
      <c r="B184" s="55"/>
      <c r="C184" s="81"/>
      <c r="D184" s="80"/>
      <c r="E184" s="80">
        <f t="shared" si="13"/>
        <v>0</v>
      </c>
      <c r="F184" s="41"/>
      <c r="G184" s="80"/>
      <c r="H184" s="80"/>
      <c r="I184" s="41"/>
      <c r="J184" s="70"/>
      <c r="K184" s="70"/>
      <c r="L184" s="70"/>
      <c r="M184" s="70"/>
    </row>
    <row r="185" spans="1:13" hidden="1">
      <c r="A185" s="72">
        <v>187</v>
      </c>
      <c r="B185" s="55"/>
      <c r="C185" s="81"/>
      <c r="D185" s="80"/>
      <c r="E185" s="80">
        <f t="shared" si="13"/>
        <v>0</v>
      </c>
      <c r="F185" s="41"/>
      <c r="G185" s="80"/>
      <c r="H185" s="80"/>
      <c r="I185" s="41"/>
      <c r="J185" s="70"/>
      <c r="K185" s="70"/>
      <c r="L185" s="70"/>
      <c r="M185" s="70"/>
    </row>
    <row r="186" spans="1:13" hidden="1">
      <c r="A186" s="72">
        <v>188</v>
      </c>
      <c r="B186" s="55"/>
      <c r="C186" s="81"/>
      <c r="D186" s="80"/>
      <c r="E186" s="80">
        <f t="shared" si="13"/>
        <v>0</v>
      </c>
      <c r="F186" s="41"/>
      <c r="G186" s="80"/>
      <c r="H186" s="80"/>
      <c r="I186" s="41"/>
      <c r="J186" s="70"/>
      <c r="K186" s="70"/>
      <c r="L186" s="70"/>
      <c r="M186" s="70"/>
    </row>
    <row r="187" spans="1:13" hidden="1">
      <c r="A187" s="72">
        <v>189</v>
      </c>
      <c r="B187" s="55"/>
      <c r="C187" s="81"/>
      <c r="D187" s="80"/>
      <c r="E187" s="80">
        <f t="shared" si="13"/>
        <v>0</v>
      </c>
      <c r="F187" s="41"/>
      <c r="G187" s="80"/>
      <c r="H187" s="80"/>
      <c r="I187" s="41"/>
      <c r="J187" s="70"/>
      <c r="K187" s="70"/>
      <c r="L187" s="70"/>
      <c r="M187" s="70"/>
    </row>
    <row r="188" spans="1:13" hidden="1">
      <c r="A188" s="72">
        <v>190</v>
      </c>
      <c r="B188" s="55"/>
      <c r="C188" s="81"/>
      <c r="D188" s="81"/>
      <c r="E188" s="80">
        <f t="shared" si="13"/>
        <v>0</v>
      </c>
      <c r="F188" s="41"/>
      <c r="G188" s="80"/>
      <c r="H188" s="80"/>
      <c r="I188" s="41"/>
      <c r="J188" s="70"/>
      <c r="K188" s="70"/>
      <c r="L188" s="70"/>
      <c r="M188" s="70"/>
    </row>
    <row r="189" spans="1:13" hidden="1">
      <c r="A189" s="72">
        <v>191</v>
      </c>
      <c r="B189" s="55"/>
      <c r="C189" s="81"/>
      <c r="D189" s="81"/>
      <c r="E189" s="80">
        <f t="shared" si="13"/>
        <v>0</v>
      </c>
      <c r="F189" s="41"/>
      <c r="G189" s="80"/>
      <c r="H189" s="80"/>
      <c r="I189" s="41"/>
      <c r="J189" s="70"/>
      <c r="K189" s="70"/>
      <c r="L189" s="70"/>
      <c r="M189" s="70"/>
    </row>
    <row r="190" spans="1:13" hidden="1">
      <c r="A190" s="72">
        <v>192</v>
      </c>
      <c r="B190" s="55"/>
      <c r="C190" s="81"/>
      <c r="D190" s="81"/>
      <c r="E190" s="80">
        <f t="shared" si="13"/>
        <v>0</v>
      </c>
      <c r="F190" s="41"/>
      <c r="G190" s="80"/>
      <c r="H190" s="80"/>
      <c r="I190" s="41"/>
      <c r="J190" s="70"/>
      <c r="K190" s="70"/>
      <c r="L190" s="70"/>
      <c r="M190" s="70"/>
    </row>
    <row r="191" spans="1:13" hidden="1">
      <c r="A191" s="72">
        <v>193</v>
      </c>
      <c r="B191" s="55"/>
      <c r="C191" s="81"/>
      <c r="D191" s="81"/>
      <c r="E191" s="80">
        <f t="shared" si="13"/>
        <v>0</v>
      </c>
      <c r="F191" s="41"/>
      <c r="G191" s="80"/>
      <c r="H191" s="80"/>
      <c r="I191" s="41"/>
      <c r="J191" s="70"/>
      <c r="K191" s="70"/>
      <c r="L191" s="70"/>
      <c r="M191" s="70"/>
    </row>
    <row r="192" spans="1:13" hidden="1">
      <c r="A192" s="72">
        <v>194</v>
      </c>
      <c r="B192" s="55"/>
      <c r="C192" s="81"/>
      <c r="D192" s="81"/>
      <c r="E192" s="80">
        <f t="shared" si="13"/>
        <v>0</v>
      </c>
      <c r="F192" s="41"/>
      <c r="G192" s="80"/>
      <c r="H192" s="80"/>
      <c r="I192" s="41"/>
      <c r="J192" s="70"/>
      <c r="K192" s="70"/>
      <c r="L192" s="70"/>
      <c r="M192" s="70"/>
    </row>
    <row r="193" spans="1:13" hidden="1">
      <c r="A193" s="72">
        <v>195</v>
      </c>
      <c r="B193" s="55"/>
      <c r="C193" s="81"/>
      <c r="D193" s="80"/>
      <c r="E193" s="80">
        <f t="shared" si="13"/>
        <v>0</v>
      </c>
      <c r="F193" s="41"/>
      <c r="G193" s="80"/>
      <c r="H193" s="80"/>
      <c r="I193" s="41"/>
      <c r="J193" s="70"/>
      <c r="K193" s="70"/>
      <c r="L193" s="70"/>
      <c r="M193" s="70"/>
    </row>
    <row r="194" spans="1:13" hidden="1">
      <c r="A194" s="72">
        <v>196</v>
      </c>
      <c r="B194" s="55"/>
      <c r="C194" s="81"/>
      <c r="D194" s="80"/>
      <c r="E194" s="80">
        <f t="shared" si="13"/>
        <v>0</v>
      </c>
      <c r="F194" s="41"/>
      <c r="G194" s="80"/>
      <c r="H194" s="80"/>
      <c r="I194" s="41"/>
      <c r="J194" s="70"/>
      <c r="K194" s="70"/>
      <c r="L194" s="70"/>
      <c r="M194" s="70"/>
    </row>
    <row r="195" spans="1:13" hidden="1">
      <c r="A195" s="72">
        <v>197</v>
      </c>
      <c r="B195" s="55"/>
      <c r="C195" s="81"/>
      <c r="D195" s="81"/>
      <c r="E195" s="80">
        <f t="shared" si="13"/>
        <v>0</v>
      </c>
      <c r="F195" s="41"/>
      <c r="G195" s="80"/>
      <c r="H195" s="80"/>
      <c r="I195" s="41"/>
      <c r="J195" s="70"/>
      <c r="K195" s="70"/>
      <c r="L195" s="70"/>
      <c r="M195" s="70"/>
    </row>
    <row r="196" spans="1:13" hidden="1">
      <c r="A196" s="72">
        <v>198</v>
      </c>
      <c r="B196" s="55"/>
      <c r="C196" s="81"/>
      <c r="D196" s="81"/>
      <c r="E196" s="80">
        <f t="shared" si="13"/>
        <v>0</v>
      </c>
      <c r="F196" s="41"/>
      <c r="G196" s="80"/>
      <c r="H196" s="80"/>
      <c r="I196" s="41"/>
      <c r="J196" s="70"/>
      <c r="K196" s="70"/>
      <c r="L196" s="70"/>
      <c r="M196" s="70"/>
    </row>
    <row r="197" spans="1:13" hidden="1">
      <c r="A197" s="72">
        <v>199</v>
      </c>
      <c r="B197" s="55"/>
      <c r="C197" s="81"/>
      <c r="D197" s="80"/>
      <c r="E197" s="80">
        <f t="shared" si="13"/>
        <v>0</v>
      </c>
      <c r="F197" s="41"/>
      <c r="G197" s="80"/>
      <c r="H197" s="80"/>
      <c r="I197" s="41"/>
      <c r="J197" s="70"/>
      <c r="K197" s="70"/>
      <c r="L197" s="70"/>
      <c r="M197" s="70"/>
    </row>
    <row r="198" spans="1:13" hidden="1">
      <c r="A198" s="72">
        <v>200</v>
      </c>
      <c r="B198" s="55"/>
      <c r="C198" s="81"/>
      <c r="D198" s="80"/>
      <c r="E198" s="80">
        <f t="shared" si="13"/>
        <v>0</v>
      </c>
      <c r="F198" s="41"/>
      <c r="G198" s="80"/>
      <c r="H198" s="80"/>
      <c r="I198" s="41"/>
      <c r="J198" s="70"/>
      <c r="K198" s="70"/>
      <c r="L198" s="70"/>
      <c r="M198" s="70"/>
    </row>
    <row r="199" spans="1:13" hidden="1">
      <c r="A199" s="72">
        <v>201</v>
      </c>
      <c r="B199" s="55"/>
      <c r="C199" s="81"/>
      <c r="D199" s="80"/>
      <c r="E199" s="80">
        <f t="shared" si="13"/>
        <v>0</v>
      </c>
      <c r="F199" s="41"/>
      <c r="G199" s="80"/>
      <c r="H199" s="80"/>
      <c r="I199" s="41"/>
      <c r="J199" s="70"/>
      <c r="K199" s="70"/>
      <c r="L199" s="70"/>
      <c r="M199" s="70"/>
    </row>
    <row r="200" spans="1:13" hidden="1">
      <c r="A200" s="72">
        <v>202</v>
      </c>
      <c r="B200" s="55"/>
      <c r="C200" s="81"/>
      <c r="D200" s="80"/>
      <c r="E200" s="80">
        <f t="shared" si="13"/>
        <v>0</v>
      </c>
      <c r="F200" s="41"/>
      <c r="G200" s="80"/>
      <c r="H200" s="80"/>
      <c r="I200" s="41"/>
      <c r="J200" s="70"/>
      <c r="K200" s="70"/>
      <c r="L200" s="70"/>
      <c r="M200" s="70"/>
    </row>
    <row r="201" spans="1:13" hidden="1">
      <c r="A201" s="72">
        <v>203</v>
      </c>
      <c r="B201" s="55"/>
      <c r="C201" s="81"/>
      <c r="D201" s="80"/>
      <c r="E201" s="80">
        <f t="shared" si="13"/>
        <v>0</v>
      </c>
      <c r="F201" s="41"/>
      <c r="G201" s="80"/>
      <c r="H201" s="80"/>
      <c r="I201" s="41"/>
      <c r="J201" s="70"/>
      <c r="K201" s="70"/>
      <c r="L201" s="70"/>
      <c r="M201" s="70"/>
    </row>
    <row r="202" spans="1:13" hidden="1">
      <c r="A202" s="72">
        <v>204</v>
      </c>
      <c r="B202" s="55"/>
      <c r="C202" s="81"/>
      <c r="D202" s="80"/>
      <c r="E202" s="80">
        <f t="shared" si="13"/>
        <v>0</v>
      </c>
      <c r="F202" s="41"/>
      <c r="G202" s="80"/>
      <c r="H202" s="80"/>
      <c r="I202" s="41"/>
      <c r="J202" s="70"/>
      <c r="K202" s="70"/>
      <c r="L202" s="70"/>
      <c r="M202" s="70"/>
    </row>
    <row r="203" spans="1:13" hidden="1">
      <c r="A203" s="72">
        <v>205</v>
      </c>
      <c r="B203" s="55"/>
      <c r="C203" s="81"/>
      <c r="D203" s="80"/>
      <c r="E203" s="80">
        <f t="shared" si="13"/>
        <v>0</v>
      </c>
      <c r="F203" s="41"/>
      <c r="G203" s="80"/>
      <c r="H203" s="80"/>
      <c r="I203" s="41"/>
      <c r="J203" s="70"/>
      <c r="K203" s="70"/>
      <c r="L203" s="70"/>
      <c r="M203" s="70"/>
    </row>
    <row r="204" spans="1:13" hidden="1">
      <c r="A204" s="72">
        <v>206</v>
      </c>
      <c r="B204" s="55"/>
      <c r="C204" s="81"/>
      <c r="D204" s="80"/>
      <c r="E204" s="80">
        <f t="shared" si="13"/>
        <v>0</v>
      </c>
      <c r="F204" s="41"/>
      <c r="G204" s="80"/>
      <c r="H204" s="80"/>
      <c r="I204" s="41"/>
      <c r="J204" s="70"/>
      <c r="K204" s="70"/>
      <c r="L204" s="70"/>
      <c r="M204" s="70"/>
    </row>
    <row r="205" spans="1:13" hidden="1">
      <c r="A205" s="72">
        <v>207</v>
      </c>
      <c r="B205" s="55"/>
      <c r="C205" s="81"/>
      <c r="D205" s="80"/>
      <c r="E205" s="80">
        <f t="shared" si="13"/>
        <v>0</v>
      </c>
      <c r="F205" s="41"/>
      <c r="G205" s="80"/>
      <c r="H205" s="80"/>
      <c r="I205" s="41"/>
      <c r="J205" s="70"/>
      <c r="K205" s="70"/>
      <c r="L205" s="70"/>
      <c r="M205" s="70"/>
    </row>
    <row r="206" spans="1:13" hidden="1">
      <c r="A206" s="72">
        <v>208</v>
      </c>
      <c r="B206" s="55"/>
      <c r="C206" s="81"/>
      <c r="D206" s="80"/>
      <c r="E206" s="80">
        <f t="shared" si="13"/>
        <v>0</v>
      </c>
      <c r="F206" s="41"/>
      <c r="G206" s="80"/>
      <c r="H206" s="80"/>
      <c r="I206" s="41"/>
      <c r="J206" s="70"/>
      <c r="K206" s="70"/>
      <c r="L206" s="70"/>
      <c r="M206" s="70"/>
    </row>
    <row r="207" spans="1:13" hidden="1">
      <c r="A207" s="72">
        <v>209</v>
      </c>
      <c r="B207" s="55"/>
      <c r="C207" s="81"/>
      <c r="D207" s="81"/>
      <c r="E207" s="80">
        <f t="shared" si="13"/>
        <v>0</v>
      </c>
      <c r="F207" s="41"/>
      <c r="G207" s="80"/>
      <c r="H207" s="80"/>
      <c r="I207" s="41"/>
      <c r="J207" s="70"/>
      <c r="K207" s="70"/>
      <c r="L207" s="70"/>
      <c r="M207" s="70"/>
    </row>
    <row r="208" spans="1:13" hidden="1">
      <c r="A208" s="43">
        <f t="shared" ref="A208" si="14">1+A207</f>
        <v>210</v>
      </c>
      <c r="B208" s="55"/>
      <c r="C208" s="81"/>
      <c r="D208" s="81"/>
      <c r="E208" s="80"/>
      <c r="F208" s="41"/>
      <c r="G208" s="80"/>
      <c r="H208" s="80"/>
      <c r="I208" s="41"/>
      <c r="J208" s="70"/>
      <c r="K208" s="70"/>
      <c r="L208" s="70"/>
      <c r="M208" s="70"/>
    </row>
    <row r="209" spans="1:13">
      <c r="A209" s="82"/>
      <c r="B209" s="83" t="s">
        <v>124</v>
      </c>
      <c r="C209" s="84">
        <f>SUM(C4:C207)</f>
        <v>3291323550</v>
      </c>
      <c r="D209" s="84">
        <f>SUM(D4:D207)</f>
        <v>3010612750</v>
      </c>
      <c r="E209" s="84">
        <f>SUM(E4:E207)</f>
        <v>280710800</v>
      </c>
      <c r="F209" s="85"/>
      <c r="G209" s="84">
        <f>SUM(G4:G207)</f>
        <v>0</v>
      </c>
      <c r="H209" s="86">
        <f t="shared" ref="H209" si="15">G209-D209</f>
        <v>-3010612750</v>
      </c>
      <c r="I209" s="82"/>
      <c r="J209" s="70"/>
      <c r="K209" s="70"/>
      <c r="L209" s="70"/>
      <c r="M209" s="70"/>
    </row>
    <row r="210" spans="1:13" ht="15.75" thickBot="1">
      <c r="D210" s="87"/>
      <c r="J210" s="70"/>
      <c r="K210" s="70"/>
      <c r="L210" s="70"/>
      <c r="M210" s="70"/>
    </row>
    <row r="211" spans="1:13">
      <c r="C211" s="88">
        <f>+C209</f>
        <v>3291323550</v>
      </c>
      <c r="D211" s="89">
        <f>E209</f>
        <v>280710800</v>
      </c>
      <c r="E211" s="89">
        <f>C211-D211</f>
        <v>3010612750</v>
      </c>
      <c r="F211" s="90" t="s">
        <v>125</v>
      </c>
      <c r="G211" s="91" t="s">
        <v>126</v>
      </c>
    </row>
    <row r="212" spans="1:13" ht="15.75" thickBot="1">
      <c r="C212" s="92"/>
      <c r="D212" s="93"/>
      <c r="E212" s="94">
        <f>E211/C211</f>
        <v>0.91471187935929299</v>
      </c>
      <c r="F212" s="95"/>
    </row>
    <row r="213" spans="1:13" ht="15.75" thickBot="1">
      <c r="C213" s="96"/>
      <c r="D213" s="96"/>
      <c r="E213" s="96"/>
    </row>
    <row r="214" spans="1:13" ht="12" customHeight="1">
      <c r="B214" s="109"/>
      <c r="C214" s="110">
        <v>15000000000</v>
      </c>
      <c r="D214" s="89">
        <f>E209</f>
        <v>280710800</v>
      </c>
      <c r="E214" s="89">
        <f>C214-D214</f>
        <v>14719289200</v>
      </c>
      <c r="F214" s="90" t="s">
        <v>127</v>
      </c>
    </row>
    <row r="215" spans="1:13" ht="15.75" thickBot="1">
      <c r="C215" s="97" t="s">
        <v>147</v>
      </c>
      <c r="D215" s="98" t="s">
        <v>128</v>
      </c>
      <c r="E215" s="94">
        <f>E214/C214</f>
        <v>0.98128594666666669</v>
      </c>
      <c r="F215" s="95"/>
    </row>
    <row r="216" spans="1:13" ht="15.75" thickBot="1"/>
    <row r="217" spans="1:13">
      <c r="C217" s="111">
        <v>10873958050</v>
      </c>
      <c r="D217" s="112">
        <v>928255100</v>
      </c>
      <c r="E217" s="89">
        <f>C217-D217</f>
        <v>9945702950</v>
      </c>
      <c r="F217" s="90" t="s">
        <v>176</v>
      </c>
      <c r="G217" s="113"/>
      <c r="H217" s="113"/>
      <c r="I217" s="114"/>
      <c r="J217" s="115"/>
    </row>
    <row r="218" spans="1:13" ht="15.75" thickBot="1">
      <c r="C218" s="97" t="s">
        <v>147</v>
      </c>
      <c r="D218" s="98" t="s">
        <v>128</v>
      </c>
      <c r="E218" s="94">
        <f>E217/C217</f>
        <v>0.91463503025009374</v>
      </c>
      <c r="F218" s="95"/>
      <c r="G218" s="113"/>
      <c r="H218" s="113"/>
      <c r="I218" s="113"/>
      <c r="J218" s="113"/>
    </row>
    <row r="219" spans="1:13">
      <c r="C219" s="114"/>
      <c r="D219" s="115"/>
      <c r="E219" s="114"/>
      <c r="F219" s="114"/>
      <c r="G219" s="114"/>
      <c r="H219" s="113"/>
      <c r="I219" s="113"/>
      <c r="J219" s="113"/>
    </row>
    <row r="220" spans="1:13">
      <c r="C220" s="116"/>
      <c r="D220" s="117"/>
      <c r="E220" s="169"/>
      <c r="F220" s="169"/>
      <c r="G220" s="113"/>
      <c r="H220" s="113"/>
      <c r="I220" s="113"/>
      <c r="J220" s="113"/>
    </row>
    <row r="221" spans="1:13">
      <c r="C221" s="113"/>
      <c r="D221" s="113"/>
      <c r="E221" s="113"/>
      <c r="F221" s="113"/>
      <c r="G221" s="113"/>
      <c r="H221" s="113"/>
      <c r="I221" s="113"/>
      <c r="J221" s="113"/>
    </row>
    <row r="222" spans="1:13">
      <c r="C222" s="116"/>
      <c r="D222" s="116"/>
      <c r="E222" s="116"/>
      <c r="F222" s="116"/>
      <c r="G222" s="116"/>
      <c r="H222" s="113"/>
      <c r="I222" s="113"/>
      <c r="J222" s="113"/>
    </row>
    <row r="223" spans="1:13">
      <c r="C223" s="113"/>
      <c r="D223" s="113"/>
      <c r="E223" s="113"/>
      <c r="F223" s="113"/>
      <c r="G223" s="113"/>
      <c r="H223" s="113"/>
      <c r="I223" s="113"/>
      <c r="J223" s="113"/>
    </row>
  </sheetData>
  <autoFilter ref="A3:M212"/>
  <mergeCells count="3">
    <mergeCell ref="A1:I1"/>
    <mergeCell ref="A2:I2"/>
    <mergeCell ref="E220:F220"/>
  </mergeCells>
  <conditionalFormatting sqref="B185:B188 B199:B208">
    <cfRule type="expression" dxfId="211" priority="199">
      <formula>AND($Z187&gt;0,$L187&gt;89)</formula>
    </cfRule>
    <cfRule type="expression" dxfId="210" priority="200">
      <formula>AND($Z187&gt;0,$L187&gt;59)</formula>
    </cfRule>
  </conditionalFormatting>
  <conditionalFormatting sqref="E173:E174 G173:G174 H204:H207 C203:E209 G190:G207 G209 G208:H208 G30:G43 H4:H43">
    <cfRule type="expression" dxfId="209" priority="197">
      <formula>AND(#REF!&gt;0,$H4&gt;89)</formula>
    </cfRule>
    <cfRule type="expression" dxfId="208" priority="198">
      <formula>AND(#REF!&gt;0,$H4&gt;59)</formula>
    </cfRule>
  </conditionalFormatting>
  <conditionalFormatting sqref="H173:H174">
    <cfRule type="expression" dxfId="207" priority="195">
      <formula>AND(#REF!&gt;0,$H173&gt;89)</formula>
    </cfRule>
    <cfRule type="expression" dxfId="206" priority="196">
      <formula>AND(#REF!&gt;0,$H173&gt;59)</formula>
    </cfRule>
  </conditionalFormatting>
  <conditionalFormatting sqref="H203 H173:H174">
    <cfRule type="expression" dxfId="205" priority="193">
      <formula>AND(#REF!&gt;0,$H173&gt;89)</formula>
    </cfRule>
    <cfRule type="expression" dxfId="204" priority="194">
      <formula>AND(#REF!&gt;0,$H173&gt;59)</formula>
    </cfRule>
  </conditionalFormatting>
  <conditionalFormatting sqref="D211">
    <cfRule type="expression" dxfId="203" priority="191">
      <formula>AND(#REF!&gt;0,$H211&gt;89)</formula>
    </cfRule>
    <cfRule type="expression" dxfId="202" priority="192">
      <formula>AND(#REF!&gt;0,$H211&gt;59)</formula>
    </cfRule>
  </conditionalFormatting>
  <conditionalFormatting sqref="E211">
    <cfRule type="expression" dxfId="201" priority="189">
      <formula>AND(#REF!&gt;0,$H211&gt;89)</formula>
    </cfRule>
    <cfRule type="expression" dxfId="200" priority="190">
      <formula>AND(#REF!&gt;0,$H211&gt;59)</formula>
    </cfRule>
  </conditionalFormatting>
  <conditionalFormatting sqref="H209">
    <cfRule type="expression" dxfId="199" priority="187">
      <formula>AND(#REF!&gt;0,$H209&gt;89)</formula>
    </cfRule>
    <cfRule type="expression" dxfId="198" priority="188">
      <formula>AND(#REF!&gt;0,$H209&gt;59)</formula>
    </cfRule>
  </conditionalFormatting>
  <conditionalFormatting sqref="F4:F7 F8:G10">
    <cfRule type="expression" dxfId="197" priority="185">
      <formula>AND(#REF!&gt;0,$M4&gt;89)</formula>
    </cfRule>
    <cfRule type="expression" dxfId="196" priority="186">
      <formula>AND(#REF!&gt;0,$M4&gt;59)</formula>
    </cfRule>
  </conditionalFormatting>
  <conditionalFormatting sqref="D214">
    <cfRule type="expression" dxfId="195" priority="183">
      <formula>AND(#REF!&gt;0,$H214&gt;89)</formula>
    </cfRule>
    <cfRule type="expression" dxfId="194" priority="184">
      <formula>AND(#REF!&gt;0,$H214&gt;59)</formula>
    </cfRule>
  </conditionalFormatting>
  <conditionalFormatting sqref="E214">
    <cfRule type="expression" dxfId="193" priority="181">
      <formula>AND(#REF!&gt;0,$H214&gt;89)</formula>
    </cfRule>
    <cfRule type="expression" dxfId="192" priority="182">
      <formula>AND(#REF!&gt;0,$H214&gt;59)</formula>
    </cfRule>
  </conditionalFormatting>
  <conditionalFormatting sqref="I4:I10">
    <cfRule type="expression" dxfId="191" priority="179">
      <formula>AND($AD4&gt;0,$P4&gt;89)</formula>
    </cfRule>
    <cfRule type="expression" dxfId="190" priority="180">
      <formula>AND($AD4&gt;0,$P4&gt;59)</formula>
    </cfRule>
  </conditionalFormatting>
  <conditionalFormatting sqref="C173:C174">
    <cfRule type="expression" dxfId="189" priority="177">
      <formula>AND(#REF!&gt;0,$L175&gt;89)</formula>
    </cfRule>
    <cfRule type="expression" dxfId="188" priority="178">
      <formula>AND(#REF!&gt;0,$L175&gt;59)</formula>
    </cfRule>
  </conditionalFormatting>
  <conditionalFormatting sqref="I174:I175 I11:I13 I16:I30 I32:I44">
    <cfRule type="expression" dxfId="187" priority="175">
      <formula>AND($AD12&gt;0,$P12&gt;89)</formula>
    </cfRule>
    <cfRule type="expression" dxfId="186" priority="176">
      <formula>AND($AD12&gt;0,$P12&gt;59)</formula>
    </cfRule>
  </conditionalFormatting>
  <conditionalFormatting sqref="B189">
    <cfRule type="expression" dxfId="185" priority="173">
      <formula>AND($Z191&gt;0,$L191&gt;89)</formula>
    </cfRule>
    <cfRule type="expression" dxfId="184" priority="174">
      <formula>AND($Z191&gt;0,$L191&gt;59)</formula>
    </cfRule>
  </conditionalFormatting>
  <conditionalFormatting sqref="C189 C199:E202 G189 E189">
    <cfRule type="expression" dxfId="183" priority="171">
      <formula>AND(#REF!&gt;0,$H189&gt;89)</formula>
    </cfRule>
    <cfRule type="expression" dxfId="182" priority="172">
      <formula>AND(#REF!&gt;0,$H189&gt;59)</formula>
    </cfRule>
  </conditionalFormatting>
  <conditionalFormatting sqref="H199:H202 H189">
    <cfRule type="expression" dxfId="181" priority="169">
      <formula>AND(#REF!&gt;0,$H189&gt;89)</formula>
    </cfRule>
    <cfRule type="expression" dxfId="180" priority="170">
      <formula>AND(#REF!&gt;0,$H189&gt;59)</formula>
    </cfRule>
  </conditionalFormatting>
  <conditionalFormatting sqref="B190:B198">
    <cfRule type="expression" dxfId="179" priority="167">
      <formula>AND($Z192&gt;0,$L192&gt;89)</formula>
    </cfRule>
    <cfRule type="expression" dxfId="178" priority="168">
      <formula>AND($Z192&gt;0,$L192&gt;59)</formula>
    </cfRule>
  </conditionalFormatting>
  <conditionalFormatting sqref="C190 E190 C191:E198">
    <cfRule type="expression" dxfId="177" priority="165">
      <formula>AND(#REF!&gt;0,$H190&gt;89)</formula>
    </cfRule>
    <cfRule type="expression" dxfId="176" priority="166">
      <formula>AND(#REF!&gt;0,$H190&gt;59)</formula>
    </cfRule>
  </conditionalFormatting>
  <conditionalFormatting sqref="H190:H198">
    <cfRule type="expression" dxfId="175" priority="163">
      <formula>AND(#REF!&gt;0,$H190&gt;89)</formula>
    </cfRule>
    <cfRule type="expression" dxfId="174" priority="164">
      <formula>AND(#REF!&gt;0,$H190&gt;59)</formula>
    </cfRule>
  </conditionalFormatting>
  <conditionalFormatting sqref="B175">
    <cfRule type="expression" dxfId="173" priority="161">
      <formula>AND($Z177&gt;0,$L177&gt;89)</formula>
    </cfRule>
    <cfRule type="expression" dxfId="172" priority="162">
      <formula>AND($Z177&gt;0,$L177&gt;59)</formula>
    </cfRule>
  </conditionalFormatting>
  <conditionalFormatting sqref="C175:E175 G185:G188 C185:E187 G175 C188 E188">
    <cfRule type="expression" dxfId="171" priority="159">
      <formula>AND(#REF!&gt;0,$H175&gt;89)</formula>
    </cfRule>
    <cfRule type="expression" dxfId="170" priority="160">
      <formula>AND(#REF!&gt;0,$H175&gt;59)</formula>
    </cfRule>
  </conditionalFormatting>
  <conditionalFormatting sqref="H185:H188 H175">
    <cfRule type="expression" dxfId="169" priority="157">
      <formula>AND(#REF!&gt;0,$H175&gt;89)</formula>
    </cfRule>
    <cfRule type="expression" dxfId="168" priority="158">
      <formula>AND(#REF!&gt;0,$H175&gt;59)</formula>
    </cfRule>
  </conditionalFormatting>
  <conditionalFormatting sqref="B176:B184">
    <cfRule type="expression" dxfId="167" priority="155">
      <formula>AND($Z178&gt;0,$L178&gt;89)</formula>
    </cfRule>
    <cfRule type="expression" dxfId="166" priority="156">
      <formula>AND($Z178&gt;0,$L178&gt;59)</formula>
    </cfRule>
  </conditionalFormatting>
  <conditionalFormatting sqref="G176:G184 C176:E184">
    <cfRule type="expression" dxfId="165" priority="153">
      <formula>AND(#REF!&gt;0,$H176&gt;89)</formula>
    </cfRule>
    <cfRule type="expression" dxfId="164" priority="154">
      <formula>AND(#REF!&gt;0,$H176&gt;59)</formula>
    </cfRule>
  </conditionalFormatting>
  <conditionalFormatting sqref="H176:H184">
    <cfRule type="expression" dxfId="163" priority="151">
      <formula>AND(#REF!&gt;0,$H176&gt;89)</formula>
    </cfRule>
    <cfRule type="expression" dxfId="162" priority="152">
      <formula>AND(#REF!&gt;0,$H176&gt;59)</formula>
    </cfRule>
  </conditionalFormatting>
  <conditionalFormatting sqref="D173:D174">
    <cfRule type="expression" dxfId="161" priority="149">
      <formula>AND(#REF!&gt;0,$L175&gt;89)</formula>
    </cfRule>
    <cfRule type="expression" dxfId="160" priority="150">
      <formula>AND(#REF!&gt;0,$L175&gt;59)</formula>
    </cfRule>
  </conditionalFormatting>
  <conditionalFormatting sqref="D189">
    <cfRule type="expression" dxfId="159" priority="147">
      <formula>AND(#REF!&gt;0,$H189&gt;89)</formula>
    </cfRule>
    <cfRule type="expression" dxfId="158" priority="148">
      <formula>AND(#REF!&gt;0,$H189&gt;59)</formula>
    </cfRule>
  </conditionalFormatting>
  <conditionalFormatting sqref="D190">
    <cfRule type="expression" dxfId="157" priority="145">
      <formula>AND(#REF!&gt;0,$H190&gt;89)</formula>
    </cfRule>
    <cfRule type="expression" dxfId="156" priority="146">
      <formula>AND(#REF!&gt;0,$H190&gt;59)</formula>
    </cfRule>
  </conditionalFormatting>
  <conditionalFormatting sqref="D188">
    <cfRule type="expression" dxfId="155" priority="143">
      <formula>AND(#REF!&gt;0,$H188&gt;89)</formula>
    </cfRule>
    <cfRule type="expression" dxfId="154" priority="144">
      <formula>AND(#REF!&gt;0,$H188&gt;59)</formula>
    </cfRule>
  </conditionalFormatting>
  <conditionalFormatting sqref="B165">
    <cfRule type="expression" dxfId="153" priority="141">
      <formula>AND($Z167&gt;0,$L167&gt;89)</formula>
    </cfRule>
    <cfRule type="expression" dxfId="152" priority="142">
      <formula>AND($Z167&gt;0,$L167&gt;59)</formula>
    </cfRule>
  </conditionalFormatting>
  <conditionalFormatting sqref="C165:E165 G44:G45">
    <cfRule type="expression" dxfId="151" priority="139">
      <formula>AND(#REF!&gt;0,$H44&gt;89)</formula>
    </cfRule>
    <cfRule type="expression" dxfId="150" priority="140">
      <formula>AND(#REF!&gt;0,$H44&gt;59)</formula>
    </cfRule>
  </conditionalFormatting>
  <conditionalFormatting sqref="H44:H45">
    <cfRule type="expression" dxfId="149" priority="137">
      <formula>AND(#REF!&gt;0,$H44&gt;89)</formula>
    </cfRule>
    <cfRule type="expression" dxfId="148" priority="138">
      <formula>AND(#REF!&gt;0,$H44&gt;59)</formula>
    </cfRule>
  </conditionalFormatting>
  <conditionalFormatting sqref="H165 H44:H45">
    <cfRule type="expression" dxfId="147" priority="135">
      <formula>AND(#REF!&gt;0,$H44&gt;89)</formula>
    </cfRule>
    <cfRule type="expression" dxfId="146" priority="136">
      <formula>AND(#REF!&gt;0,$H44&gt;59)</formula>
    </cfRule>
  </conditionalFormatting>
  <conditionalFormatting sqref="I45:I46">
    <cfRule type="expression" dxfId="145" priority="133">
      <formula>AND($AD46&gt;0,$P46&gt;89)</formula>
    </cfRule>
    <cfRule type="expression" dxfId="144" priority="134">
      <formula>AND($AD46&gt;0,$P46&gt;59)</formula>
    </cfRule>
  </conditionalFormatting>
  <conditionalFormatting sqref="B166:B172">
    <cfRule type="expression" dxfId="143" priority="131">
      <formula>AND($Z168&gt;0,$L168&gt;89)</formula>
    </cfRule>
    <cfRule type="expression" dxfId="142" priority="132">
      <formula>AND($Z168&gt;0,$L168&gt;59)</formula>
    </cfRule>
  </conditionalFormatting>
  <conditionalFormatting sqref="C166:E172">
    <cfRule type="expression" dxfId="141" priority="129">
      <formula>AND(#REF!&gt;0,$H166&gt;89)</formula>
    </cfRule>
    <cfRule type="expression" dxfId="140" priority="130">
      <formula>AND(#REF!&gt;0,$H166&gt;59)</formula>
    </cfRule>
  </conditionalFormatting>
  <conditionalFormatting sqref="H166:H172">
    <cfRule type="expression" dxfId="139" priority="127">
      <formula>AND(#REF!&gt;0,$H166&gt;89)</formula>
    </cfRule>
    <cfRule type="expression" dxfId="138" priority="128">
      <formula>AND(#REF!&gt;0,$H166&gt;59)</formula>
    </cfRule>
  </conditionalFormatting>
  <conditionalFormatting sqref="G60">
    <cfRule type="expression" dxfId="137" priority="125">
      <formula>AND(#REF!&gt;0,$H60&gt;89)</formula>
    </cfRule>
    <cfRule type="expression" dxfId="136" priority="126">
      <formula>AND(#REF!&gt;0,$H60&gt;59)</formula>
    </cfRule>
  </conditionalFormatting>
  <conditionalFormatting sqref="H70:H71 H60 H96:H97">
    <cfRule type="expression" dxfId="135" priority="123">
      <formula>AND(#REF!&gt;0,$H60&gt;89)</formula>
    </cfRule>
    <cfRule type="expression" dxfId="134" priority="124">
      <formula>AND(#REF!&gt;0,$H60&gt;59)</formula>
    </cfRule>
  </conditionalFormatting>
  <conditionalFormatting sqref="G61:G71 G96:G97 G165:G172">
    <cfRule type="expression" dxfId="133" priority="121">
      <formula>AND(#REF!&gt;0,$H61&gt;89)</formula>
    </cfRule>
    <cfRule type="expression" dxfId="132" priority="122">
      <formula>AND(#REF!&gt;0,$H61&gt;59)</formula>
    </cfRule>
  </conditionalFormatting>
  <conditionalFormatting sqref="H61:H69">
    <cfRule type="expression" dxfId="131" priority="119">
      <formula>AND(#REF!&gt;0,$H61&gt;89)</formula>
    </cfRule>
    <cfRule type="expression" dxfId="130" priority="120">
      <formula>AND(#REF!&gt;0,$H61&gt;59)</formula>
    </cfRule>
  </conditionalFormatting>
  <conditionalFormatting sqref="G56:G59 G46">
    <cfRule type="expression" dxfId="129" priority="117">
      <formula>AND(#REF!&gt;0,$H46&gt;89)</formula>
    </cfRule>
    <cfRule type="expression" dxfId="128" priority="118">
      <formula>AND(#REF!&gt;0,$H46&gt;59)</formula>
    </cfRule>
  </conditionalFormatting>
  <conditionalFormatting sqref="H56:H59 H46">
    <cfRule type="expression" dxfId="127" priority="115">
      <formula>AND(#REF!&gt;0,$H46&gt;89)</formula>
    </cfRule>
    <cfRule type="expression" dxfId="126" priority="116">
      <formula>AND(#REF!&gt;0,$H46&gt;59)</formula>
    </cfRule>
  </conditionalFormatting>
  <conditionalFormatting sqref="G47:G55">
    <cfRule type="expression" dxfId="125" priority="113">
      <formula>AND(#REF!&gt;0,$H47&gt;89)</formula>
    </cfRule>
    <cfRule type="expression" dxfId="124" priority="114">
      <formula>AND(#REF!&gt;0,$H47&gt;59)</formula>
    </cfRule>
  </conditionalFormatting>
  <conditionalFormatting sqref="H47:H55">
    <cfRule type="expression" dxfId="123" priority="111">
      <formula>AND(#REF!&gt;0,$H47&gt;89)</formula>
    </cfRule>
    <cfRule type="expression" dxfId="122" priority="112">
      <formula>AND(#REF!&gt;0,$H47&gt;59)</formula>
    </cfRule>
  </conditionalFormatting>
  <conditionalFormatting sqref="G82:G83">
    <cfRule type="expression" dxfId="121" priority="109">
      <formula>AND(#REF!&gt;0,$H82&gt;89)</formula>
    </cfRule>
    <cfRule type="expression" dxfId="120" priority="110">
      <formula>AND(#REF!&gt;0,$H82&gt;59)</formula>
    </cfRule>
  </conditionalFormatting>
  <conditionalFormatting sqref="H82:H83">
    <cfRule type="expression" dxfId="119" priority="107">
      <formula>AND(#REF!&gt;0,$H82&gt;89)</formula>
    </cfRule>
    <cfRule type="expression" dxfId="118" priority="108">
      <formula>AND(#REF!&gt;0,$H82&gt;59)</formula>
    </cfRule>
  </conditionalFormatting>
  <conditionalFormatting sqref="H82:H83">
    <cfRule type="expression" dxfId="117" priority="105">
      <formula>AND(#REF!&gt;0,$H82&gt;89)</formula>
    </cfRule>
    <cfRule type="expression" dxfId="116" priority="106">
      <formula>AND(#REF!&gt;0,$H82&gt;59)</formula>
    </cfRule>
  </conditionalFormatting>
  <conditionalFormatting sqref="I83:I84">
    <cfRule type="expression" dxfId="115" priority="103">
      <formula>AND($AD84&gt;0,$P84&gt;89)</formula>
    </cfRule>
    <cfRule type="expression" dxfId="114" priority="104">
      <formula>AND($AD84&gt;0,$P84&gt;59)</formula>
    </cfRule>
  </conditionalFormatting>
  <conditionalFormatting sqref="G94:G95 G84">
    <cfRule type="expression" dxfId="113" priority="101">
      <formula>AND(#REF!&gt;0,$H84&gt;89)</formula>
    </cfRule>
    <cfRule type="expression" dxfId="112" priority="102">
      <formula>AND(#REF!&gt;0,$H84&gt;59)</formula>
    </cfRule>
  </conditionalFormatting>
  <conditionalFormatting sqref="H94:H95 H84">
    <cfRule type="expression" dxfId="111" priority="99">
      <formula>AND(#REF!&gt;0,$H84&gt;89)</formula>
    </cfRule>
    <cfRule type="expression" dxfId="110" priority="100">
      <formula>AND(#REF!&gt;0,$H84&gt;59)</formula>
    </cfRule>
  </conditionalFormatting>
  <conditionalFormatting sqref="G85:G93">
    <cfRule type="expression" dxfId="109" priority="97">
      <formula>AND(#REF!&gt;0,$H85&gt;89)</formula>
    </cfRule>
    <cfRule type="expression" dxfId="108" priority="98">
      <formula>AND(#REF!&gt;0,$H85&gt;59)</formula>
    </cfRule>
  </conditionalFormatting>
  <conditionalFormatting sqref="H85:H93">
    <cfRule type="expression" dxfId="107" priority="95">
      <formula>AND(#REF!&gt;0,$H85&gt;89)</formula>
    </cfRule>
    <cfRule type="expression" dxfId="106" priority="96">
      <formula>AND(#REF!&gt;0,$H85&gt;59)</formula>
    </cfRule>
  </conditionalFormatting>
  <conditionalFormatting sqref="H74">
    <cfRule type="expression" dxfId="105" priority="93">
      <formula>AND(#REF!&gt;0,$H74&gt;89)</formula>
    </cfRule>
    <cfRule type="expression" dxfId="104" priority="94">
      <formula>AND(#REF!&gt;0,$H74&gt;59)</formula>
    </cfRule>
  </conditionalFormatting>
  <conditionalFormatting sqref="H75:H81">
    <cfRule type="expression" dxfId="103" priority="91">
      <formula>AND(#REF!&gt;0,$H75&gt;89)</formula>
    </cfRule>
    <cfRule type="expression" dxfId="102" priority="92">
      <formula>AND(#REF!&gt;0,$H75&gt;59)</formula>
    </cfRule>
  </conditionalFormatting>
  <conditionalFormatting sqref="H72:H73">
    <cfRule type="expression" dxfId="101" priority="89">
      <formula>AND(#REF!&gt;0,$H72&gt;89)</formula>
    </cfRule>
    <cfRule type="expression" dxfId="100" priority="90">
      <formula>AND(#REF!&gt;0,$H72&gt;59)</formula>
    </cfRule>
  </conditionalFormatting>
  <conditionalFormatting sqref="G72:G81">
    <cfRule type="expression" dxfId="99" priority="87">
      <formula>AND(#REF!&gt;0,$H72&gt;89)</formula>
    </cfRule>
    <cfRule type="expression" dxfId="98" priority="88">
      <formula>AND(#REF!&gt;0,$H72&gt;59)</formula>
    </cfRule>
  </conditionalFormatting>
  <conditionalFormatting sqref="E146:E149 G106:G107 E136">
    <cfRule type="expression" dxfId="97" priority="85">
      <formula>AND(#REF!&gt;0,$H106&gt;89)</formula>
    </cfRule>
    <cfRule type="expression" dxfId="96" priority="86">
      <formula>AND(#REF!&gt;0,$H106&gt;59)</formula>
    </cfRule>
  </conditionalFormatting>
  <conditionalFormatting sqref="H106:H107">
    <cfRule type="expression" dxfId="95" priority="83">
      <formula>AND(#REF!&gt;0,$H106&gt;89)</formula>
    </cfRule>
    <cfRule type="expression" dxfId="94" priority="84">
      <formula>AND(#REF!&gt;0,$H106&gt;59)</formula>
    </cfRule>
  </conditionalFormatting>
  <conditionalFormatting sqref="H146:H149 H136 H106:H107">
    <cfRule type="expression" dxfId="93" priority="81">
      <formula>AND(#REF!&gt;0,$H106&gt;89)</formula>
    </cfRule>
    <cfRule type="expression" dxfId="92" priority="82">
      <formula>AND(#REF!&gt;0,$H106&gt;59)</formula>
    </cfRule>
  </conditionalFormatting>
  <conditionalFormatting sqref="I107:I108">
    <cfRule type="expression" dxfId="91" priority="79">
      <formula>AND($AD108&gt;0,$P108&gt;89)</formula>
    </cfRule>
    <cfRule type="expression" dxfId="90" priority="80">
      <formula>AND($AD108&gt;0,$P108&gt;59)</formula>
    </cfRule>
  </conditionalFormatting>
  <conditionalFormatting sqref="E137:E145">
    <cfRule type="expression" dxfId="89" priority="77">
      <formula>AND(#REF!&gt;0,$H137&gt;89)</formula>
    </cfRule>
    <cfRule type="expression" dxfId="88" priority="78">
      <formula>AND(#REF!&gt;0,$H137&gt;59)</formula>
    </cfRule>
  </conditionalFormatting>
  <conditionalFormatting sqref="H137:H145">
    <cfRule type="expression" dxfId="87" priority="75">
      <formula>AND(#REF!&gt;0,$H137&gt;89)</formula>
    </cfRule>
    <cfRule type="expression" dxfId="86" priority="76">
      <formula>AND(#REF!&gt;0,$H137&gt;59)</formula>
    </cfRule>
  </conditionalFormatting>
  <conditionalFormatting sqref="G122 E132:E135">
    <cfRule type="expression" dxfId="85" priority="73">
      <formula>AND(#REF!&gt;0,$H122&gt;89)</formula>
    </cfRule>
    <cfRule type="expression" dxfId="84" priority="74">
      <formula>AND(#REF!&gt;0,$H122&gt;59)</formula>
    </cfRule>
  </conditionalFormatting>
  <conditionalFormatting sqref="H132:H135 H122">
    <cfRule type="expression" dxfId="83" priority="71">
      <formula>AND(#REF!&gt;0,$H122&gt;89)</formula>
    </cfRule>
    <cfRule type="expression" dxfId="82" priority="72">
      <formula>AND(#REF!&gt;0,$H122&gt;59)</formula>
    </cfRule>
  </conditionalFormatting>
  <conditionalFormatting sqref="G123:G158 E125:E131">
    <cfRule type="expression" dxfId="81" priority="69">
      <formula>AND(#REF!&gt;0,$H123&gt;89)</formula>
    </cfRule>
    <cfRule type="expression" dxfId="80" priority="70">
      <formula>AND(#REF!&gt;0,$H123&gt;59)</formula>
    </cfRule>
  </conditionalFormatting>
  <conditionalFormatting sqref="H123:H131">
    <cfRule type="expression" dxfId="79" priority="67">
      <formula>AND(#REF!&gt;0,$H123&gt;89)</formula>
    </cfRule>
    <cfRule type="expression" dxfId="78" priority="68">
      <formula>AND(#REF!&gt;0,$H123&gt;59)</formula>
    </cfRule>
  </conditionalFormatting>
  <conditionalFormatting sqref="G118:G121 G108">
    <cfRule type="expression" dxfId="77" priority="65">
      <formula>AND(#REF!&gt;0,$H108&gt;89)</formula>
    </cfRule>
    <cfRule type="expression" dxfId="76" priority="66">
      <formula>AND(#REF!&gt;0,$H108&gt;59)</formula>
    </cfRule>
  </conditionalFormatting>
  <conditionalFormatting sqref="H118:H121 H108">
    <cfRule type="expression" dxfId="75" priority="63">
      <formula>AND(#REF!&gt;0,$H108&gt;89)</formula>
    </cfRule>
    <cfRule type="expression" dxfId="74" priority="64">
      <formula>AND(#REF!&gt;0,$H108&gt;59)</formula>
    </cfRule>
  </conditionalFormatting>
  <conditionalFormatting sqref="G109:G117">
    <cfRule type="expression" dxfId="73" priority="61">
      <formula>AND(#REF!&gt;0,$H109&gt;89)</formula>
    </cfRule>
    <cfRule type="expression" dxfId="72" priority="62">
      <formula>AND(#REF!&gt;0,$H109&gt;59)</formula>
    </cfRule>
  </conditionalFormatting>
  <conditionalFormatting sqref="H109:H117">
    <cfRule type="expression" dxfId="71" priority="59">
      <formula>AND(#REF!&gt;0,$H109&gt;89)</formula>
    </cfRule>
    <cfRule type="expression" dxfId="70" priority="60">
      <formula>AND(#REF!&gt;0,$H109&gt;59)</formula>
    </cfRule>
  </conditionalFormatting>
  <conditionalFormatting sqref="B161:B164">
    <cfRule type="expression" dxfId="69" priority="57">
      <formula>AND($Z163&gt;0,$L163&gt;89)</formula>
    </cfRule>
    <cfRule type="expression" dxfId="68" priority="58">
      <formula>AND($Z163&gt;0,$L163&gt;59)</formula>
    </cfRule>
  </conditionalFormatting>
  <conditionalFormatting sqref="C161:E164 G161:G164">
    <cfRule type="expression" dxfId="67" priority="55">
      <formula>AND(#REF!&gt;0,$H161&gt;89)</formula>
    </cfRule>
    <cfRule type="expression" dxfId="66" priority="56">
      <formula>AND(#REF!&gt;0,$H161&gt;59)</formula>
    </cfRule>
  </conditionalFormatting>
  <conditionalFormatting sqref="H161:H164">
    <cfRule type="expression" dxfId="65" priority="53">
      <formula>AND(#REF!&gt;0,$H161&gt;89)</formula>
    </cfRule>
    <cfRule type="expression" dxfId="64" priority="54">
      <formula>AND(#REF!&gt;0,$H161&gt;59)</formula>
    </cfRule>
  </conditionalFormatting>
  <conditionalFormatting sqref="B156:B160">
    <cfRule type="expression" dxfId="63" priority="51">
      <formula>AND($Z158&gt;0,$L158&gt;89)</formula>
    </cfRule>
    <cfRule type="expression" dxfId="62" priority="52">
      <formula>AND($Z158&gt;0,$L158&gt;59)</formula>
    </cfRule>
  </conditionalFormatting>
  <conditionalFormatting sqref="C156:E160 G159:G160">
    <cfRule type="expression" dxfId="61" priority="49">
      <formula>AND(#REF!&gt;0,$H156&gt;89)</formula>
    </cfRule>
    <cfRule type="expression" dxfId="60" priority="50">
      <formula>AND(#REF!&gt;0,$H156&gt;59)</formula>
    </cfRule>
  </conditionalFormatting>
  <conditionalFormatting sqref="H156:H160">
    <cfRule type="expression" dxfId="59" priority="47">
      <formula>AND(#REF!&gt;0,$H156&gt;89)</formula>
    </cfRule>
    <cfRule type="expression" dxfId="58" priority="48">
      <formula>AND(#REF!&gt;0,$H156&gt;59)</formula>
    </cfRule>
  </conditionalFormatting>
  <conditionalFormatting sqref="B150:B155">
    <cfRule type="expression" dxfId="57" priority="45">
      <formula>AND($Z152&gt;0,$L152&gt;89)</formula>
    </cfRule>
    <cfRule type="expression" dxfId="56" priority="46">
      <formula>AND($Z152&gt;0,$L152&gt;59)</formula>
    </cfRule>
  </conditionalFormatting>
  <conditionalFormatting sqref="C150:E155">
    <cfRule type="expression" dxfId="55" priority="43">
      <formula>AND(#REF!&gt;0,$H150&gt;89)</formula>
    </cfRule>
    <cfRule type="expression" dxfId="54" priority="44">
      <formula>AND(#REF!&gt;0,$H150&gt;59)</formula>
    </cfRule>
  </conditionalFormatting>
  <conditionalFormatting sqref="H150:H155">
    <cfRule type="expression" dxfId="53" priority="41">
      <formula>AND(#REF!&gt;0,$H150&gt;89)</formula>
    </cfRule>
    <cfRule type="expression" dxfId="52" priority="42">
      <formula>AND(#REF!&gt;0,$H150&gt;59)</formula>
    </cfRule>
  </conditionalFormatting>
  <conditionalFormatting sqref="H98">
    <cfRule type="expression" dxfId="51" priority="39">
      <formula>AND(#REF!&gt;0,$H98&gt;89)</formula>
    </cfRule>
    <cfRule type="expression" dxfId="50" priority="40">
      <formula>AND(#REF!&gt;0,$H98&gt;59)</formula>
    </cfRule>
  </conditionalFormatting>
  <conditionalFormatting sqref="H99:H105">
    <cfRule type="expression" dxfId="49" priority="37">
      <formula>AND(#REF!&gt;0,$H99&gt;89)</formula>
    </cfRule>
    <cfRule type="expression" dxfId="48" priority="38">
      <formula>AND(#REF!&gt;0,$H99&gt;59)</formula>
    </cfRule>
  </conditionalFormatting>
  <conditionalFormatting sqref="G98:G105">
    <cfRule type="expression" dxfId="47" priority="35">
      <formula>AND(#REF!&gt;0,$H98&gt;89)</formula>
    </cfRule>
    <cfRule type="expression" dxfId="46" priority="36">
      <formula>AND(#REF!&gt;0,$H98&gt;59)</formula>
    </cfRule>
  </conditionalFormatting>
  <conditionalFormatting sqref="C211">
    <cfRule type="expression" dxfId="45" priority="33">
      <formula>AND(#REF!&gt;0,$H211&gt;89)</formula>
    </cfRule>
    <cfRule type="expression" dxfId="44" priority="34">
      <formula>AND(#REF!&gt;0,$H211&gt;59)</formula>
    </cfRule>
  </conditionalFormatting>
  <conditionalFormatting sqref="F12:G12 F16:G29">
    <cfRule type="expression" dxfId="43" priority="201">
      <formula>AND(#REF!&gt;0,$M14&gt;89)</formula>
    </cfRule>
    <cfRule type="expression" dxfId="42" priority="202">
      <formula>AND(#REF!&gt;0,$M14&gt;59)</formula>
    </cfRule>
  </conditionalFormatting>
  <conditionalFormatting sqref="B173:B174">
    <cfRule type="expression" dxfId="41" priority="203">
      <formula>AND($AD175&gt;0,$P175&gt;89)</formula>
    </cfRule>
    <cfRule type="expression" dxfId="40" priority="204">
      <formula>AND($AD175&gt;0,$P175&gt;59)</formula>
    </cfRule>
  </conditionalFormatting>
  <conditionalFormatting sqref="F11:G11 F14:G15">
    <cfRule type="expression" dxfId="39" priority="205">
      <formula>AND(#REF!&gt;0,$M12&gt;89)</formula>
    </cfRule>
    <cfRule type="expression" dxfId="38" priority="206">
      <formula>AND(#REF!&gt;0,$M12&gt;59)</formula>
    </cfRule>
  </conditionalFormatting>
  <conditionalFormatting sqref="B209">
    <cfRule type="expression" dxfId="37" priority="207">
      <formula>AND($Z210&gt;0,$L210&gt;89)</formula>
    </cfRule>
    <cfRule type="expression" dxfId="36" priority="208">
      <formula>AND($Z210&gt;0,$L210&gt;59)</formula>
    </cfRule>
  </conditionalFormatting>
  <conditionalFormatting sqref="B125:B149">
    <cfRule type="expression" dxfId="35" priority="30">
      <formula>AND($AK125&gt;0,$W125&gt;89)</formula>
    </cfRule>
    <cfRule type="expression" dxfId="34" priority="31">
      <formula>AND($AK125&gt;0,$W125&gt;59)</formula>
    </cfRule>
    <cfRule type="expression" dxfId="33" priority="32">
      <formula>AND($AK125&gt;0,$W125&gt;44)</formula>
    </cfRule>
  </conditionalFormatting>
  <conditionalFormatting sqref="B87:B90">
    <cfRule type="expression" dxfId="32" priority="27">
      <formula>AND($AK87&gt;0,$W87&gt;89)</formula>
    </cfRule>
    <cfRule type="expression" dxfId="31" priority="28">
      <formula>AND($AK87&gt;0,$W87&gt;59)</formula>
    </cfRule>
    <cfRule type="expression" dxfId="30" priority="29">
      <formula>AND($AK87&gt;0,$W87&gt;44)</formula>
    </cfRule>
  </conditionalFormatting>
  <conditionalFormatting sqref="B91:B124">
    <cfRule type="expression" dxfId="29" priority="24">
      <formula>AND($AK91&gt;0,$W91&gt;89)</formula>
    </cfRule>
    <cfRule type="expression" dxfId="28" priority="25">
      <formula>AND($AK91&gt;0,$W91&gt;59)</formula>
    </cfRule>
    <cfRule type="expression" dxfId="27" priority="26">
      <formula>AND($AK91&gt;0,$W91&gt;44)</formula>
    </cfRule>
  </conditionalFormatting>
  <conditionalFormatting sqref="G4:G7 B4:B73">
    <cfRule type="expression" dxfId="26" priority="21">
      <formula>AND($AK4&gt;0,$W4&gt;89)</formula>
    </cfRule>
    <cfRule type="expression" dxfId="25" priority="22">
      <formula>AND($AK4&gt;0,$W4&gt;59)</formula>
    </cfRule>
    <cfRule type="expression" dxfId="24" priority="23">
      <formula>AND($AK4&gt;0,$W4&gt;44)</formula>
    </cfRule>
  </conditionalFormatting>
  <conditionalFormatting sqref="B214">
    <cfRule type="expression" dxfId="23" priority="19">
      <formula>AND(#REF!&gt;0,$H214&gt;89)</formula>
    </cfRule>
    <cfRule type="expression" dxfId="22" priority="20">
      <formula>AND(#REF!&gt;0,$H214&gt;59)</formula>
    </cfRule>
  </conditionalFormatting>
  <conditionalFormatting sqref="C214">
    <cfRule type="expression" dxfId="21" priority="17">
      <formula>AND(#REF!&gt;0,$H214&gt;89)</formula>
    </cfRule>
    <cfRule type="expression" dxfId="20" priority="18">
      <formula>AND(#REF!&gt;0,$H214&gt;59)</formula>
    </cfRule>
  </conditionalFormatting>
  <conditionalFormatting sqref="D4:E4 E5:E124 D5:D74">
    <cfRule type="expression" dxfId="19" priority="15">
      <formula>AND(#REF!&gt;0,#REF!&gt;89)</formula>
    </cfRule>
    <cfRule type="expression" dxfId="18" priority="16">
      <formula>AND(#REF!&gt;0,#REF!&gt;59)</formula>
    </cfRule>
  </conditionalFormatting>
  <conditionalFormatting sqref="D75:D86">
    <cfRule type="expression" dxfId="17" priority="13">
      <formula>AND(#REF!&gt;0,#REF!&gt;89)</formula>
    </cfRule>
    <cfRule type="expression" dxfId="16" priority="14">
      <formula>AND(#REF!&gt;0,#REF!&gt;59)</formula>
    </cfRule>
  </conditionalFormatting>
  <conditionalFormatting sqref="B75:B86">
    <cfRule type="expression" dxfId="15" priority="10">
      <formula>AND($AK75&gt;0,$W75&gt;89)</formula>
    </cfRule>
    <cfRule type="expression" dxfId="14" priority="11">
      <formula>AND($AK75&gt;0,$W75&gt;59)</formula>
    </cfRule>
    <cfRule type="expression" dxfId="13" priority="12">
      <formula>AND($AK75&gt;0,$W75&gt;44)</formula>
    </cfRule>
  </conditionalFormatting>
  <conditionalFormatting sqref="D217">
    <cfRule type="expression" dxfId="12" priority="8">
      <formula>AND(#REF!&gt;0,$H217&gt;89)</formula>
    </cfRule>
    <cfRule type="expression" dxfId="11" priority="9">
      <formula>AND(#REF!&gt;0,$H217&gt;59)</formula>
    </cfRule>
  </conditionalFormatting>
  <conditionalFormatting sqref="E217">
    <cfRule type="expression" dxfId="10" priority="6">
      <formula>AND(#REF!&gt;0,$H217&gt;89)</formula>
    </cfRule>
    <cfRule type="expression" dxfId="9" priority="7">
      <formula>AND(#REF!&gt;0,$H217&gt;59)</formula>
    </cfRule>
  </conditionalFormatting>
  <conditionalFormatting sqref="C217">
    <cfRule type="expression" dxfId="8" priority="4">
      <formula>AND(#REF!&gt;0,$H217&gt;89)</formula>
    </cfRule>
    <cfRule type="expression" dxfId="7" priority="5">
      <formula>AND(#REF!&gt;0,$H217&gt;59)</formula>
    </cfRule>
  </conditionalFormatting>
  <conditionalFormatting sqref="B74">
    <cfRule type="expression" dxfId="6" priority="1">
      <formula>AND($AK74&gt;0,$W74&gt;89)</formula>
    </cfRule>
    <cfRule type="expression" dxfId="5" priority="2">
      <formula>AND($AK74&gt;0,$W74&gt;59)</formula>
    </cfRule>
    <cfRule type="expression" dxfId="4" priority="3">
      <formula>AND($AK74&gt;0,$W74&gt;44)</formula>
    </cfRule>
  </conditionalFormatting>
  <conditionalFormatting sqref="I14:I15 I31">
    <cfRule type="expression" dxfId="3" priority="209">
      <formula>AND(#REF!&gt;0,#REF!&gt;89)</formula>
    </cfRule>
    <cfRule type="expression" dxfId="2" priority="210">
      <formula>AND(#REF!&gt;0,#REF!&gt;59)</formula>
    </cfRule>
  </conditionalFormatting>
  <conditionalFormatting sqref="F13:G13">
    <cfRule type="expression" dxfId="1" priority="211">
      <formula>AND(#REF!&gt;0,#REF!&gt;89)</formula>
    </cfRule>
    <cfRule type="expression" dxfId="0" priority="212">
      <formula>AND(#REF!&gt;0,#REF!&gt;59)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Penyelesai OD &amp; TF </vt:lpstr>
      <vt:lpstr>Kalender </vt:lpstr>
      <vt:lpstr>Simulasi (2)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admtc6</dc:creator>
  <cp:lastModifiedBy>admtc6</cp:lastModifiedBy>
  <dcterms:created xsi:type="dcterms:W3CDTF">2026-02-21T03:26:28Z</dcterms:created>
  <dcterms:modified xsi:type="dcterms:W3CDTF">2026-05-08T03:24:56Z</dcterms:modified>
</cp:coreProperties>
</file>