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500" activeTab="2"/>
  </bookViews>
  <sheets>
    <sheet name="Penyelesai OD &amp; TF " sheetId="1" r:id="rId1"/>
    <sheet name="Kalender" sheetId="6" r:id="rId2"/>
    <sheet name="Simulasi " sheetId="7" r:id="rId3"/>
    <sheet name="Sheet2" sheetId="2" r:id="rId4"/>
    <sheet name="Sheet3" sheetId="3" r:id="rId5"/>
  </sheets>
  <externalReferences>
    <externalReference r:id="rId6"/>
    <externalReference r:id="rId7"/>
  </externalReferences>
  <definedNames>
    <definedName name="_xlnm._FilterDatabase" localSheetId="1" hidden="1">Kalender!$B$1:$AH$149</definedName>
    <definedName name="_xlnm._FilterDatabase" localSheetId="2" hidden="1">'Simulasi '!$A$3:$M$217</definedName>
    <definedName name="tb_tagpdbg" localSheetId="2">[2]TAGPD!$AQ$8:$AQ$30000</definedName>
    <definedName name="tb_tagpdbg">[1]TAGPD!$AQ$8:$AQ$30000</definedName>
    <definedName name="tb_tagpdfaktur" localSheetId="2">[2]TAGPD!$E$8:$E$30000</definedName>
    <definedName name="tb_tagpdfaktur">[1]TAGPD!$E$8:$E$30000</definedName>
    <definedName name="tb_tagpdkucash" localSheetId="2">[2]TAGPD!$AV$8:$AV$30000</definedName>
    <definedName name="tb_tagpdkucash">[1]TAGPD!$AV$8:$AV$30000</definedName>
    <definedName name="tb_tagpdrpb" localSheetId="2">[2]TAGPD!$AP$8:$AP$30000</definedName>
    <definedName name="tb_tagpdrpb">[1]TAGPD!$AP$8:$AP$30000</definedName>
    <definedName name="tb_tbbnt">#REF!</definedName>
    <definedName name="tballnk" localSheetId="2">[2]All!$E$12:$E$996</definedName>
    <definedName name="tballnk">[1]All!$E$12:$E$996</definedName>
    <definedName name="tballp" localSheetId="2">[2]All!$L$12:$L$996</definedName>
    <definedName name="tballp">[1]All!$L$12:$L$996</definedName>
    <definedName name="tballsa" localSheetId="2">[2]All!$I$12:$I$996</definedName>
    <definedName name="tballsa">[1]All!$I$12:$I$996</definedName>
    <definedName name="tballsod" localSheetId="2">[2]All!$M$12:$M$996</definedName>
    <definedName name="tballsod">[1]All!$M$12:$M$996</definedName>
  </definedNames>
  <calcPr calcId="145621"/>
</workbook>
</file>

<file path=xl/calcChain.xml><?xml version="1.0" encoding="utf-8"?>
<calcChain xmlns="http://schemas.openxmlformats.org/spreadsheetml/2006/main">
  <c r="G214" i="7" l="1"/>
  <c r="A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C129" i="7"/>
  <c r="D129" i="7" s="1"/>
  <c r="C128" i="7"/>
  <c r="C127" i="7"/>
  <c r="D127" i="7" s="1"/>
  <c r="E127" i="7" s="1"/>
  <c r="D126" i="7"/>
  <c r="E126" i="7" s="1"/>
  <c r="C126" i="7"/>
  <c r="C125" i="7"/>
  <c r="D125" i="7" s="1"/>
  <c r="C124" i="7"/>
  <c r="C123" i="7"/>
  <c r="D123" i="7" s="1"/>
  <c r="E123" i="7" s="1"/>
  <c r="D122" i="7"/>
  <c r="E122" i="7" s="1"/>
  <c r="C122" i="7"/>
  <c r="C121" i="7"/>
  <c r="D121" i="7" s="1"/>
  <c r="C120" i="7"/>
  <c r="C119" i="7"/>
  <c r="D119" i="7" s="1"/>
  <c r="E119" i="7" s="1"/>
  <c r="D118" i="7"/>
  <c r="E118" i="7" s="1"/>
  <c r="C118" i="7"/>
  <c r="C117" i="7"/>
  <c r="D117" i="7" s="1"/>
  <c r="C116" i="7"/>
  <c r="C115" i="7"/>
  <c r="D115" i="7" s="1"/>
  <c r="E115" i="7" s="1"/>
  <c r="D114" i="7"/>
  <c r="E114" i="7" s="1"/>
  <c r="C114" i="7"/>
  <c r="C113" i="7"/>
  <c r="D113" i="7" s="1"/>
  <c r="C112" i="7"/>
  <c r="C111" i="7"/>
  <c r="D111" i="7" s="1"/>
  <c r="E111" i="7" s="1"/>
  <c r="D110" i="7"/>
  <c r="E110" i="7" s="1"/>
  <c r="C110" i="7"/>
  <c r="C109" i="7"/>
  <c r="D109" i="7" s="1"/>
  <c r="C108" i="7"/>
  <c r="C107" i="7"/>
  <c r="D107" i="7" s="1"/>
  <c r="E107" i="7" s="1"/>
  <c r="D106" i="7"/>
  <c r="E106" i="7" s="1"/>
  <c r="C106" i="7"/>
  <c r="C105" i="7"/>
  <c r="D105" i="7" s="1"/>
  <c r="C104" i="7"/>
  <c r="C103" i="7"/>
  <c r="D103" i="7" s="1"/>
  <c r="E103" i="7" s="1"/>
  <c r="D102" i="7"/>
  <c r="E102" i="7" s="1"/>
  <c r="C102" i="7"/>
  <c r="C101" i="7"/>
  <c r="D101" i="7" s="1"/>
  <c r="C100" i="7"/>
  <c r="C99" i="7"/>
  <c r="D99" i="7" s="1"/>
  <c r="E99" i="7" s="1"/>
  <c r="D98" i="7"/>
  <c r="E98" i="7" s="1"/>
  <c r="C98" i="7"/>
  <c r="C97" i="7"/>
  <c r="D97" i="7" s="1"/>
  <c r="C96" i="7"/>
  <c r="C95" i="7"/>
  <c r="D95" i="7" s="1"/>
  <c r="E95" i="7" s="1"/>
  <c r="D94" i="7"/>
  <c r="E94" i="7" s="1"/>
  <c r="C94" i="7"/>
  <c r="C93" i="7"/>
  <c r="D93" i="7" s="1"/>
  <c r="C92" i="7"/>
  <c r="C91" i="7"/>
  <c r="D91" i="7" s="1"/>
  <c r="E91" i="7" s="1"/>
  <c r="D90" i="7"/>
  <c r="E90" i="7" s="1"/>
  <c r="C90" i="7"/>
  <c r="C89" i="7"/>
  <c r="D89" i="7" s="1"/>
  <c r="C88" i="7"/>
  <c r="C87" i="7"/>
  <c r="D87" i="7" s="1"/>
  <c r="E87" i="7" s="1"/>
  <c r="D86" i="7"/>
  <c r="E86" i="7" s="1"/>
  <c r="C86" i="7"/>
  <c r="C85" i="7"/>
  <c r="D85" i="7" s="1"/>
  <c r="E84" i="7"/>
  <c r="E83" i="7"/>
  <c r="E82" i="7"/>
  <c r="E81" i="7"/>
  <c r="E80" i="7"/>
  <c r="E79" i="7"/>
  <c r="E78" i="7"/>
  <c r="C77" i="7"/>
  <c r="D77" i="7" s="1"/>
  <c r="E77" i="7" s="1"/>
  <c r="D76" i="7"/>
  <c r="C76" i="7"/>
  <c r="E76" i="7" s="1"/>
  <c r="C75" i="7"/>
  <c r="D75" i="7" s="1"/>
  <c r="C74" i="7"/>
  <c r="C73" i="7"/>
  <c r="D73" i="7" s="1"/>
  <c r="E73" i="7" s="1"/>
  <c r="D72" i="7"/>
  <c r="C72" i="7"/>
  <c r="E72" i="7" s="1"/>
  <c r="C71" i="7"/>
  <c r="D71" i="7" s="1"/>
  <c r="D70" i="7"/>
  <c r="C70" i="7"/>
  <c r="E70" i="7" s="1"/>
  <c r="C69" i="7"/>
  <c r="D69" i="7" s="1"/>
  <c r="E69" i="7" s="1"/>
  <c r="D68" i="7"/>
  <c r="C68" i="7"/>
  <c r="E68" i="7" s="1"/>
  <c r="C67" i="7"/>
  <c r="D67" i="7" s="1"/>
  <c r="D66" i="7"/>
  <c r="C66" i="7"/>
  <c r="E66" i="7" s="1"/>
  <c r="C65" i="7"/>
  <c r="D65" i="7" s="1"/>
  <c r="E65" i="7" s="1"/>
  <c r="D64" i="7"/>
  <c r="C64" i="7"/>
  <c r="E64" i="7" s="1"/>
  <c r="C63" i="7"/>
  <c r="D63" i="7" s="1"/>
  <c r="D62" i="7"/>
  <c r="C62" i="7"/>
  <c r="E62" i="7" s="1"/>
  <c r="C61" i="7"/>
  <c r="D61" i="7" s="1"/>
  <c r="E61" i="7" s="1"/>
  <c r="D60" i="7"/>
  <c r="C60" i="7"/>
  <c r="E60" i="7" s="1"/>
  <c r="C59" i="7"/>
  <c r="D59" i="7" s="1"/>
  <c r="D58" i="7"/>
  <c r="C58" i="7"/>
  <c r="E58" i="7" s="1"/>
  <c r="C57" i="7"/>
  <c r="D57" i="7" s="1"/>
  <c r="E57" i="7" s="1"/>
  <c r="D56" i="7"/>
  <c r="C56" i="7"/>
  <c r="E56" i="7" s="1"/>
  <c r="C55" i="7"/>
  <c r="D55" i="7" s="1"/>
  <c r="D54" i="7"/>
  <c r="C54" i="7"/>
  <c r="E54" i="7" s="1"/>
  <c r="C53" i="7"/>
  <c r="D53" i="7" s="1"/>
  <c r="E53" i="7" s="1"/>
  <c r="D52" i="7"/>
  <c r="C52" i="7"/>
  <c r="E52" i="7" s="1"/>
  <c r="C51" i="7"/>
  <c r="D51" i="7" s="1"/>
  <c r="D50" i="7"/>
  <c r="C50" i="7"/>
  <c r="E50" i="7" s="1"/>
  <c r="C49" i="7"/>
  <c r="D49" i="7" s="1"/>
  <c r="E49" i="7" s="1"/>
  <c r="D48" i="7"/>
  <c r="C48" i="7"/>
  <c r="E48" i="7" s="1"/>
  <c r="C47" i="7"/>
  <c r="D47" i="7" s="1"/>
  <c r="D46" i="7"/>
  <c r="C46" i="7"/>
  <c r="E46" i="7" s="1"/>
  <c r="C45" i="7"/>
  <c r="D45" i="7" s="1"/>
  <c r="E45" i="7" s="1"/>
  <c r="D44" i="7"/>
  <c r="C44" i="7"/>
  <c r="E44" i="7" s="1"/>
  <c r="C43" i="7"/>
  <c r="D43" i="7" s="1"/>
  <c r="D42" i="7"/>
  <c r="C42" i="7"/>
  <c r="E42" i="7" s="1"/>
  <c r="E41" i="7"/>
  <c r="D41" i="7"/>
  <c r="C41" i="7"/>
  <c r="D40" i="7"/>
  <c r="C40" i="7"/>
  <c r="E40" i="7" s="1"/>
  <c r="C39" i="7"/>
  <c r="D39" i="7" s="1"/>
  <c r="E38" i="7"/>
  <c r="D38" i="7"/>
  <c r="C38" i="7"/>
  <c r="C37" i="7"/>
  <c r="D37" i="7" s="1"/>
  <c r="E37" i="7" s="1"/>
  <c r="D36" i="7"/>
  <c r="C36" i="7"/>
  <c r="E36" i="7" s="1"/>
  <c r="C35" i="7"/>
  <c r="D35" i="7" s="1"/>
  <c r="E34" i="7"/>
  <c r="D34" i="7"/>
  <c r="C34" i="7"/>
  <c r="C33" i="7"/>
  <c r="D33" i="7" s="1"/>
  <c r="E33" i="7" s="1"/>
  <c r="D32" i="7"/>
  <c r="C32" i="7"/>
  <c r="E32" i="7" s="1"/>
  <c r="C30" i="7"/>
  <c r="D30" i="7" s="1"/>
  <c r="E29" i="7"/>
  <c r="D29" i="7"/>
  <c r="C29" i="7"/>
  <c r="C28" i="7"/>
  <c r="D28" i="7" s="1"/>
  <c r="E28" i="7" s="1"/>
  <c r="D26" i="7"/>
  <c r="C26" i="7"/>
  <c r="E26" i="7" s="1"/>
  <c r="C25" i="7"/>
  <c r="D25" i="7" s="1"/>
  <c r="E24" i="7"/>
  <c r="D24" i="7"/>
  <c r="C24" i="7"/>
  <c r="C23" i="7"/>
  <c r="D23" i="7" s="1"/>
  <c r="E23" i="7" s="1"/>
  <c r="D22" i="7"/>
  <c r="C22" i="7"/>
  <c r="E22" i="7" s="1"/>
  <c r="C21" i="7"/>
  <c r="D21" i="7" s="1"/>
  <c r="D20" i="7"/>
  <c r="E20" i="7" s="1"/>
  <c r="C20" i="7"/>
  <c r="C19" i="7"/>
  <c r="D19" i="7" s="1"/>
  <c r="E19" i="7" s="1"/>
  <c r="D18" i="7"/>
  <c r="C18" i="7"/>
  <c r="E18" i="7" s="1"/>
  <c r="C16" i="7"/>
  <c r="D16" i="7" s="1"/>
  <c r="D15" i="7"/>
  <c r="E15" i="7" s="1"/>
  <c r="C15" i="7"/>
  <c r="C14" i="7"/>
  <c r="D14" i="7" s="1"/>
  <c r="E14" i="7" s="1"/>
  <c r="D13" i="7"/>
  <c r="C13" i="7"/>
  <c r="E13" i="7" s="1"/>
  <c r="E12" i="7"/>
  <c r="D12" i="7"/>
  <c r="E11" i="7"/>
  <c r="C11" i="7"/>
  <c r="C9" i="7"/>
  <c r="E9" i="7" s="1"/>
  <c r="C8" i="7"/>
  <c r="E8" i="7" s="1"/>
  <c r="C7" i="7"/>
  <c r="D7" i="7" s="1"/>
  <c r="E6" i="7"/>
  <c r="C6" i="7"/>
  <c r="C5" i="7"/>
  <c r="E5" i="7" s="1"/>
  <c r="D4" i="7"/>
  <c r="E4" i="7" s="1"/>
  <c r="C4" i="7"/>
  <c r="C214" i="7" s="1"/>
  <c r="C216" i="7" s="1"/>
  <c r="E96" i="7" l="1"/>
  <c r="E128" i="7"/>
  <c r="E116" i="7"/>
  <c r="E74" i="7"/>
  <c r="E104" i="7"/>
  <c r="E92" i="7"/>
  <c r="E124" i="7"/>
  <c r="E7" i="7"/>
  <c r="E16" i="7"/>
  <c r="E21" i="7"/>
  <c r="E25" i="7"/>
  <c r="E30" i="7"/>
  <c r="E35" i="7"/>
  <c r="E39" i="7"/>
  <c r="E43" i="7"/>
  <c r="E47" i="7"/>
  <c r="E51" i="7"/>
  <c r="E55" i="7"/>
  <c r="E59" i="7"/>
  <c r="E63" i="7"/>
  <c r="E67" i="7"/>
  <c r="E71" i="7"/>
  <c r="D74" i="7"/>
  <c r="D214" i="7" s="1"/>
  <c r="E75" i="7"/>
  <c r="E85" i="7"/>
  <c r="D88" i="7"/>
  <c r="E88" i="7" s="1"/>
  <c r="E89" i="7"/>
  <c r="D92" i="7"/>
  <c r="E93" i="7"/>
  <c r="D96" i="7"/>
  <c r="E97" i="7"/>
  <c r="D100" i="7"/>
  <c r="E100" i="7" s="1"/>
  <c r="E101" i="7"/>
  <c r="D104" i="7"/>
  <c r="E105" i="7"/>
  <c r="D108" i="7"/>
  <c r="E108" i="7" s="1"/>
  <c r="E109" i="7"/>
  <c r="D112" i="7"/>
  <c r="E112" i="7" s="1"/>
  <c r="E113" i="7"/>
  <c r="D116" i="7"/>
  <c r="E117" i="7"/>
  <c r="D120" i="7"/>
  <c r="E120" i="7" s="1"/>
  <c r="E121" i="7"/>
  <c r="D124" i="7"/>
  <c r="E125" i="7"/>
  <c r="D128" i="7"/>
  <c r="E129" i="7"/>
  <c r="AH247" i="6"/>
  <c r="AF247" i="6"/>
  <c r="AE247" i="6"/>
  <c r="AD247" i="6"/>
  <c r="AC247" i="6"/>
  <c r="AB247" i="6"/>
  <c r="AA247" i="6"/>
  <c r="Z247" i="6"/>
  <c r="Y247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F247" i="6"/>
  <c r="E247" i="6"/>
  <c r="D247" i="6"/>
  <c r="AH149" i="6"/>
  <c r="AG149" i="6"/>
  <c r="AF149" i="6"/>
  <c r="AE149" i="6"/>
  <c r="AD149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AK21" i="6"/>
  <c r="AJ21" i="6"/>
  <c r="AI21" i="6"/>
  <c r="AK8" i="6"/>
  <c r="AJ8" i="6"/>
  <c r="AJ11" i="6" s="1"/>
  <c r="AI13" i="6" s="1"/>
  <c r="AI8" i="6"/>
  <c r="AI11" i="6" s="1"/>
  <c r="E214" i="7" l="1"/>
  <c r="E222" i="7"/>
  <c r="H214" i="7"/>
  <c r="H27" i="1"/>
  <c r="G27" i="1"/>
  <c r="F27" i="1"/>
  <c r="E27" i="1"/>
  <c r="D27" i="1"/>
  <c r="C27" i="1"/>
  <c r="H26" i="1"/>
  <c r="G26" i="1"/>
  <c r="F26" i="1"/>
  <c r="E26" i="1"/>
  <c r="D26" i="1"/>
  <c r="C26" i="1"/>
  <c r="F14" i="1"/>
  <c r="E14" i="1"/>
  <c r="D14" i="1"/>
  <c r="C14" i="1" s="1"/>
  <c r="B6" i="1"/>
  <c r="I6" i="1" s="1"/>
  <c r="E224" i="7" l="1"/>
  <c r="D216" i="7"/>
  <c r="E216" i="7" s="1"/>
  <c r="E217" i="7" s="1"/>
  <c r="J222" i="7"/>
  <c r="D219" i="7"/>
  <c r="E219" i="7" s="1"/>
  <c r="E220" i="7" s="1"/>
  <c r="K6" i="1"/>
  <c r="F6" i="1"/>
  <c r="D6" i="1" s="1"/>
  <c r="E225" i="7" l="1"/>
  <c r="D224" i="7"/>
  <c r="H23" i="1" l="1"/>
  <c r="G23" i="1"/>
  <c r="F23" i="1"/>
  <c r="E23" i="1"/>
  <c r="D23" i="1"/>
  <c r="C23" i="1"/>
  <c r="G22" i="1"/>
  <c r="F22" i="1"/>
  <c r="E22" i="1"/>
  <c r="D22" i="1"/>
  <c r="F13" i="1"/>
  <c r="E13" i="1"/>
  <c r="D13" i="1"/>
  <c r="B5" i="1"/>
  <c r="I5" i="1" s="1"/>
  <c r="C13" i="1" l="1"/>
  <c r="K5" i="1"/>
  <c r="F5" i="1"/>
  <c r="D5" i="1" s="1"/>
</calcChain>
</file>

<file path=xl/sharedStrings.xml><?xml version="1.0" encoding="utf-8"?>
<sst xmlns="http://schemas.openxmlformats.org/spreadsheetml/2006/main" count="788" uniqueCount="197">
  <si>
    <t>TC : TIYA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</si>
  <si>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</si>
  <si>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</si>
  <si>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</si>
  <si>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</si>
  <si>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</si>
  <si>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</si>
  <si>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</si>
  <si>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</si>
  <si>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</si>
  <si>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</si>
  <si>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</si>
  <si>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</si>
  <si>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</si>
  <si>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</si>
  <si>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Open Plafon OD/Over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</si>
  <si>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</si>
  <si>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</si>
  <si>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</si>
  <si>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</si>
  <si>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</si>
  <si>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</si>
  <si>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</si>
  <si>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</si>
  <si>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TC : Tiya</t>
  </si>
  <si>
    <t>Value Transfer BG</t>
  </si>
  <si>
    <t>Tambahan</t>
  </si>
  <si>
    <t>% Tunai</t>
  </si>
  <si>
    <t>YTD</t>
  </si>
  <si>
    <t>MTD</t>
  </si>
  <si>
    <t>PER BULAN</t>
  </si>
  <si>
    <t>Kios Tunai</t>
  </si>
  <si>
    <t>Kios TF Tagih Tunai</t>
  </si>
  <si>
    <t>BG+KU</t>
  </si>
  <si>
    <t>Tunai</t>
  </si>
  <si>
    <t>Per Bulan</t>
  </si>
  <si>
    <t>11 M</t>
  </si>
  <si>
    <t>1M</t>
  </si>
  <si>
    <t>FEB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</si>
  <si>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</si>
  <si>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</si>
  <si>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</si>
  <si>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</si>
  <si>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</si>
  <si>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</si>
  <si>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</si>
  <si>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</si>
  <si>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</si>
  <si>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</si>
  <si>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</si>
  <si>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 xml:space="preserve"> </t>
  </si>
  <si>
    <t>Nama TC</t>
  </si>
  <si>
    <t>:</t>
  </si>
  <si>
    <t>Wilayah</t>
  </si>
  <si>
    <t xml:space="preserve">Jember, Agronomis </t>
  </si>
  <si>
    <t>Posisi Over Due</t>
  </si>
  <si>
    <t>30 &gt;</t>
  </si>
  <si>
    <t>No</t>
  </si>
  <si>
    <t>Nama Kios</t>
  </si>
  <si>
    <t>T</t>
  </si>
  <si>
    <t>B</t>
  </si>
  <si>
    <t>TB</t>
  </si>
  <si>
    <t>Agro Suci/Bety</t>
  </si>
  <si>
    <t>Agus/Nufarm</t>
  </si>
  <si>
    <t>Al Badar/Badar, H</t>
  </si>
  <si>
    <t>Almeera Tani/Alif</t>
  </si>
  <si>
    <t>Anggoro Makmur/Yayuk</t>
  </si>
  <si>
    <t>Aris/Tanindo</t>
  </si>
  <si>
    <t>Berkah Kayra/Nuyun</t>
  </si>
  <si>
    <t>Berkah Tani/Eka Adimas</t>
  </si>
  <si>
    <t>Berkah Tani/Intan Sri</t>
  </si>
  <si>
    <t>Bima Tani Jaya/Kevin Pratama</t>
  </si>
  <si>
    <t>Bina Mandiri, UD/Nurul</t>
  </si>
  <si>
    <t>Bintang Berlian/Hairun</t>
  </si>
  <si>
    <t>Bintang Tani Sejahterah/Anisatul</t>
  </si>
  <si>
    <t>Bumi Jaya, UD/Farida</t>
  </si>
  <si>
    <t>Bumi Tani 2/Hafid</t>
  </si>
  <si>
    <t>Bursa Tani/Brian</t>
  </si>
  <si>
    <t>Cahaya Tani/Rudi</t>
  </si>
  <si>
    <t>Culture Agritech Interzona, CV</t>
  </si>
  <si>
    <t>Damar Batur Nusantara</t>
  </si>
  <si>
    <t>Enggal Makmur/Dwi</t>
  </si>
  <si>
    <t>Era Tani/Abdul Wakik</t>
  </si>
  <si>
    <t>F Nganjuk</t>
  </si>
  <si>
    <t>Gemilang, Toko</t>
  </si>
  <si>
    <t>Griya Tani/Sri</t>
  </si>
  <si>
    <t>Harry Santoso</t>
  </si>
  <si>
    <t>Hasil Tani/Agus Widandik</t>
  </si>
  <si>
    <t>Hasil Tani/Marmi</t>
  </si>
  <si>
    <t>Hasil Usaha, UD</t>
  </si>
  <si>
    <t>Imam/Tanindo</t>
  </si>
  <si>
    <t>Ira Tani/Dani, H</t>
  </si>
  <si>
    <t>Lancar Barokah Tani/Abd Rosit</t>
  </si>
  <si>
    <t>Luhur Tani/M. Itqon</t>
  </si>
  <si>
    <t>Madya Tani/Halimatus</t>
  </si>
  <si>
    <t>Mahkota/Cik Cuan</t>
  </si>
  <si>
    <t>Maju Tani/Dedi Kurniawan</t>
  </si>
  <si>
    <t>Margo Rahayu/Latief</t>
  </si>
  <si>
    <t>Merdeka Tani/Sugiono</t>
  </si>
  <si>
    <t>Mubarok, Toko</t>
  </si>
  <si>
    <t>Nugroho Idi Sasetyo</t>
  </si>
  <si>
    <t>Puji Barokah Tani</t>
  </si>
  <si>
    <t>Putra Tani/Muzaiyin</t>
  </si>
  <si>
    <t>Raska, UD</t>
  </si>
  <si>
    <t>Rindi Tani</t>
  </si>
  <si>
    <t>Riski Tani/Hadi</t>
  </si>
  <si>
    <t>Rizki, UD/Kusnyoto</t>
  </si>
  <si>
    <t>Sekumpul Tani/Nofal</t>
  </si>
  <si>
    <t>Serba Hasil/Ansori</t>
  </si>
  <si>
    <t>Sugeng Makmur, Toko</t>
  </si>
  <si>
    <t>Sumaudi/STIM</t>
  </si>
  <si>
    <t>Sumber Tani 2, UD</t>
  </si>
  <si>
    <t>Sumber Tani/Eko Wardono</t>
  </si>
  <si>
    <t>Tani Jaya/Mul</t>
  </si>
  <si>
    <t>Tani Joss</t>
  </si>
  <si>
    <t>Tani Subur/Saiful</t>
  </si>
  <si>
    <t>Wira Tani, UD</t>
  </si>
  <si>
    <t>TOTAL</t>
  </si>
  <si>
    <t>Tagih Langsung Bayar</t>
  </si>
  <si>
    <t>Tagih</t>
  </si>
  <si>
    <t>Bayar</t>
  </si>
  <si>
    <t>Luar Pulau, Jabar Jateng, Madura, Bali, Tulungagung</t>
  </si>
  <si>
    <t>&lt; 30</t>
  </si>
  <si>
    <t>Albab Tani/Erwin</t>
  </si>
  <si>
    <t>Aminah Jaya Tani/Slamet</t>
  </si>
  <si>
    <t>Andika Makmur</t>
  </si>
  <si>
    <t>Bang Jali/Achmad Gozali</t>
  </si>
  <si>
    <t>Bintang Sejahtera</t>
  </si>
  <si>
    <t>Erfan SK</t>
  </si>
  <si>
    <t>Fortuna Tani/Heru</t>
  </si>
  <si>
    <t>Intani, UD/Yayak</t>
  </si>
  <si>
    <t>Permata, UD/Badar</t>
  </si>
  <si>
    <t>Sederhana, UD</t>
  </si>
  <si>
    <t>Semar/Wasto</t>
  </si>
  <si>
    <t>Tani Barokah/Muhdor</t>
  </si>
  <si>
    <t>Tani Mulyo, UD/Bastian</t>
  </si>
  <si>
    <t>Tretan Tani/Anam</t>
  </si>
  <si>
    <t>Usaha Tani/Maria (Rofiqi Asiana)</t>
  </si>
  <si>
    <t>Wijaya/Retty</t>
  </si>
  <si>
    <t>Rajawali/Arif</t>
  </si>
  <si>
    <t>Total Tagihan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</si>
  <si>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</si>
  <si>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</si>
  <si>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</si>
  <si>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</si>
  <si>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</si>
  <si>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</si>
  <si>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</si>
  <si>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</si>
  <si>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</si>
  <si>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Dodik/Asiana</t>
  </si>
  <si>
    <t>Bejo Langgeng, Toko</t>
  </si>
  <si>
    <t>Andri Pristianto</t>
  </si>
  <si>
    <t>Danu/Bayer</t>
  </si>
  <si>
    <t>Grand Total</t>
  </si>
  <si>
    <t>prediksi</t>
  </si>
  <si>
    <t>Simulasi penyelesaian OD &gt; 30</t>
  </si>
  <si>
    <t>akhir des</t>
  </si>
  <si>
    <t>OD30,60,90</t>
  </si>
  <si>
    <t>penyelesaian OD &gt; 30</t>
  </si>
  <si>
    <t>Simulasi OD 30+60</t>
  </si>
  <si>
    <t>Tot.piutang</t>
  </si>
  <si>
    <t>BULAN FEBRUARI 2026</t>
  </si>
  <si>
    <t xml:space="preserve">T </t>
  </si>
  <si>
    <t>Afan/JAI</t>
  </si>
  <si>
    <t>Cipta Tani/Mohammad Rohim</t>
  </si>
  <si>
    <t>Eka Jaya/Eko</t>
  </si>
  <si>
    <t>Fajar Tani/Fatma Jenggawah</t>
  </si>
  <si>
    <t>Indah Tani/Endah</t>
  </si>
  <si>
    <t>Maha Tani/Jasuli</t>
  </si>
  <si>
    <t>Mitra Indotani Abadi, PT</t>
  </si>
  <si>
    <t>Prima Agro Sejati, CV</t>
  </si>
  <si>
    <t>Rahma Tani, CV</t>
  </si>
  <si>
    <t>Sumber Tani/Farid</t>
  </si>
  <si>
    <t>Suwadi BCA</t>
  </si>
  <si>
    <t>Tani Hasil/Ajai</t>
  </si>
  <si>
    <t>Varia Agro Mandiri, CV</t>
  </si>
  <si>
    <t>Sularmanto MKD</t>
  </si>
  <si>
    <t>Sekar Tani/Matori</t>
  </si>
  <si>
    <t>Alam Makmur, UD</t>
  </si>
  <si>
    <t>Tani Makmur 2</t>
  </si>
  <si>
    <t>Joyo Tani/Wiwik</t>
  </si>
  <si>
    <t>Sadar Sari/Farid Firdaus</t>
  </si>
  <si>
    <t>Nugroho Susilo/MSI</t>
  </si>
  <si>
    <t>Sumber Eka Tani/Alief</t>
  </si>
  <si>
    <t>Restu Tani/Didik</t>
  </si>
  <si>
    <t>Wahana Pundikarsa Abadi, PT</t>
  </si>
  <si>
    <t>Sigit/Bayer</t>
  </si>
  <si>
    <t>Agung/Excel</t>
  </si>
  <si>
    <t>Rame Jaya/Cholisoh</t>
  </si>
  <si>
    <t>Sahabat Tani/Abdul Rohman</t>
  </si>
  <si>
    <t>Suka Maju/Sariatun</t>
  </si>
  <si>
    <t>Simpang Lima</t>
  </si>
  <si>
    <t>Benih Citra Asia, PT</t>
  </si>
  <si>
    <t>Setia Jaya/Khumaisiyah</t>
  </si>
  <si>
    <t>Sumberan Makmur</t>
  </si>
  <si>
    <t>Tot. piutang 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</si>
</sst>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  <numFmt numFmtId="166" formatCode="_-* #,##0.00_-;\-* #,##0.00_-;_-* &quot;-&quot;??_-;_-@_-"/>
    <numFmt numFmtId="167" formatCode="[$-409]d\-mmm\-yy;@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sz val="9"/>
      <color theme="0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sz val="8.5"/>
      <name val="Arial"/>
      <family val="2"/>
    </font>
    <font>
      <sz val="8"/>
      <color theme="1"/>
      <name val="Lao UI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color rgb="FFFF0000"/>
      <name val="Arial"/>
      <family val="2"/>
    </font>
    <font>
      <sz val="8.5"/>
      <color rgb="FFFF0000"/>
      <name val="Arial"/>
      <family val="2"/>
    </font>
    <font>
      <b/>
      <sz val="8.5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20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0" fontId="26" fillId="0" borderId="0">
      <alignment horizontal="left" vertical="top"/>
    </xf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34" fillId="0" borderId="0"/>
    <xf numFmtId="0" fontId="25" fillId="0" borderId="0"/>
    <xf numFmtId="0" fontId="1" fillId="0" borderId="0"/>
    <xf numFmtId="0" fontId="1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34" fillId="31" borderId="0"/>
    <xf numFmtId="0" fontId="34" fillId="31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0" fontId="38" fillId="31" borderId="0"/>
    <xf numFmtId="0" fontId="25" fillId="0" borderId="0"/>
    <xf numFmtId="167" fontId="1" fillId="0" borderId="0"/>
    <xf numFmtId="167" fontId="1" fillId="0" borderId="0"/>
    <xf numFmtId="167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39" fillId="0" borderId="0">
      <alignment horizontal="left" vertical="top"/>
    </xf>
    <xf numFmtId="0" fontId="40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2" fillId="0" borderId="0">
      <alignment horizontal="left" vertical="top"/>
    </xf>
    <xf numFmtId="0" fontId="26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4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43" fillId="0" borderId="0">
      <alignment horizontal="left" vertical="top"/>
    </xf>
    <xf numFmtId="0" fontId="47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right" vertical="center"/>
    </xf>
    <xf numFmtId="0" fontId="26" fillId="0" borderId="0">
      <alignment horizontal="righ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47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43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34" fillId="32" borderId="0">
      <alignment horizontal="left" vertical="top"/>
    </xf>
    <xf numFmtId="0" fontId="49" fillId="0" borderId="0">
      <alignment horizontal="left" vertical="top"/>
    </xf>
    <xf numFmtId="0" fontId="50" fillId="0" borderId="0">
      <alignment horizontal="left" vertical="top"/>
    </xf>
    <xf numFmtId="0" fontId="49" fillId="0" borderId="0">
      <alignment horizontal="right" vertical="top"/>
    </xf>
    <xf numFmtId="0" fontId="26" fillId="0" borderId="0">
      <alignment horizontal="left" vertical="top"/>
    </xf>
    <xf numFmtId="0" fontId="46" fillId="0" borderId="0">
      <alignment horizontal="lef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167" fontId="26" fillId="0" borderId="0">
      <alignment horizontal="righ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8" fillId="0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3" fillId="0" borderId="0">
      <alignment horizontal="right" vertical="top"/>
    </xf>
    <xf numFmtId="0" fontId="50" fillId="0" borderId="0">
      <alignment horizontal="right" vertical="top"/>
    </xf>
    <xf numFmtId="0" fontId="47" fillId="0" borderId="0">
      <alignment horizontal="left" vertical="top"/>
    </xf>
    <xf numFmtId="0" fontId="53" fillId="0" borderId="0">
      <alignment horizontal="right" vertical="top"/>
    </xf>
    <xf numFmtId="0" fontId="46" fillId="0" borderId="0">
      <alignment horizontal="right" vertical="top"/>
    </xf>
    <xf numFmtId="0" fontId="48" fillId="0" borderId="0">
      <alignment horizontal="left" vertical="top"/>
    </xf>
    <xf numFmtId="167" fontId="26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0" fillId="0" borderId="0">
      <alignment horizontal="left" vertical="top"/>
    </xf>
    <xf numFmtId="0" fontId="50" fillId="0" borderId="0">
      <alignment horizontal="right" vertical="top"/>
    </xf>
    <xf numFmtId="0" fontId="34" fillId="0" borderId="0">
      <alignment horizontal="right" vertical="top"/>
    </xf>
    <xf numFmtId="0" fontId="49" fillId="0" borderId="0">
      <alignment horizontal="right" vertical="top"/>
    </xf>
    <xf numFmtId="0" fontId="26" fillId="0" borderId="0">
      <alignment horizontal="right" vertical="top"/>
    </xf>
    <xf numFmtId="0" fontId="46" fillId="0" borderId="0">
      <alignment horizontal="right" vertical="top"/>
    </xf>
    <xf numFmtId="0" fontId="46" fillId="0" borderId="0">
      <alignment horizontal="left" vertical="top"/>
    </xf>
    <xf numFmtId="0" fontId="53" fillId="0" borderId="0">
      <alignment horizontal="right" vertical="top"/>
    </xf>
    <xf numFmtId="0" fontId="54" fillId="0" borderId="0">
      <alignment horizontal="left" vertical="center"/>
    </xf>
    <xf numFmtId="0" fontId="51" fillId="0" borderId="0">
      <alignment horizontal="left" vertical="center"/>
    </xf>
    <xf numFmtId="0" fontId="26" fillId="0" borderId="0">
      <alignment horizontal="left" vertical="top"/>
    </xf>
    <xf numFmtId="167" fontId="26" fillId="0" borderId="0">
      <alignment horizontal="left" vertical="top"/>
    </xf>
    <xf numFmtId="0" fontId="34" fillId="0" borderId="0">
      <alignment horizontal="left" vertical="top"/>
    </xf>
    <xf numFmtId="0" fontId="50" fillId="0" borderId="0">
      <alignment horizontal="left" vertical="top"/>
    </xf>
    <xf numFmtId="0" fontId="34" fillId="0" borderId="0">
      <alignment horizontal="left" vertical="top"/>
    </xf>
    <xf numFmtId="0" fontId="49" fillId="0" borderId="0">
      <alignment horizontal="right" vertical="top"/>
    </xf>
    <xf numFmtId="0" fontId="55" fillId="0" borderId="0">
      <alignment horizontal="left" vertical="top"/>
    </xf>
    <xf numFmtId="0" fontId="26" fillId="0" borderId="0">
      <alignment horizontal="right" vertical="top"/>
    </xf>
    <xf numFmtId="0" fontId="54" fillId="0" borderId="0">
      <alignment horizontal="left" vertical="center"/>
    </xf>
    <xf numFmtId="0" fontId="48" fillId="0" borderId="0">
      <alignment horizontal="left" vertical="top"/>
    </xf>
    <xf numFmtId="0" fontId="46" fillId="0" borderId="0">
      <alignment horizontal="right" vertical="top"/>
    </xf>
    <xf numFmtId="0" fontId="50" fillId="0" borderId="0">
      <alignment horizontal="right" vertical="top"/>
    </xf>
    <xf numFmtId="0" fontId="53" fillId="0" borderId="0">
      <alignment horizontal="left" vertical="top"/>
    </xf>
    <xf numFmtId="0" fontId="26" fillId="0" borderId="0">
      <alignment horizontal="left" vertical="top"/>
    </xf>
    <xf numFmtId="167" fontId="48" fillId="0" borderId="0">
      <alignment horizontal="left" vertical="top"/>
    </xf>
    <xf numFmtId="0" fontId="56" fillId="0" borderId="0">
      <alignment horizontal="left" vertical="top"/>
    </xf>
    <xf numFmtId="0" fontId="34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41" fillId="0" borderId="0">
      <alignment horizontal="left" vertical="top"/>
    </xf>
    <xf numFmtId="0" fontId="51" fillId="0" borderId="0">
      <alignment horizontal="center" vertical="center"/>
    </xf>
    <xf numFmtId="0" fontId="48" fillId="0" borderId="0">
      <alignment horizontal="left" vertical="top"/>
    </xf>
    <xf numFmtId="0" fontId="50" fillId="0" borderId="0">
      <alignment horizontal="right" vertical="top"/>
    </xf>
    <xf numFmtId="0" fontId="51" fillId="0" borderId="0">
      <alignment horizontal="left" vertical="center"/>
    </xf>
    <xf numFmtId="0" fontId="52" fillId="0" borderId="0">
      <alignment horizontal="left" vertical="top"/>
    </xf>
    <xf numFmtId="0" fontId="57" fillId="0" borderId="0">
      <alignment horizontal="right" vertical="top"/>
    </xf>
    <xf numFmtId="0" fontId="26" fillId="0" borderId="0">
      <alignment horizontal="righ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center" vertical="center"/>
    </xf>
    <xf numFmtId="167" fontId="26" fillId="0" borderId="0">
      <alignment horizontal="left" vertical="top"/>
    </xf>
    <xf numFmtId="0" fontId="53" fillId="0" borderId="0">
      <alignment horizontal="left" vertical="top"/>
    </xf>
    <xf numFmtId="0" fontId="57" fillId="0" borderId="0">
      <alignment horizontal="left" vertical="top"/>
    </xf>
    <xf numFmtId="0" fontId="26" fillId="0" borderId="0">
      <alignment horizontal="left" vertical="top"/>
    </xf>
    <xf numFmtId="0" fontId="57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left" vertical="top"/>
    </xf>
    <xf numFmtId="167" fontId="48" fillId="0" borderId="0">
      <alignment horizontal="left" vertical="top"/>
    </xf>
    <xf numFmtId="0" fontId="52" fillId="0" borderId="0">
      <alignment horizontal="left" vertical="top"/>
    </xf>
    <xf numFmtId="0" fontId="50" fillId="0" borderId="0">
      <alignment horizontal="left" vertical="top"/>
    </xf>
    <xf numFmtId="0" fontId="47" fillId="0" borderId="0">
      <alignment horizontal="left" vertical="top"/>
    </xf>
    <xf numFmtId="0" fontId="50" fillId="0" borderId="0">
      <alignment horizontal="right" vertical="top"/>
    </xf>
    <xf numFmtId="167" fontId="50" fillId="0" borderId="0">
      <alignment horizontal="right" vertical="top"/>
    </xf>
    <xf numFmtId="0" fontId="58" fillId="0" borderId="0">
      <alignment horizontal="right" vertical="top"/>
    </xf>
    <xf numFmtId="0" fontId="56" fillId="0" borderId="0">
      <alignment horizontal="left" vertical="top"/>
    </xf>
    <xf numFmtId="0" fontId="50" fillId="0" borderId="0">
      <alignment horizontal="left" vertical="top"/>
    </xf>
    <xf numFmtId="0" fontId="26" fillId="0" borderId="0">
      <alignment horizontal="left" vertical="top"/>
    </xf>
    <xf numFmtId="167" fontId="50" fillId="0" borderId="0">
      <alignment horizontal="left" vertical="top"/>
    </xf>
    <xf numFmtId="0" fontId="58" fillId="0" borderId="0">
      <alignment horizontal="left" vertical="top"/>
    </xf>
    <xf numFmtId="0" fontId="26" fillId="0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center" vertical="top"/>
    </xf>
    <xf numFmtId="0" fontId="34" fillId="0" borderId="0">
      <alignment horizontal="center" vertical="top"/>
    </xf>
    <xf numFmtId="0" fontId="34" fillId="0" borderId="0">
      <alignment horizontal="left" vertical="top"/>
    </xf>
    <xf numFmtId="0" fontId="59" fillId="0" borderId="0">
      <alignment horizontal="left" vertical="top"/>
    </xf>
    <xf numFmtId="0" fontId="60" fillId="0" borderId="0">
      <alignment horizontal="left" vertical="top"/>
    </xf>
    <xf numFmtId="0" fontId="34" fillId="32" borderId="0">
      <alignment horizontal="center" vertical="top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41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61" fillId="0" borderId="0">
      <alignment horizontal="left" vertical="top"/>
    </xf>
    <xf numFmtId="0" fontId="62" fillId="0" borderId="0">
      <alignment horizontal="center" vertical="top"/>
    </xf>
    <xf numFmtId="0" fontId="63" fillId="0" borderId="0">
      <alignment horizontal="left" vertical="top"/>
    </xf>
    <xf numFmtId="167" fontId="64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64" fillId="0" borderId="0">
      <alignment horizontal="left" vertical="top"/>
    </xf>
    <xf numFmtId="0" fontId="34" fillId="32" borderId="0">
      <alignment horizontal="left" vertical="top"/>
    </xf>
    <xf numFmtId="0" fontId="63" fillId="0" borderId="0">
      <alignment horizontal="center" vertical="top"/>
    </xf>
    <xf numFmtId="0" fontId="65" fillId="0" borderId="0">
      <alignment horizontal="left" vertical="top"/>
    </xf>
    <xf numFmtId="0" fontId="66" fillId="0" borderId="0">
      <alignment horizontal="center" vertical="top"/>
    </xf>
    <xf numFmtId="0" fontId="34" fillId="32" borderId="0">
      <alignment horizontal="left" vertical="top"/>
    </xf>
    <xf numFmtId="0" fontId="56" fillId="0" borderId="0">
      <alignment horizontal="left" vertical="top"/>
    </xf>
    <xf numFmtId="0" fontId="34" fillId="32" borderId="0">
      <alignment horizontal="left" vertical="top"/>
    </xf>
    <xf numFmtId="0" fontId="44" fillId="0" borderId="0">
      <alignment horizontal="center" vertical="top"/>
    </xf>
    <xf numFmtId="0" fontId="66" fillId="0" borderId="0">
      <alignment horizontal="center" vertical="top"/>
    </xf>
    <xf numFmtId="0" fontId="48" fillId="0" borderId="0">
      <alignment horizontal="right" vertical="top"/>
    </xf>
    <xf numFmtId="0" fontId="34" fillId="32" borderId="0">
      <alignment horizontal="left" vertical="top"/>
    </xf>
    <xf numFmtId="0" fontId="44" fillId="0" borderId="0">
      <alignment horizontal="left" vertical="top"/>
    </xf>
    <xf numFmtId="167" fontId="48" fillId="0" borderId="0">
      <alignment horizontal="righ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right" vertical="top"/>
    </xf>
    <xf numFmtId="0" fontId="48" fillId="32" borderId="0">
      <alignment horizontal="left" vertical="top"/>
    </xf>
    <xf numFmtId="0" fontId="34" fillId="32" borderId="0">
      <alignment horizontal="left" vertical="top"/>
    </xf>
    <xf numFmtId="0" fontId="60" fillId="0" borderId="0">
      <alignment horizontal="center" vertical="top"/>
    </xf>
    <xf numFmtId="0" fontId="48" fillId="32" borderId="0">
      <alignment horizontal="left" vertical="top"/>
    </xf>
    <xf numFmtId="0" fontId="26" fillId="0" borderId="0">
      <alignment horizontal="right" vertical="top"/>
    </xf>
    <xf numFmtId="167" fontId="48" fillId="0" borderId="0">
      <alignment horizontal="left" vertical="top"/>
    </xf>
    <xf numFmtId="0" fontId="48" fillId="0" borderId="0">
      <alignment horizontal="left" vertical="top"/>
    </xf>
    <xf numFmtId="0" fontId="67" fillId="0" borderId="0">
      <alignment horizontal="center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1" fillId="0" borderId="0">
      <alignment horizontal="left" vertical="top"/>
    </xf>
    <xf numFmtId="0" fontId="48" fillId="0" borderId="0">
      <alignment horizontal="lef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3" fillId="0" borderId="0">
      <alignment horizontal="right" vertical="top"/>
    </xf>
    <xf numFmtId="0" fontId="1" fillId="0" borderId="0">
      <alignment horizontal="right" vertical="top"/>
    </xf>
    <xf numFmtId="0" fontId="48" fillId="0" borderId="0">
      <alignment horizontal="right" vertical="top"/>
    </xf>
    <xf numFmtId="0" fontId="48" fillId="0" borderId="0">
      <alignment horizontal="left" vertical="top"/>
    </xf>
    <xf numFmtId="0" fontId="34" fillId="32" borderId="0">
      <alignment horizontal="right" vertical="top"/>
    </xf>
    <xf numFmtId="0" fontId="50" fillId="0" borderId="0">
      <alignment horizontal="left" vertical="top"/>
    </xf>
    <xf numFmtId="0" fontId="50" fillId="0" borderId="0">
      <alignment horizontal="center" vertical="center"/>
    </xf>
    <xf numFmtId="0" fontId="57" fillId="0" borderId="0">
      <alignment horizontal="left" vertical="center"/>
    </xf>
    <xf numFmtId="0" fontId="68" fillId="0" borderId="0">
      <alignment horizontal="center" vertical="top"/>
    </xf>
    <xf numFmtId="167" fontId="48" fillId="0" borderId="0">
      <alignment horizontal="left" vertical="top"/>
    </xf>
    <xf numFmtId="0" fontId="48" fillId="0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52" fillId="0" borderId="0">
      <alignment horizontal="left" vertical="top"/>
    </xf>
    <xf numFmtId="0" fontId="57" fillId="0" borderId="0">
      <alignment horizontal="left" vertical="center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right" vertical="top"/>
    </xf>
    <xf numFmtId="0" fontId="34" fillId="32" borderId="0">
      <alignment horizontal="left" vertical="top"/>
    </xf>
    <xf numFmtId="0" fontId="50" fillId="0" borderId="0">
      <alignment horizontal="left" vertical="top"/>
    </xf>
    <xf numFmtId="0" fontId="51" fillId="0" borderId="0">
      <alignment horizontal="left" vertical="center"/>
    </xf>
    <xf numFmtId="0" fontId="57" fillId="0" borderId="0">
      <alignment horizontal="left" vertical="center"/>
    </xf>
    <xf numFmtId="0" fontId="69" fillId="0" borderId="0">
      <alignment horizontal="left" vertical="top"/>
    </xf>
    <xf numFmtId="167" fontId="48" fillId="0" borderId="0">
      <alignment horizontal="right" vertical="top"/>
    </xf>
    <xf numFmtId="0" fontId="70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2" fillId="0" borderId="0">
      <alignment horizontal="right" vertical="top"/>
    </xf>
    <xf numFmtId="0" fontId="57" fillId="0" borderId="0">
      <alignment horizontal="right" vertical="center"/>
    </xf>
    <xf numFmtId="0" fontId="51" fillId="0" borderId="0">
      <alignment horizontal="left" vertical="center"/>
    </xf>
    <xf numFmtId="0" fontId="57" fillId="0" borderId="0">
      <alignment horizontal="right" vertical="center"/>
    </xf>
    <xf numFmtId="0" fontId="57" fillId="0" borderId="0">
      <alignment horizontal="left" vertical="top"/>
    </xf>
    <xf numFmtId="0" fontId="51" fillId="0" borderId="0">
      <alignment horizontal="right" vertical="center"/>
    </xf>
    <xf numFmtId="167" fontId="48" fillId="0" borderId="0">
      <alignment horizontal="left" vertical="top"/>
    </xf>
    <xf numFmtId="0" fontId="57" fillId="0" borderId="0">
      <alignment horizontal="right" vertical="center"/>
    </xf>
    <xf numFmtId="0" fontId="46" fillId="0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34" fillId="32" borderId="0">
      <alignment horizontal="left" vertical="top"/>
    </xf>
    <xf numFmtId="0" fontId="48" fillId="0" borderId="0">
      <alignment horizontal="righ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48" fillId="0" borderId="0">
      <alignment horizontal="left" vertical="top"/>
    </xf>
    <xf numFmtId="0" fontId="48" fillId="0" borderId="0">
      <alignment horizontal="left" vertical="top"/>
    </xf>
    <xf numFmtId="0" fontId="64" fillId="0" borderId="0">
      <alignment horizontal="left" vertical="top"/>
    </xf>
    <xf numFmtId="0" fontId="34" fillId="32" borderId="0">
      <alignment horizontal="left" vertical="top"/>
    </xf>
    <xf numFmtId="0" fontId="50" fillId="0" borderId="0">
      <alignment horizontal="right" vertical="top"/>
    </xf>
    <xf numFmtId="0" fontId="52" fillId="0" borderId="0">
      <alignment horizontal="left" vertical="top"/>
    </xf>
    <xf numFmtId="0" fontId="46" fillId="0" borderId="0">
      <alignment horizontal="left" vertical="top"/>
    </xf>
    <xf numFmtId="0" fontId="48" fillId="0" borderId="0">
      <alignment horizontal="left" vertical="top"/>
    </xf>
    <xf numFmtId="0" fontId="34" fillId="32" borderId="0">
      <alignment horizontal="right" vertical="top"/>
    </xf>
    <xf numFmtId="0" fontId="49" fillId="0" borderId="0">
      <alignment horizontal="left" vertical="top"/>
    </xf>
    <xf numFmtId="0" fontId="26" fillId="0" borderId="0">
      <alignment horizontal="left" vertical="top"/>
    </xf>
    <xf numFmtId="0" fontId="51" fillId="0" borderId="0">
      <alignment horizontal="center" vertical="center"/>
    </xf>
    <xf numFmtId="0" fontId="46" fillId="0" borderId="0">
      <alignment horizontal="left" vertical="top"/>
    </xf>
    <xf numFmtId="0" fontId="57" fillId="0" borderId="0">
      <alignment horizontal="right" vertical="top"/>
    </xf>
    <xf numFmtId="0" fontId="48" fillId="0" borderId="0">
      <alignment horizontal="right" vertical="top"/>
    </xf>
    <xf numFmtId="167" fontId="26" fillId="0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right" vertical="top"/>
    </xf>
    <xf numFmtId="0" fontId="34" fillId="32" borderId="0">
      <alignment horizontal="left" vertical="top"/>
    </xf>
    <xf numFmtId="0" fontId="34" fillId="0" borderId="0">
      <alignment horizontal="left" vertical="top"/>
    </xf>
    <xf numFmtId="0" fontId="43" fillId="0" borderId="0">
      <alignment horizontal="left" vertical="top"/>
    </xf>
    <xf numFmtId="0" fontId="53" fillId="0" borderId="0">
      <alignment horizontal="left" vertical="top"/>
    </xf>
  </cellStyleXfs>
  <cellXfs count="135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6" fillId="16" borderId="1" xfId="0" applyNumberFormat="1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indent="1"/>
    </xf>
    <xf numFmtId="43" fontId="11" fillId="0" borderId="1" xfId="3" applyFont="1" applyFill="1" applyBorder="1" applyAlignment="1">
      <alignment vertical="center"/>
    </xf>
    <xf numFmtId="10" fontId="11" fillId="0" borderId="1" xfId="3" applyNumberFormat="1" applyFont="1" applyFill="1" applyBorder="1" applyAlignment="1">
      <alignment horizontal="center" vertical="center"/>
    </xf>
    <xf numFmtId="10" fontId="12" fillId="18" borderId="1" xfId="3" applyNumberFormat="1" applyFont="1" applyFill="1" applyBorder="1" applyAlignment="1">
      <alignment horizontal="center" vertical="center"/>
    </xf>
    <xf numFmtId="10" fontId="11" fillId="0" borderId="1" xfId="2" applyNumberFormat="1" applyFont="1" applyFill="1" applyBorder="1" applyAlignment="1">
      <alignment horizontal="center" vertical="center"/>
    </xf>
    <xf numFmtId="0" fontId="11" fillId="19" borderId="1" xfId="2" applyNumberFormat="1" applyFont="1" applyFill="1" applyBorder="1" applyAlignment="1">
      <alignment horizontal="center" vertical="center"/>
    </xf>
    <xf numFmtId="10" fontId="12" fillId="18" borderId="1" xfId="2" applyNumberFormat="1" applyFont="1" applyFill="1" applyBorder="1" applyAlignment="1">
      <alignment horizontal="center" vertical="center"/>
    </xf>
    <xf numFmtId="0" fontId="11" fillId="12" borderId="1" xfId="2" applyNumberFormat="1" applyFont="1" applyFill="1" applyBorder="1" applyAlignment="1">
      <alignment horizontal="center" vertical="center"/>
    </xf>
    <xf numFmtId="43" fontId="11" fillId="0" borderId="1" xfId="1" applyFont="1" applyFill="1" applyBorder="1" applyAlignment="1">
      <alignment vertical="center"/>
    </xf>
    <xf numFmtId="0" fontId="11" fillId="0" borderId="1" xfId="2" applyNumberFormat="1" applyFont="1" applyFill="1" applyBorder="1" applyAlignment="1">
      <alignment horizontal="center" vertical="center"/>
    </xf>
    <xf numFmtId="41" fontId="15" fillId="19" borderId="1" xfId="0" applyNumberFormat="1" applyFont="1" applyFill="1" applyBorder="1" applyAlignment="1">
      <alignment horizontal="center" vertical="center"/>
    </xf>
    <xf numFmtId="41" fontId="14" fillId="23" borderId="1" xfId="0" applyNumberFormat="1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41" fontId="14" fillId="11" borderId="1" xfId="0" applyNumberFormat="1" applyFont="1" applyFill="1" applyBorder="1" applyAlignment="1">
      <alignment horizontal="center" vertical="center"/>
    </xf>
    <xf numFmtId="41" fontId="14" fillId="10" borderId="1" xfId="0" applyNumberFormat="1" applyFont="1" applyFill="1" applyBorder="1" applyAlignment="1">
      <alignment horizontal="center" vertical="center"/>
    </xf>
    <xf numFmtId="41" fontId="14" fillId="25" borderId="1" xfId="0" applyNumberFormat="1" applyFont="1" applyFill="1" applyBorder="1" applyAlignment="1">
      <alignment horizontal="center" vertical="center" wrapText="1"/>
    </xf>
    <xf numFmtId="41" fontId="14" fillId="25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indent="1"/>
    </xf>
    <xf numFmtId="10" fontId="14" fillId="0" borderId="1" xfId="2" applyNumberFormat="1" applyFont="1" applyFill="1" applyBorder="1" applyAlignment="1">
      <alignment horizontal="center" vertical="center"/>
    </xf>
    <xf numFmtId="43" fontId="14" fillId="0" borderId="1" xfId="3" applyFont="1" applyFill="1" applyBorder="1" applyAlignment="1">
      <alignment vertical="center"/>
    </xf>
    <xf numFmtId="10" fontId="14" fillId="0" borderId="7" xfId="4" applyNumberFormat="1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horizontal="center" vertical="center"/>
    </xf>
    <xf numFmtId="43" fontId="14" fillId="0" borderId="7" xfId="3" applyFont="1" applyFill="1" applyBorder="1" applyAlignment="1">
      <alignment vertical="center"/>
    </xf>
    <xf numFmtId="0" fontId="14" fillId="0" borderId="7" xfId="3" applyNumberFormat="1" applyFont="1" applyFill="1" applyBorder="1" applyAlignment="1">
      <alignment horizontal="center" vertical="center"/>
    </xf>
    <xf numFmtId="9" fontId="14" fillId="0" borderId="7" xfId="2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0" borderId="8" xfId="0" applyFont="1" applyBorder="1" applyAlignment="1">
      <alignment horizontal="center"/>
    </xf>
    <xf numFmtId="10" fontId="3" fillId="0" borderId="8" xfId="4" applyNumberFormat="1" applyFont="1" applyBorder="1" applyAlignment="1">
      <alignment horizontal="center"/>
    </xf>
    <xf numFmtId="0" fontId="0" fillId="27" borderId="0" xfId="0" applyFill="1"/>
    <xf numFmtId="0" fontId="18" fillId="27" borderId="0" xfId="0" applyFont="1" applyFill="1"/>
    <xf numFmtId="0" fontId="19" fillId="27" borderId="0" xfId="0" applyFont="1" applyFill="1" applyAlignment="1">
      <alignment vertical="center"/>
    </xf>
    <xf numFmtId="0" fontId="19" fillId="27" borderId="0" xfId="0" applyFont="1" applyFill="1"/>
    <xf numFmtId="0" fontId="18" fillId="0" borderId="0" xfId="0" applyFont="1"/>
    <xf numFmtId="0" fontId="20" fillId="0" borderId="8" xfId="0" applyFont="1" applyFill="1" applyBorder="1" applyAlignment="1">
      <alignment horizontal="center" vertical="center" wrapText="1"/>
    </xf>
    <xf numFmtId="0" fontId="20" fillId="18" borderId="8" xfId="0" applyFont="1" applyFill="1" applyBorder="1" applyAlignment="1">
      <alignment horizontal="center" vertical="center" wrapText="1"/>
    </xf>
    <xf numFmtId="0" fontId="20" fillId="27" borderId="8" xfId="0" applyFont="1" applyFill="1" applyBorder="1" applyAlignment="1">
      <alignment horizontal="center" vertical="center" wrapText="1"/>
    </xf>
    <xf numFmtId="0" fontId="21" fillId="0" borderId="8" xfId="0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8" fillId="22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9" fontId="18" fillId="27" borderId="0" xfId="2" applyFont="1" applyFill="1" applyAlignment="1">
      <alignment horizontal="center" vertical="center"/>
    </xf>
    <xf numFmtId="0" fontId="22" fillId="27" borderId="8" xfId="0" applyFont="1" applyFill="1" applyBorder="1" applyAlignment="1">
      <alignment vertical="center"/>
    </xf>
    <xf numFmtId="0" fontId="21" fillId="0" borderId="8" xfId="0" applyFont="1" applyFill="1" applyBorder="1" applyAlignment="1">
      <alignment vertical="center"/>
    </xf>
    <xf numFmtId="0" fontId="20" fillId="28" borderId="8" xfId="0" applyFont="1" applyFill="1" applyBorder="1" applyAlignment="1">
      <alignment horizontal="center" vertical="center"/>
    </xf>
    <xf numFmtId="0" fontId="20" fillId="28" borderId="8" xfId="0" applyFont="1" applyFill="1" applyBorder="1" applyAlignment="1">
      <alignment vertical="center"/>
    </xf>
    <xf numFmtId="0" fontId="18" fillId="27" borderId="8" xfId="0" applyFont="1" applyFill="1" applyBorder="1" applyAlignment="1">
      <alignment horizontal="center" vertical="center"/>
    </xf>
    <xf numFmtId="0" fontId="21" fillId="27" borderId="0" xfId="0" applyFont="1" applyFill="1" applyBorder="1" applyAlignment="1">
      <alignment vertical="center"/>
    </xf>
    <xf numFmtId="0" fontId="20" fillId="0" borderId="8" xfId="0" applyFont="1" applyFill="1" applyBorder="1" applyAlignment="1">
      <alignment vertical="center"/>
    </xf>
    <xf numFmtId="0" fontId="0" fillId="29" borderId="0" xfId="0" applyFill="1"/>
    <xf numFmtId="0" fontId="28" fillId="30" borderId="9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22" fillId="27" borderId="8" xfId="1" applyNumberFormat="1" applyFont="1" applyFill="1" applyBorder="1" applyAlignment="1">
      <alignment horizontal="center" vertical="center"/>
    </xf>
    <xf numFmtId="164" fontId="29" fillId="0" borderId="10" xfId="1" applyNumberFormat="1" applyFont="1" applyFill="1" applyBorder="1" applyAlignment="1">
      <alignment horizontal="center" vertical="center"/>
    </xf>
    <xf numFmtId="164" fontId="30" fillId="0" borderId="10" xfId="1" applyNumberFormat="1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164" fontId="29" fillId="0" borderId="8" xfId="1" applyNumberFormat="1" applyFont="1" applyFill="1" applyBorder="1" applyAlignment="1">
      <alignment horizontal="center" vertical="center"/>
    </xf>
    <xf numFmtId="0" fontId="31" fillId="0" borderId="8" xfId="0" applyFont="1" applyFill="1" applyBorder="1" applyAlignment="1">
      <alignment horizontal="center" vertical="center"/>
    </xf>
    <xf numFmtId="164" fontId="31" fillId="0" borderId="8" xfId="1" applyNumberFormat="1" applyFont="1" applyFill="1" applyBorder="1" applyAlignment="1">
      <alignment horizontal="center" vertical="center"/>
    </xf>
    <xf numFmtId="164" fontId="22" fillId="0" borderId="10" xfId="1" applyNumberFormat="1" applyFont="1" applyFill="1" applyBorder="1" applyAlignment="1">
      <alignment horizontal="center" vertical="center"/>
    </xf>
    <xf numFmtId="164" fontId="22" fillId="27" borderId="10" xfId="1" applyNumberFormat="1" applyFont="1" applyFill="1" applyBorder="1" applyAlignment="1">
      <alignment horizontal="center" vertical="center"/>
    </xf>
    <xf numFmtId="164" fontId="22" fillId="0" borderId="8" xfId="1" applyNumberFormat="1" applyFont="1" applyFill="1" applyBorder="1" applyAlignment="1">
      <alignment horizontal="center" vertical="center"/>
    </xf>
    <xf numFmtId="0" fontId="4" fillId="29" borderId="8" xfId="0" applyFont="1" applyFill="1" applyBorder="1"/>
    <xf numFmtId="0" fontId="32" fillId="29" borderId="8" xfId="0" applyFont="1" applyFill="1" applyBorder="1" applyAlignment="1">
      <alignment vertical="center"/>
    </xf>
    <xf numFmtId="164" fontId="32" fillId="29" borderId="8" xfId="1" applyNumberFormat="1" applyFont="1" applyFill="1" applyBorder="1" applyAlignment="1">
      <alignment horizontal="center" vertical="center"/>
    </xf>
    <xf numFmtId="0" fontId="13" fillId="29" borderId="8" xfId="0" applyFont="1" applyFill="1" applyBorder="1"/>
    <xf numFmtId="164" fontId="32" fillId="29" borderId="10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33" fillId="0" borderId="11" xfId="1" applyNumberFormat="1" applyFont="1" applyFill="1" applyBorder="1" applyAlignment="1">
      <alignment horizontal="center" vertical="center"/>
    </xf>
    <xf numFmtId="164" fontId="33" fillId="0" borderId="12" xfId="1" applyNumberFormat="1" applyFont="1" applyFill="1" applyBorder="1" applyAlignment="1">
      <alignment horizontal="center" vertical="center"/>
    </xf>
    <xf numFmtId="0" fontId="3" fillId="11" borderId="13" xfId="0" applyFont="1" applyFill="1" applyBorder="1"/>
    <xf numFmtId="9" fontId="0" fillId="0" borderId="0" xfId="2" applyFont="1"/>
    <xf numFmtId="0" fontId="15" fillId="0" borderId="14" xfId="0" applyFont="1" applyBorder="1"/>
    <xf numFmtId="0" fontId="15" fillId="0" borderId="15" xfId="0" applyFont="1" applyBorder="1"/>
    <xf numFmtId="10" fontId="3" fillId="9" borderId="15" xfId="2" applyNumberFormat="1" applyFont="1" applyFill="1" applyBorder="1"/>
    <xf numFmtId="0" fontId="0" fillId="0" borderId="16" xfId="0" applyBorder="1"/>
    <xf numFmtId="0" fontId="15" fillId="0" borderId="0" xfId="0" applyFont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1" borderId="0" xfId="0" applyFill="1"/>
    <xf numFmtId="164" fontId="0" fillId="0" borderId="0" xfId="0" applyNumberFormat="1"/>
    <xf numFmtId="164" fontId="0" fillId="0" borderId="8" xfId="1" applyNumberFormat="1" applyFont="1" applyBorder="1"/>
    <xf numFmtId="164" fontId="0" fillId="0" borderId="8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0" fontId="0" fillId="11" borderId="0" xfId="0" applyFill="1" applyAlignment="1">
      <alignment horizontal="center"/>
    </xf>
    <xf numFmtId="0" fontId="28" fillId="33" borderId="8" xfId="0" applyFont="1" applyFill="1" applyBorder="1" applyAlignment="1">
      <alignment horizontal="center"/>
    </xf>
    <xf numFmtId="10" fontId="28" fillId="9" borderId="8" xfId="4" applyNumberFormat="1" applyFont="1" applyFill="1" applyBorder="1" applyAlignment="1">
      <alignment horizontal="center"/>
    </xf>
    <xf numFmtId="10" fontId="71" fillId="33" borderId="8" xfId="4" applyNumberFormat="1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41" fontId="14" fillId="22" borderId="4" xfId="0" applyNumberFormat="1" applyFont="1" applyFill="1" applyBorder="1" applyAlignment="1">
      <alignment horizontal="center" vertical="center"/>
    </xf>
    <xf numFmtId="41" fontId="14" fillId="22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41" fontId="14" fillId="19" borderId="4" xfId="0" applyNumberFormat="1" applyFont="1" applyFill="1" applyBorder="1" applyAlignment="1">
      <alignment horizontal="center" vertical="center"/>
    </xf>
    <xf numFmtId="41" fontId="14" fillId="19" borderId="5" xfId="0" applyNumberFormat="1" applyFont="1" applyFill="1" applyBorder="1" applyAlignment="1">
      <alignment horizontal="center" vertical="center"/>
    </xf>
    <xf numFmtId="41" fontId="14" fillId="19" borderId="6" xfId="0" applyNumberFormat="1" applyFont="1" applyFill="1" applyBorder="1" applyAlignment="1">
      <alignment horizontal="center" vertical="center"/>
    </xf>
    <xf numFmtId="0" fontId="15" fillId="19" borderId="4" xfId="0" applyFont="1" applyFill="1" applyBorder="1" applyAlignment="1">
      <alignment horizontal="center" vertical="center"/>
    </xf>
    <xf numFmtId="0" fontId="15" fillId="19" borderId="6" xfId="0" applyFont="1" applyFill="1" applyBorder="1" applyAlignment="1">
      <alignment horizontal="center" vertical="center"/>
    </xf>
    <xf numFmtId="41" fontId="14" fillId="21" borderId="4" xfId="0" applyNumberFormat="1" applyFont="1" applyFill="1" applyBorder="1" applyAlignment="1">
      <alignment horizontal="center" vertical="center"/>
    </xf>
    <xf numFmtId="41" fontId="14" fillId="21" borderId="5" xfId="0" applyNumberFormat="1" applyFont="1" applyFill="1" applyBorder="1" applyAlignment="1">
      <alignment horizontal="center" vertical="center"/>
    </xf>
    <xf numFmtId="41" fontId="14" fillId="21" borderId="6" xfId="0" applyNumberFormat="1" applyFont="1" applyFill="1" applyBorder="1" applyAlignment="1">
      <alignment horizontal="center" vertical="center"/>
    </xf>
    <xf numFmtId="41" fontId="14" fillId="4" borderId="4" xfId="0" applyNumberFormat="1" applyFont="1" applyFill="1" applyBorder="1" applyAlignment="1">
      <alignment horizontal="center" vertical="center"/>
    </xf>
    <xf numFmtId="41" fontId="14" fillId="4" borderId="5" xfId="0" applyNumberFormat="1" applyFont="1" applyFill="1" applyBorder="1" applyAlignment="1">
      <alignment horizontal="center" vertical="center"/>
    </xf>
    <xf numFmtId="41" fontId="14" fillId="4" borderId="6" xfId="0" applyNumberFormat="1" applyFont="1" applyFill="1" applyBorder="1" applyAlignment="1">
      <alignment horizontal="center" vertical="center"/>
    </xf>
    <xf numFmtId="0" fontId="16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horizontal="center" vertical="center"/>
    </xf>
    <xf numFmtId="0" fontId="27" fillId="29" borderId="9" xfId="0" applyFont="1" applyFill="1" applyBorder="1" applyAlignment="1">
      <alignment horizontal="center"/>
    </xf>
    <xf numFmtId="10" fontId="0" fillId="11" borderId="0" xfId="2" applyNumberFormat="1" applyFont="1" applyFill="1" applyAlignment="1">
      <alignment horizontal="center"/>
    </xf>
  </cellXfs>
  <cellStyles count="1204">
    <cellStyle name="Comma" xfId="1" builtinId="3"/>
    <cellStyle name="Comma [0] 2" xfId="9"/>
    <cellStyle name="Comma [0] 2 2" xfId="10"/>
    <cellStyle name="Comma [0] 2 2 2" xfId="11"/>
    <cellStyle name="Comma [0] 2 3" xfId="12"/>
    <cellStyle name="Comma [0] 2 4" xfId="13"/>
    <cellStyle name="Comma [0] 3" xfId="14"/>
    <cellStyle name="Comma [0] 3 2" xfId="15"/>
    <cellStyle name="Comma [0] 3 3" xfId="16"/>
    <cellStyle name="Comma [0] 3 4" xfId="17"/>
    <cellStyle name="Comma [0] 4" xfId="18"/>
    <cellStyle name="Comma [0] 4 2" xfId="19"/>
    <cellStyle name="Comma [0] 5" xfId="20"/>
    <cellStyle name="Comma [0] 5 2" xfId="21"/>
    <cellStyle name="Comma [0] 6" xfId="22"/>
    <cellStyle name="Comma [0] 7" xfId="23"/>
    <cellStyle name="Comma [0] 8" xfId="24"/>
    <cellStyle name="Comma [0] 9" xfId="25"/>
    <cellStyle name="Comma 10" xfId="26"/>
    <cellStyle name="Comma 10 2" xfId="3"/>
    <cellStyle name="Comma 10 3" xfId="27"/>
    <cellStyle name="Comma 104" xfId="5"/>
    <cellStyle name="Comma 11" xfId="28"/>
    <cellStyle name="Comma 11 2" xfId="29"/>
    <cellStyle name="Comma 11 3" xfId="30"/>
    <cellStyle name="Comma 11 4" xfId="31"/>
    <cellStyle name="Comma 12" xfId="32"/>
    <cellStyle name="Comma 12 2" xfId="33"/>
    <cellStyle name="Comma 12 3" xfId="34"/>
    <cellStyle name="Comma 13" xfId="35"/>
    <cellStyle name="Comma 13 2" xfId="36"/>
    <cellStyle name="Comma 13 3" xfId="37"/>
    <cellStyle name="Comma 14" xfId="38"/>
    <cellStyle name="Comma 14 2" xfId="39"/>
    <cellStyle name="Comma 14 3" xfId="40"/>
    <cellStyle name="Comma 15" xfId="41"/>
    <cellStyle name="Comma 16" xfId="42"/>
    <cellStyle name="Comma 17" xfId="43"/>
    <cellStyle name="Comma 18" xfId="44"/>
    <cellStyle name="Comma 19" xfId="45"/>
    <cellStyle name="Comma 2" xfId="46"/>
    <cellStyle name="Comma 2 10" xfId="47"/>
    <cellStyle name="Comma 2 2" xfId="48"/>
    <cellStyle name="Comma 2 3" xfId="49"/>
    <cellStyle name="Comma 2 4" xfId="50"/>
    <cellStyle name="Comma 20" xfId="51"/>
    <cellStyle name="Comma 20 2" xfId="52"/>
    <cellStyle name="Comma 21" xfId="53"/>
    <cellStyle name="Comma 21 2" xfId="54"/>
    <cellStyle name="Comma 22" xfId="55"/>
    <cellStyle name="Comma 23" xfId="56"/>
    <cellStyle name="Comma 24" xfId="57"/>
    <cellStyle name="Comma 24 2" xfId="6"/>
    <cellStyle name="Comma 24 2 2" xfId="58"/>
    <cellStyle name="Comma 24 2 3" xfId="59"/>
    <cellStyle name="Comma 24 4" xfId="60"/>
    <cellStyle name="Comma 24 6" xfId="61"/>
    <cellStyle name="Comma 25" xfId="62"/>
    <cellStyle name="Comma 26" xfId="63"/>
    <cellStyle name="Comma 27" xfId="64"/>
    <cellStyle name="Comma 27 2" xfId="65"/>
    <cellStyle name="Comma 28" xfId="66"/>
    <cellStyle name="Comma 29" xfId="67"/>
    <cellStyle name="Comma 294" xfId="68"/>
    <cellStyle name="Comma 3" xfId="69"/>
    <cellStyle name="Comma 3 2" xfId="70"/>
    <cellStyle name="Comma 3 2 2" xfId="71"/>
    <cellStyle name="Comma 3 2 3" xfId="72"/>
    <cellStyle name="Comma 3 3" xfId="73"/>
    <cellStyle name="Comma 3 4" xfId="74"/>
    <cellStyle name="Comma 30" xfId="75"/>
    <cellStyle name="Comma 30 2" xfId="76"/>
    <cellStyle name="Comma 31" xfId="77"/>
    <cellStyle name="Comma 32" xfId="78"/>
    <cellStyle name="Comma 33" xfId="79"/>
    <cellStyle name="Comma 34" xfId="80"/>
    <cellStyle name="Comma 34 2" xfId="81"/>
    <cellStyle name="Comma 35" xfId="82"/>
    <cellStyle name="Comma 36" xfId="83"/>
    <cellStyle name="Comma 37" xfId="84"/>
    <cellStyle name="Comma 38" xfId="85"/>
    <cellStyle name="Comma 39" xfId="86"/>
    <cellStyle name="Comma 4" xfId="87"/>
    <cellStyle name="Comma 4 2" xfId="88"/>
    <cellStyle name="Comma 4 3" xfId="89"/>
    <cellStyle name="Comma 4 4" xfId="90"/>
    <cellStyle name="Comma 40" xfId="91"/>
    <cellStyle name="Comma 41" xfId="92"/>
    <cellStyle name="Comma 42" xfId="93"/>
    <cellStyle name="Comma 43" xfId="94"/>
    <cellStyle name="Comma 44" xfId="95"/>
    <cellStyle name="Comma 45" xfId="96"/>
    <cellStyle name="Comma 46" xfId="97"/>
    <cellStyle name="Comma 47" xfId="98"/>
    <cellStyle name="Comma 5" xfId="99"/>
    <cellStyle name="Comma 5 2" xfId="100"/>
    <cellStyle name="Comma 5 3" xfId="101"/>
    <cellStyle name="Comma 5 4" xfId="102"/>
    <cellStyle name="Comma 6" xfId="103"/>
    <cellStyle name="Comma 6 2" xfId="104"/>
    <cellStyle name="Comma 6 3" xfId="105"/>
    <cellStyle name="Comma 7" xfId="106"/>
    <cellStyle name="Comma 7 2" xfId="107"/>
    <cellStyle name="Comma 7 3" xfId="108"/>
    <cellStyle name="Comma 78 6" xfId="109"/>
    <cellStyle name="Comma 8" xfId="110"/>
    <cellStyle name="Comma 8 2" xfId="111"/>
    <cellStyle name="Comma 8 3" xfId="112"/>
    <cellStyle name="Comma 9" xfId="113"/>
    <cellStyle name="Comma 9 2" xfId="114"/>
    <cellStyle name="Comma 9 3" xfId="115"/>
    <cellStyle name="Hyperlink 2" xfId="116"/>
    <cellStyle name="Hyperlink 3" xfId="117"/>
    <cellStyle name="Hyperlink 4" xfId="118"/>
    <cellStyle name="Normal" xfId="0" builtinId="0"/>
    <cellStyle name="Normal 10" xfId="119"/>
    <cellStyle name="Normal 11" xfId="120"/>
    <cellStyle name="Normal 12" xfId="121"/>
    <cellStyle name="Normal 13" xfId="122"/>
    <cellStyle name="Normal 14" xfId="123"/>
    <cellStyle name="Normal 15" xfId="124"/>
    <cellStyle name="Normal 16" xfId="125"/>
    <cellStyle name="Normal 17" xfId="126"/>
    <cellStyle name="Normal 18" xfId="127"/>
    <cellStyle name="Normal 19" xfId="128"/>
    <cellStyle name="Normal 2" xfId="129"/>
    <cellStyle name="Normal 2 2" xfId="130"/>
    <cellStyle name="Normal 2 2 2" xfId="7"/>
    <cellStyle name="Normal 2 2 3" xfId="131"/>
    <cellStyle name="Normal 2 3" xfId="132"/>
    <cellStyle name="Normal 20" xfId="133"/>
    <cellStyle name="Normal 21" xfId="134"/>
    <cellStyle name="Normal 22" xfId="135"/>
    <cellStyle name="Normal 23" xfId="136"/>
    <cellStyle name="Normal 24" xfId="137"/>
    <cellStyle name="Normal 25" xfId="138"/>
    <cellStyle name="Normal 3" xfId="139"/>
    <cellStyle name="Normal 3 2" xfId="140"/>
    <cellStyle name="Normal 3 3" xfId="141"/>
    <cellStyle name="Normal 3 4" xfId="142"/>
    <cellStyle name="Normal 4" xfId="143"/>
    <cellStyle name="Normal 4 2" xfId="144"/>
    <cellStyle name="Normal 4 3" xfId="145"/>
    <cellStyle name="Normal 5" xfId="146"/>
    <cellStyle name="Normal 6" xfId="147"/>
    <cellStyle name="Normal 7" xfId="148"/>
    <cellStyle name="Normal 8" xfId="149"/>
    <cellStyle name="Normal 9" xfId="150"/>
    <cellStyle name="Percent" xfId="2" builtinId="5"/>
    <cellStyle name="Percent 2" xfId="151"/>
    <cellStyle name="Percent 3" xfId="152"/>
    <cellStyle name="Percent 4" xfId="4"/>
    <cellStyle name="S0" xfId="8"/>
    <cellStyle name="S0 10" xfId="153"/>
    <cellStyle name="S0 100" xfId="154"/>
    <cellStyle name="S0 101" xfId="155"/>
    <cellStyle name="S0 102" xfId="156"/>
    <cellStyle name="S0 103" xfId="157"/>
    <cellStyle name="S0 104" xfId="158"/>
    <cellStyle name="S0 105" xfId="159"/>
    <cellStyle name="S0 106" xfId="160"/>
    <cellStyle name="S0 107" xfId="161"/>
    <cellStyle name="S0 108" xfId="162"/>
    <cellStyle name="S0 109" xfId="163"/>
    <cellStyle name="S0 11" xfId="164"/>
    <cellStyle name="S0 110" xfId="165"/>
    <cellStyle name="S0 111" xfId="166"/>
    <cellStyle name="S0 112" xfId="167"/>
    <cellStyle name="S0 113" xfId="168"/>
    <cellStyle name="S0 114" xfId="169"/>
    <cellStyle name="S0 115" xfId="170"/>
    <cellStyle name="S0 116" xfId="171"/>
    <cellStyle name="S0 117" xfId="172"/>
    <cellStyle name="S0 118" xfId="173"/>
    <cellStyle name="S0 119" xfId="174"/>
    <cellStyle name="S0 12" xfId="175"/>
    <cellStyle name="S0 120" xfId="176"/>
    <cellStyle name="S0 121" xfId="177"/>
    <cellStyle name="S0 122" xfId="178"/>
    <cellStyle name="S0 123" xfId="179"/>
    <cellStyle name="S0 124" xfId="180"/>
    <cellStyle name="S0 125" xfId="181"/>
    <cellStyle name="S0 126" xfId="182"/>
    <cellStyle name="S0 127" xfId="183"/>
    <cellStyle name="S0 128" xfId="184"/>
    <cellStyle name="S0 129" xfId="185"/>
    <cellStyle name="S0 13" xfId="186"/>
    <cellStyle name="S0 130" xfId="187"/>
    <cellStyle name="S0 131" xfId="188"/>
    <cellStyle name="S0 132" xfId="189"/>
    <cellStyle name="S0 133" xfId="190"/>
    <cellStyle name="S0 134" xfId="191"/>
    <cellStyle name="S0 135" xfId="192"/>
    <cellStyle name="S0 136" xfId="193"/>
    <cellStyle name="S0 137" xfId="194"/>
    <cellStyle name="S0 138" xfId="195"/>
    <cellStyle name="S0 139" xfId="196"/>
    <cellStyle name="S0 14" xfId="197"/>
    <cellStyle name="S0 140" xfId="198"/>
    <cellStyle name="S0 141" xfId="199"/>
    <cellStyle name="S0 142" xfId="200"/>
    <cellStyle name="S0 143" xfId="201"/>
    <cellStyle name="S0 144" xfId="202"/>
    <cellStyle name="S0 145" xfId="203"/>
    <cellStyle name="S0 146" xfId="204"/>
    <cellStyle name="S0 147" xfId="205"/>
    <cellStyle name="S0 148" xfId="206"/>
    <cellStyle name="S0 149" xfId="207"/>
    <cellStyle name="S0 15" xfId="208"/>
    <cellStyle name="S0 150" xfId="209"/>
    <cellStyle name="S0 151" xfId="210"/>
    <cellStyle name="S0 152" xfId="211"/>
    <cellStyle name="S0 153" xfId="212"/>
    <cellStyle name="S0 154" xfId="213"/>
    <cellStyle name="S0 155" xfId="214"/>
    <cellStyle name="S0 156" xfId="215"/>
    <cellStyle name="S0 157" xfId="216"/>
    <cellStyle name="S0 158" xfId="217"/>
    <cellStyle name="S0 159" xfId="218"/>
    <cellStyle name="S0 16" xfId="219"/>
    <cellStyle name="S0 160" xfId="220"/>
    <cellStyle name="S0 161" xfId="221"/>
    <cellStyle name="S0 162" xfId="222"/>
    <cellStyle name="S0 163" xfId="223"/>
    <cellStyle name="S0 164" xfId="224"/>
    <cellStyle name="S0 165" xfId="225"/>
    <cellStyle name="S0 166" xfId="226"/>
    <cellStyle name="S0 167" xfId="227"/>
    <cellStyle name="S0 168" xfId="228"/>
    <cellStyle name="S0 169" xfId="229"/>
    <cellStyle name="S0 17" xfId="230"/>
    <cellStyle name="S0 170" xfId="231"/>
    <cellStyle name="S0 171" xfId="232"/>
    <cellStyle name="S0 172" xfId="233"/>
    <cellStyle name="S0 173" xfId="234"/>
    <cellStyle name="S0 174" xfId="235"/>
    <cellStyle name="S0 175" xfId="236"/>
    <cellStyle name="S0 176" xfId="237"/>
    <cellStyle name="S0 177" xfId="238"/>
    <cellStyle name="S0 178" xfId="239"/>
    <cellStyle name="S0 179" xfId="240"/>
    <cellStyle name="S0 18" xfId="241"/>
    <cellStyle name="S0 180" xfId="242"/>
    <cellStyle name="S0 181" xfId="243"/>
    <cellStyle name="S0 182" xfId="244"/>
    <cellStyle name="S0 183" xfId="245"/>
    <cellStyle name="S0 184" xfId="246"/>
    <cellStyle name="S0 185" xfId="247"/>
    <cellStyle name="S0 186" xfId="248"/>
    <cellStyle name="S0 187" xfId="249"/>
    <cellStyle name="S0 188" xfId="250"/>
    <cellStyle name="S0 189" xfId="251"/>
    <cellStyle name="S0 19" xfId="252"/>
    <cellStyle name="S0 190" xfId="253"/>
    <cellStyle name="S0 191" xfId="254"/>
    <cellStyle name="S0 192" xfId="255"/>
    <cellStyle name="S0 193" xfId="256"/>
    <cellStyle name="S0 194" xfId="257"/>
    <cellStyle name="S0 195" xfId="258"/>
    <cellStyle name="S0 196" xfId="259"/>
    <cellStyle name="S0 197" xfId="260"/>
    <cellStyle name="S0 198" xfId="261"/>
    <cellStyle name="S0 199" xfId="262"/>
    <cellStyle name="S0 2" xfId="263"/>
    <cellStyle name="S0 20" xfId="264"/>
    <cellStyle name="S0 200" xfId="265"/>
    <cellStyle name="S0 201" xfId="266"/>
    <cellStyle name="S0 202" xfId="267"/>
    <cellStyle name="S0 203" xfId="268"/>
    <cellStyle name="S0 204" xfId="269"/>
    <cellStyle name="S0 205" xfId="270"/>
    <cellStyle name="S0 206" xfId="271"/>
    <cellStyle name="S0 207" xfId="272"/>
    <cellStyle name="S0 208" xfId="273"/>
    <cellStyle name="S0 209" xfId="274"/>
    <cellStyle name="S0 21" xfId="275"/>
    <cellStyle name="S0 210" xfId="276"/>
    <cellStyle name="S0 211" xfId="277"/>
    <cellStyle name="S0 212" xfId="278"/>
    <cellStyle name="S0 213" xfId="279"/>
    <cellStyle name="S0 214" xfId="280"/>
    <cellStyle name="S0 215" xfId="281"/>
    <cellStyle name="S0 216" xfId="282"/>
    <cellStyle name="S0 217" xfId="283"/>
    <cellStyle name="S0 218" xfId="284"/>
    <cellStyle name="S0 219" xfId="285"/>
    <cellStyle name="S0 22" xfId="286"/>
    <cellStyle name="S0 220" xfId="287"/>
    <cellStyle name="S0 221" xfId="288"/>
    <cellStyle name="S0 222" xfId="289"/>
    <cellStyle name="S0 223" xfId="290"/>
    <cellStyle name="S0 224" xfId="291"/>
    <cellStyle name="S0 225" xfId="292"/>
    <cellStyle name="S0 226" xfId="293"/>
    <cellStyle name="S0 227" xfId="294"/>
    <cellStyle name="S0 228" xfId="295"/>
    <cellStyle name="S0 229" xfId="296"/>
    <cellStyle name="S0 23" xfId="297"/>
    <cellStyle name="S0 230" xfId="298"/>
    <cellStyle name="S0 231" xfId="299"/>
    <cellStyle name="S0 232" xfId="300"/>
    <cellStyle name="S0 233" xfId="301"/>
    <cellStyle name="S0 234" xfId="302"/>
    <cellStyle name="S0 235" xfId="303"/>
    <cellStyle name="S0 236" xfId="304"/>
    <cellStyle name="S0 237" xfId="305"/>
    <cellStyle name="S0 238" xfId="306"/>
    <cellStyle name="S0 239" xfId="307"/>
    <cellStyle name="S0 24" xfId="308"/>
    <cellStyle name="S0 240" xfId="309"/>
    <cellStyle name="S0 241" xfId="310"/>
    <cellStyle name="S0 242" xfId="311"/>
    <cellStyle name="S0 243" xfId="312"/>
    <cellStyle name="S0 244" xfId="313"/>
    <cellStyle name="S0 245" xfId="314"/>
    <cellStyle name="S0 246" xfId="315"/>
    <cellStyle name="S0 247" xfId="316"/>
    <cellStyle name="S0 248" xfId="317"/>
    <cellStyle name="S0 249" xfId="318"/>
    <cellStyle name="S0 25" xfId="319"/>
    <cellStyle name="S0 250" xfId="320"/>
    <cellStyle name="S0 251" xfId="321"/>
    <cellStyle name="S0 252" xfId="322"/>
    <cellStyle name="S0 253" xfId="323"/>
    <cellStyle name="S0 254" xfId="324"/>
    <cellStyle name="S0 255" xfId="325"/>
    <cellStyle name="S0 256" xfId="326"/>
    <cellStyle name="S0 257" xfId="327"/>
    <cellStyle name="S0 258" xfId="328"/>
    <cellStyle name="S0 259" xfId="329"/>
    <cellStyle name="S0 26" xfId="330"/>
    <cellStyle name="S0 260" xfId="331"/>
    <cellStyle name="S0 261" xfId="332"/>
    <cellStyle name="S0 262" xfId="333"/>
    <cellStyle name="S0 263" xfId="334"/>
    <cellStyle name="S0 264" xfId="335"/>
    <cellStyle name="S0 265" xfId="336"/>
    <cellStyle name="S0 266" xfId="337"/>
    <cellStyle name="S0 266 2" xfId="338"/>
    <cellStyle name="S0 267" xfId="339"/>
    <cellStyle name="S0 268" xfId="340"/>
    <cellStyle name="S0 27" xfId="341"/>
    <cellStyle name="S0 28" xfId="342"/>
    <cellStyle name="S0 29" xfId="343"/>
    <cellStyle name="S0 3" xfId="344"/>
    <cellStyle name="S0 30" xfId="345"/>
    <cellStyle name="S0 31" xfId="346"/>
    <cellStyle name="S0 32" xfId="347"/>
    <cellStyle name="S0 33" xfId="348"/>
    <cellStyle name="S0 34" xfId="349"/>
    <cellStyle name="S0 35" xfId="350"/>
    <cellStyle name="S0 36" xfId="351"/>
    <cellStyle name="S0 37" xfId="352"/>
    <cellStyle name="S0 38" xfId="353"/>
    <cellStyle name="S0 39" xfId="354"/>
    <cellStyle name="S0 4" xfId="355"/>
    <cellStyle name="S0 40" xfId="356"/>
    <cellStyle name="S0 41" xfId="357"/>
    <cellStyle name="S0 42" xfId="358"/>
    <cellStyle name="S0 43" xfId="359"/>
    <cellStyle name="S0 44" xfId="360"/>
    <cellStyle name="S0 45" xfId="361"/>
    <cellStyle name="S0 46" xfId="362"/>
    <cellStyle name="S0 47" xfId="363"/>
    <cellStyle name="S0 48" xfId="364"/>
    <cellStyle name="S0 49" xfId="365"/>
    <cellStyle name="S0 5" xfId="366"/>
    <cellStyle name="S0 50" xfId="367"/>
    <cellStyle name="S0 51" xfId="368"/>
    <cellStyle name="S0 52" xfId="369"/>
    <cellStyle name="S0 53" xfId="370"/>
    <cellStyle name="S0 54" xfId="371"/>
    <cellStyle name="S0 55" xfId="372"/>
    <cellStyle name="S0 56" xfId="373"/>
    <cellStyle name="S0 57" xfId="374"/>
    <cellStyle name="S0 58" xfId="375"/>
    <cellStyle name="S0 59" xfId="376"/>
    <cellStyle name="S0 6" xfId="377"/>
    <cellStyle name="S0 60" xfId="378"/>
    <cellStyle name="S0 61" xfId="379"/>
    <cellStyle name="S0 62" xfId="380"/>
    <cellStyle name="S0 63" xfId="381"/>
    <cellStyle name="S0 64" xfId="382"/>
    <cellStyle name="S0 65" xfId="383"/>
    <cellStyle name="S0 66" xfId="384"/>
    <cellStyle name="S0 67" xfId="385"/>
    <cellStyle name="S0 68" xfId="386"/>
    <cellStyle name="S0 69" xfId="387"/>
    <cellStyle name="S0 7" xfId="388"/>
    <cellStyle name="S0 70" xfId="389"/>
    <cellStyle name="S0 71" xfId="390"/>
    <cellStyle name="S0 72" xfId="391"/>
    <cellStyle name="S0 73" xfId="392"/>
    <cellStyle name="S0 74" xfId="393"/>
    <cellStyle name="S0 75" xfId="394"/>
    <cellStyle name="S0 76" xfId="395"/>
    <cellStyle name="S0 77" xfId="396"/>
    <cellStyle name="S0 78" xfId="397"/>
    <cellStyle name="S0 79" xfId="398"/>
    <cellStyle name="S0 8" xfId="399"/>
    <cellStyle name="S0 80" xfId="400"/>
    <cellStyle name="S0 81" xfId="401"/>
    <cellStyle name="S0 82" xfId="402"/>
    <cellStyle name="S0 83" xfId="403"/>
    <cellStyle name="S0 84" xfId="404"/>
    <cellStyle name="S0 85" xfId="405"/>
    <cellStyle name="S0 86" xfId="406"/>
    <cellStyle name="S0 87" xfId="407"/>
    <cellStyle name="S0 88" xfId="408"/>
    <cellStyle name="S0 89" xfId="409"/>
    <cellStyle name="S0 9" xfId="410"/>
    <cellStyle name="S0 90" xfId="411"/>
    <cellStyle name="S0 91" xfId="412"/>
    <cellStyle name="S0 92" xfId="413"/>
    <cellStyle name="S0 93" xfId="414"/>
    <cellStyle name="S0 94" xfId="415"/>
    <cellStyle name="S0 95" xfId="416"/>
    <cellStyle name="S0 96" xfId="417"/>
    <cellStyle name="S0 97" xfId="418"/>
    <cellStyle name="S0 98" xfId="419"/>
    <cellStyle name="S0 99" xfId="420"/>
    <cellStyle name="S0_Pembelian" xfId="421"/>
    <cellStyle name="S1" xfId="422"/>
    <cellStyle name="S1 10" xfId="423"/>
    <cellStyle name="S1 100" xfId="424"/>
    <cellStyle name="S1 101" xfId="425"/>
    <cellStyle name="S1 102" xfId="426"/>
    <cellStyle name="S1 103" xfId="427"/>
    <cellStyle name="S1 104" xfId="428"/>
    <cellStyle name="S1 105" xfId="429"/>
    <cellStyle name="S1 106" xfId="430"/>
    <cellStyle name="S1 107" xfId="431"/>
    <cellStyle name="S1 108" xfId="432"/>
    <cellStyle name="S1 109" xfId="433"/>
    <cellStyle name="S1 11" xfId="434"/>
    <cellStyle name="S1 110" xfId="435"/>
    <cellStyle name="S1 111" xfId="436"/>
    <cellStyle name="S1 112" xfId="437"/>
    <cellStyle name="S1 113" xfId="438"/>
    <cellStyle name="S1 114" xfId="439"/>
    <cellStyle name="S1 115" xfId="440"/>
    <cellStyle name="S1 116" xfId="441"/>
    <cellStyle name="S1 117" xfId="442"/>
    <cellStyle name="S1 118" xfId="443"/>
    <cellStyle name="S1 119" xfId="444"/>
    <cellStyle name="S1 12" xfId="445"/>
    <cellStyle name="S1 120" xfId="446"/>
    <cellStyle name="S1 121" xfId="447"/>
    <cellStyle name="S1 122" xfId="448"/>
    <cellStyle name="S1 123" xfId="449"/>
    <cellStyle name="S1 124" xfId="450"/>
    <cellStyle name="S1 125" xfId="451"/>
    <cellStyle name="S1 126" xfId="452"/>
    <cellStyle name="S1 127" xfId="453"/>
    <cellStyle name="S1 128" xfId="454"/>
    <cellStyle name="S1 129" xfId="455"/>
    <cellStyle name="S1 13" xfId="456"/>
    <cellStyle name="S1 130" xfId="457"/>
    <cellStyle name="S1 131" xfId="458"/>
    <cellStyle name="S1 132" xfId="459"/>
    <cellStyle name="S1 133" xfId="460"/>
    <cellStyle name="S1 134" xfId="461"/>
    <cellStyle name="S1 135" xfId="462"/>
    <cellStyle name="S1 136" xfId="463"/>
    <cellStyle name="S1 137" xfId="464"/>
    <cellStyle name="S1 138" xfId="465"/>
    <cellStyle name="S1 139" xfId="466"/>
    <cellStyle name="S1 14" xfId="467"/>
    <cellStyle name="S1 140" xfId="468"/>
    <cellStyle name="S1 141" xfId="469"/>
    <cellStyle name="S1 142" xfId="470"/>
    <cellStyle name="S1 143" xfId="471"/>
    <cellStyle name="S1 144" xfId="472"/>
    <cellStyle name="S1 145" xfId="473"/>
    <cellStyle name="S1 146" xfId="474"/>
    <cellStyle name="S1 147" xfId="475"/>
    <cellStyle name="S1 148" xfId="476"/>
    <cellStyle name="S1 149" xfId="477"/>
    <cellStyle name="S1 15" xfId="478"/>
    <cellStyle name="S1 150" xfId="479"/>
    <cellStyle name="S1 151" xfId="480"/>
    <cellStyle name="S1 152" xfId="481"/>
    <cellStyle name="S1 153" xfId="482"/>
    <cellStyle name="S1 154" xfId="483"/>
    <cellStyle name="S1 155" xfId="484"/>
    <cellStyle name="S1 156" xfId="485"/>
    <cellStyle name="S1 157" xfId="486"/>
    <cellStyle name="S1 158" xfId="487"/>
    <cellStyle name="S1 159" xfId="488"/>
    <cellStyle name="S1 16" xfId="489"/>
    <cellStyle name="S1 160" xfId="490"/>
    <cellStyle name="S1 161" xfId="491"/>
    <cellStyle name="S1 162" xfId="492"/>
    <cellStyle name="S1 163" xfId="493"/>
    <cellStyle name="S1 164" xfId="494"/>
    <cellStyle name="S1 165" xfId="495"/>
    <cellStyle name="S1 166" xfId="496"/>
    <cellStyle name="S1 167" xfId="497"/>
    <cellStyle name="S1 168" xfId="498"/>
    <cellStyle name="S1 169" xfId="499"/>
    <cellStyle name="S1 17" xfId="500"/>
    <cellStyle name="S1 170" xfId="501"/>
    <cellStyle name="S1 171" xfId="502"/>
    <cellStyle name="S1 172" xfId="503"/>
    <cellStyle name="S1 173" xfId="504"/>
    <cellStyle name="S1 174" xfId="505"/>
    <cellStyle name="S1 175" xfId="506"/>
    <cellStyle name="S1 176" xfId="507"/>
    <cellStyle name="S1 177" xfId="508"/>
    <cellStyle name="S1 178" xfId="509"/>
    <cellStyle name="S1 179" xfId="510"/>
    <cellStyle name="S1 18" xfId="511"/>
    <cellStyle name="S1 180" xfId="512"/>
    <cellStyle name="S1 181" xfId="513"/>
    <cellStyle name="S1 182" xfId="514"/>
    <cellStyle name="S1 183" xfId="515"/>
    <cellStyle name="S1 184" xfId="516"/>
    <cellStyle name="S1 185" xfId="517"/>
    <cellStyle name="S1 186" xfId="518"/>
    <cellStyle name="S1 187" xfId="519"/>
    <cellStyle name="S1 188" xfId="520"/>
    <cellStyle name="S1 189" xfId="521"/>
    <cellStyle name="S1 19" xfId="522"/>
    <cellStyle name="S1 190" xfId="523"/>
    <cellStyle name="S1 191" xfId="524"/>
    <cellStyle name="S1 192" xfId="525"/>
    <cellStyle name="S1 193" xfId="526"/>
    <cellStyle name="S1 194" xfId="527"/>
    <cellStyle name="S1 195" xfId="528"/>
    <cellStyle name="S1 196" xfId="529"/>
    <cellStyle name="S1 197" xfId="530"/>
    <cellStyle name="S1 198" xfId="531"/>
    <cellStyle name="S1 199" xfId="532"/>
    <cellStyle name="S1 2" xfId="533"/>
    <cellStyle name="S1 20" xfId="534"/>
    <cellStyle name="S1 200" xfId="535"/>
    <cellStyle name="S1 201" xfId="536"/>
    <cellStyle name="S1 202" xfId="537"/>
    <cellStyle name="S1 203" xfId="538"/>
    <cellStyle name="S1 204" xfId="539"/>
    <cellStyle name="S1 205" xfId="540"/>
    <cellStyle name="S1 206" xfId="541"/>
    <cellStyle name="S1 207" xfId="542"/>
    <cellStyle name="S1 208" xfId="543"/>
    <cellStyle name="S1 209" xfId="544"/>
    <cellStyle name="S1 21" xfId="545"/>
    <cellStyle name="S1 210" xfId="546"/>
    <cellStyle name="S1 211" xfId="547"/>
    <cellStyle name="S1 212" xfId="548"/>
    <cellStyle name="S1 213" xfId="549"/>
    <cellStyle name="S1 214" xfId="550"/>
    <cellStyle name="S1 215" xfId="551"/>
    <cellStyle name="S1 216" xfId="552"/>
    <cellStyle name="S1 217" xfId="553"/>
    <cellStyle name="S1 218" xfId="554"/>
    <cellStyle name="S1 219" xfId="555"/>
    <cellStyle name="S1 22" xfId="556"/>
    <cellStyle name="S1 220" xfId="557"/>
    <cellStyle name="S1 221" xfId="558"/>
    <cellStyle name="S1 222" xfId="559"/>
    <cellStyle name="S1 223" xfId="560"/>
    <cellStyle name="S1 224" xfId="561"/>
    <cellStyle name="S1 225" xfId="562"/>
    <cellStyle name="S1 226" xfId="563"/>
    <cellStyle name="S1 227" xfId="564"/>
    <cellStyle name="S1 228" xfId="565"/>
    <cellStyle name="S1 229" xfId="566"/>
    <cellStyle name="S1 23" xfId="567"/>
    <cellStyle name="S1 230" xfId="568"/>
    <cellStyle name="S1 231" xfId="569"/>
    <cellStyle name="S1 232" xfId="570"/>
    <cellStyle name="S1 233" xfId="571"/>
    <cellStyle name="S1 234" xfId="572"/>
    <cellStyle name="S1 235" xfId="573"/>
    <cellStyle name="S1 236" xfId="574"/>
    <cellStyle name="S1 237" xfId="575"/>
    <cellStyle name="S1 238" xfId="576"/>
    <cellStyle name="S1 239" xfId="577"/>
    <cellStyle name="S1 24" xfId="578"/>
    <cellStyle name="S1 240" xfId="579"/>
    <cellStyle name="S1 241" xfId="580"/>
    <cellStyle name="S1 242" xfId="581"/>
    <cellStyle name="S1 243" xfId="582"/>
    <cellStyle name="S1 244" xfId="583"/>
    <cellStyle name="S1 245" xfId="584"/>
    <cellStyle name="S1 246" xfId="585"/>
    <cellStyle name="S1 247" xfId="586"/>
    <cellStyle name="S1 248" xfId="587"/>
    <cellStyle name="S1 249" xfId="588"/>
    <cellStyle name="S1 25" xfId="589"/>
    <cellStyle name="S1 250" xfId="590"/>
    <cellStyle name="S1 251" xfId="591"/>
    <cellStyle name="S1 252" xfId="592"/>
    <cellStyle name="S1 253" xfId="593"/>
    <cellStyle name="S1 254" xfId="594"/>
    <cellStyle name="S1 255" xfId="595"/>
    <cellStyle name="S1 256" xfId="596"/>
    <cellStyle name="S1 257" xfId="597"/>
    <cellStyle name="S1 258" xfId="598"/>
    <cellStyle name="S1 259" xfId="599"/>
    <cellStyle name="S1 26" xfId="600"/>
    <cellStyle name="S1 260" xfId="601"/>
    <cellStyle name="S1 261" xfId="602"/>
    <cellStyle name="S1 262" xfId="603"/>
    <cellStyle name="S1 263" xfId="604"/>
    <cellStyle name="S1 264" xfId="605"/>
    <cellStyle name="S1 265" xfId="606"/>
    <cellStyle name="S1 265 2" xfId="607"/>
    <cellStyle name="S1 266" xfId="608"/>
    <cellStyle name="S1 267" xfId="609"/>
    <cellStyle name="S1 27" xfId="610"/>
    <cellStyle name="S1 28" xfId="611"/>
    <cellStyle name="S1 29" xfId="612"/>
    <cellStyle name="S1 3" xfId="613"/>
    <cellStyle name="S1 30" xfId="614"/>
    <cellStyle name="S1 31" xfId="615"/>
    <cellStyle name="S1 32" xfId="616"/>
    <cellStyle name="S1 33" xfId="617"/>
    <cellStyle name="S1 34" xfId="618"/>
    <cellStyle name="S1 35" xfId="619"/>
    <cellStyle name="S1 36" xfId="620"/>
    <cellStyle name="S1 37" xfId="621"/>
    <cellStyle name="S1 38" xfId="622"/>
    <cellStyle name="S1 39" xfId="623"/>
    <cellStyle name="S1 4" xfId="624"/>
    <cellStyle name="S1 40" xfId="625"/>
    <cellStyle name="S1 41" xfId="626"/>
    <cellStyle name="S1 42" xfId="627"/>
    <cellStyle name="S1 43" xfId="628"/>
    <cellStyle name="S1 44" xfId="629"/>
    <cellStyle name="S1 45" xfId="630"/>
    <cellStyle name="S1 46" xfId="631"/>
    <cellStyle name="S1 47" xfId="632"/>
    <cellStyle name="S1 48" xfId="633"/>
    <cellStyle name="S1 49" xfId="634"/>
    <cellStyle name="S1 5" xfId="635"/>
    <cellStyle name="S1 50" xfId="636"/>
    <cellStyle name="S1 51" xfId="637"/>
    <cellStyle name="S1 52" xfId="638"/>
    <cellStyle name="S1 53" xfId="639"/>
    <cellStyle name="S1 54" xfId="640"/>
    <cellStyle name="S1 55" xfId="641"/>
    <cellStyle name="S1 56" xfId="642"/>
    <cellStyle name="S1 57" xfId="643"/>
    <cellStyle name="S1 58" xfId="644"/>
    <cellStyle name="S1 59" xfId="645"/>
    <cellStyle name="S1 6" xfId="646"/>
    <cellStyle name="S1 60" xfId="647"/>
    <cellStyle name="S1 61" xfId="648"/>
    <cellStyle name="S1 62" xfId="649"/>
    <cellStyle name="S1 63" xfId="650"/>
    <cellStyle name="S1 64" xfId="651"/>
    <cellStyle name="S1 65" xfId="652"/>
    <cellStyle name="S1 66" xfId="653"/>
    <cellStyle name="S1 67" xfId="654"/>
    <cellStyle name="S1 68" xfId="655"/>
    <cellStyle name="S1 69" xfId="656"/>
    <cellStyle name="S1 7" xfId="657"/>
    <cellStyle name="S1 70" xfId="658"/>
    <cellStyle name="S1 71" xfId="659"/>
    <cellStyle name="S1 72" xfId="660"/>
    <cellStyle name="S1 73" xfId="661"/>
    <cellStyle name="S1 74" xfId="662"/>
    <cellStyle name="S1 75" xfId="663"/>
    <cellStyle name="S1 76" xfId="664"/>
    <cellStyle name="S1 77" xfId="665"/>
    <cellStyle name="S1 78" xfId="666"/>
    <cellStyle name="S1 79" xfId="667"/>
    <cellStyle name="S1 8" xfId="668"/>
    <cellStyle name="S1 80" xfId="669"/>
    <cellStyle name="S1 81" xfId="670"/>
    <cellStyle name="S1 82" xfId="671"/>
    <cellStyle name="S1 83" xfId="672"/>
    <cellStyle name="S1 84" xfId="673"/>
    <cellStyle name="S1 85" xfId="674"/>
    <cellStyle name="S1 86" xfId="675"/>
    <cellStyle name="S1 87" xfId="676"/>
    <cellStyle name="S1 88" xfId="677"/>
    <cellStyle name="S1 89" xfId="678"/>
    <cellStyle name="S1 9" xfId="679"/>
    <cellStyle name="S1 90" xfId="680"/>
    <cellStyle name="S1 91" xfId="681"/>
    <cellStyle name="S1 92" xfId="682"/>
    <cellStyle name="S1 93" xfId="683"/>
    <cellStyle name="S1 94" xfId="684"/>
    <cellStyle name="S1 95" xfId="685"/>
    <cellStyle name="S1 96" xfId="686"/>
    <cellStyle name="S1 97" xfId="687"/>
    <cellStyle name="S1 98" xfId="688"/>
    <cellStyle name="S1 99" xfId="689"/>
    <cellStyle name="S1_Pembelian" xfId="690"/>
    <cellStyle name="S10" xfId="691"/>
    <cellStyle name="S10 10" xfId="692"/>
    <cellStyle name="S10 11" xfId="693"/>
    <cellStyle name="S10 12" xfId="694"/>
    <cellStyle name="S10 13" xfId="695"/>
    <cellStyle name="S10 13 2" xfId="696"/>
    <cellStyle name="S10 14" xfId="697"/>
    <cellStyle name="S10 15" xfId="698"/>
    <cellStyle name="S10 16" xfId="699"/>
    <cellStyle name="S10 17" xfId="700"/>
    <cellStyle name="S10 18" xfId="701"/>
    <cellStyle name="S10 19" xfId="702"/>
    <cellStyle name="S10 2" xfId="703"/>
    <cellStyle name="S10 3" xfId="704"/>
    <cellStyle name="S10 3 2" xfId="705"/>
    <cellStyle name="S10 4" xfId="706"/>
    <cellStyle name="S10 5" xfId="707"/>
    <cellStyle name="S10 6" xfId="708"/>
    <cellStyle name="S10 7" xfId="709"/>
    <cellStyle name="S10 8" xfId="710"/>
    <cellStyle name="S10 9" xfId="711"/>
    <cellStyle name="S10_Pembelian" xfId="712"/>
    <cellStyle name="S11" xfId="713"/>
    <cellStyle name="S11 10" xfId="714"/>
    <cellStyle name="S11 10 2" xfId="715"/>
    <cellStyle name="S11 11" xfId="716"/>
    <cellStyle name="S11 12" xfId="717"/>
    <cellStyle name="S11 13" xfId="718"/>
    <cellStyle name="S11 14" xfId="719"/>
    <cellStyle name="S11 14 2" xfId="720"/>
    <cellStyle name="S11 15" xfId="721"/>
    <cellStyle name="S11 16" xfId="722"/>
    <cellStyle name="S11 2" xfId="723"/>
    <cellStyle name="S11 3" xfId="724"/>
    <cellStyle name="S11 3 2" xfId="725"/>
    <cellStyle name="S11 4" xfId="726"/>
    <cellStyle name="S11 5" xfId="727"/>
    <cellStyle name="S11 6" xfId="728"/>
    <cellStyle name="S11 7" xfId="729"/>
    <cellStyle name="S11 8" xfId="730"/>
    <cellStyle name="S11 9" xfId="731"/>
    <cellStyle name="S11_Pembelian" xfId="732"/>
    <cellStyle name="S12" xfId="733"/>
    <cellStyle name="S12 10" xfId="734"/>
    <cellStyle name="S12 11" xfId="735"/>
    <cellStyle name="S12 2" xfId="736"/>
    <cellStyle name="S12 3" xfId="737"/>
    <cellStyle name="S12 4" xfId="738"/>
    <cellStyle name="S12 5" xfId="739"/>
    <cellStyle name="S12 6" xfId="740"/>
    <cellStyle name="S12 6 2" xfId="741"/>
    <cellStyle name="S12 7" xfId="742"/>
    <cellStyle name="S12 8" xfId="743"/>
    <cellStyle name="S12 9" xfId="744"/>
    <cellStyle name="S12_Pembelian" xfId="745"/>
    <cellStyle name="S13" xfId="746"/>
    <cellStyle name="S13 10" xfId="747"/>
    <cellStyle name="S13 11" xfId="748"/>
    <cellStyle name="S13 12" xfId="749"/>
    <cellStyle name="S13 2" xfId="750"/>
    <cellStyle name="S13 3" xfId="751"/>
    <cellStyle name="S13 4" xfId="752"/>
    <cellStyle name="S13 4 2" xfId="753"/>
    <cellStyle name="S13 5" xfId="754"/>
    <cellStyle name="S13 6" xfId="755"/>
    <cellStyle name="S13 7" xfId="756"/>
    <cellStyle name="S13 7 2" xfId="757"/>
    <cellStyle name="S13 8" xfId="758"/>
    <cellStyle name="S13 9" xfId="759"/>
    <cellStyle name="S13_Pembelian" xfId="760"/>
    <cellStyle name="S14" xfId="761"/>
    <cellStyle name="S14 10" xfId="762"/>
    <cellStyle name="S14 2" xfId="763"/>
    <cellStyle name="S14 3" xfId="764"/>
    <cellStyle name="S14 3 2" xfId="765"/>
    <cellStyle name="S14 4" xfId="766"/>
    <cellStyle name="S14 5" xfId="767"/>
    <cellStyle name="S14 6" xfId="768"/>
    <cellStyle name="S14 7" xfId="769"/>
    <cellStyle name="S14 8" xfId="770"/>
    <cellStyle name="S14 9" xfId="771"/>
    <cellStyle name="S14_Pembelian" xfId="772"/>
    <cellStyle name="S15" xfId="773"/>
    <cellStyle name="S15 2" xfId="774"/>
    <cellStyle name="S15 3" xfId="775"/>
    <cellStyle name="S15 3 2" xfId="776"/>
    <cellStyle name="S15 4" xfId="777"/>
    <cellStyle name="S15 4 2" xfId="778"/>
    <cellStyle name="S15 5" xfId="779"/>
    <cellStyle name="S15 6" xfId="780"/>
    <cellStyle name="S15 7" xfId="781"/>
    <cellStyle name="S15_Pembelian" xfId="782"/>
    <cellStyle name="S16" xfId="783"/>
    <cellStyle name="S16 2" xfId="784"/>
    <cellStyle name="S16 3" xfId="785"/>
    <cellStyle name="S16 4" xfId="786"/>
    <cellStyle name="S16 5" xfId="787"/>
    <cellStyle name="S16 6" xfId="788"/>
    <cellStyle name="S16_Pembelian" xfId="789"/>
    <cellStyle name="S17" xfId="790"/>
    <cellStyle name="S17 2" xfId="791"/>
    <cellStyle name="S17 3" xfId="792"/>
    <cellStyle name="S17 4" xfId="793"/>
    <cellStyle name="S17_Pembelian" xfId="794"/>
    <cellStyle name="S18" xfId="795"/>
    <cellStyle name="S18 2" xfId="796"/>
    <cellStyle name="S18 3" xfId="797"/>
    <cellStyle name="S18 4" xfId="798"/>
    <cellStyle name="S18_Pembelian" xfId="799"/>
    <cellStyle name="S2" xfId="800"/>
    <cellStyle name="S2 10" xfId="801"/>
    <cellStyle name="S2 100" xfId="802"/>
    <cellStyle name="S2 101" xfId="803"/>
    <cellStyle name="S2 102" xfId="804"/>
    <cellStyle name="S2 103" xfId="805"/>
    <cellStyle name="S2 104" xfId="806"/>
    <cellStyle name="S2 105" xfId="807"/>
    <cellStyle name="S2 106" xfId="808"/>
    <cellStyle name="S2 107" xfId="809"/>
    <cellStyle name="S2 108" xfId="810"/>
    <cellStyle name="S2 109" xfId="811"/>
    <cellStyle name="S2 11" xfId="812"/>
    <cellStyle name="S2 110" xfId="813"/>
    <cellStyle name="S2 111" xfId="814"/>
    <cellStyle name="S2 112" xfId="815"/>
    <cellStyle name="S2 113" xfId="816"/>
    <cellStyle name="S2 114" xfId="817"/>
    <cellStyle name="S2 115" xfId="818"/>
    <cellStyle name="S2 116" xfId="819"/>
    <cellStyle name="S2 117" xfId="820"/>
    <cellStyle name="S2 118" xfId="821"/>
    <cellStyle name="S2 119" xfId="822"/>
    <cellStyle name="S2 12" xfId="823"/>
    <cellStyle name="S2 120" xfId="824"/>
    <cellStyle name="S2 121" xfId="825"/>
    <cellStyle name="S2 122" xfId="826"/>
    <cellStyle name="S2 123" xfId="827"/>
    <cellStyle name="S2 124" xfId="828"/>
    <cellStyle name="S2 125" xfId="829"/>
    <cellStyle name="S2 126" xfId="830"/>
    <cellStyle name="S2 127" xfId="831"/>
    <cellStyle name="S2 128" xfId="832"/>
    <cellStyle name="S2 129" xfId="833"/>
    <cellStyle name="S2 13" xfId="834"/>
    <cellStyle name="S2 130" xfId="835"/>
    <cellStyle name="S2 131" xfId="836"/>
    <cellStyle name="S2 132" xfId="837"/>
    <cellStyle name="S2 133" xfId="838"/>
    <cellStyle name="S2 134" xfId="839"/>
    <cellStyle name="S2 135" xfId="840"/>
    <cellStyle name="S2 136" xfId="841"/>
    <cellStyle name="S2 137" xfId="842"/>
    <cellStyle name="S2 138" xfId="843"/>
    <cellStyle name="S2 139" xfId="844"/>
    <cellStyle name="S2 14" xfId="845"/>
    <cellStyle name="S2 140" xfId="846"/>
    <cellStyle name="S2 141" xfId="847"/>
    <cellStyle name="S2 142" xfId="848"/>
    <cellStyle name="S2 143" xfId="849"/>
    <cellStyle name="S2 144" xfId="850"/>
    <cellStyle name="S2 145" xfId="851"/>
    <cellStyle name="S2 146" xfId="852"/>
    <cellStyle name="S2 147" xfId="853"/>
    <cellStyle name="S2 148" xfId="854"/>
    <cellStyle name="S2 149" xfId="855"/>
    <cellStyle name="S2 15" xfId="856"/>
    <cellStyle name="S2 150" xfId="857"/>
    <cellStyle name="S2 151" xfId="858"/>
    <cellStyle name="S2 152" xfId="859"/>
    <cellStyle name="S2 153" xfId="860"/>
    <cellStyle name="S2 154" xfId="861"/>
    <cellStyle name="S2 155" xfId="862"/>
    <cellStyle name="S2 156" xfId="863"/>
    <cellStyle name="S2 157" xfId="864"/>
    <cellStyle name="S2 158" xfId="865"/>
    <cellStyle name="S2 159" xfId="866"/>
    <cellStyle name="S2 16" xfId="867"/>
    <cellStyle name="S2 160" xfId="868"/>
    <cellStyle name="S2 161" xfId="869"/>
    <cellStyle name="S2 162" xfId="870"/>
    <cellStyle name="S2 163" xfId="871"/>
    <cellStyle name="S2 164" xfId="872"/>
    <cellStyle name="S2 165" xfId="873"/>
    <cellStyle name="S2 166" xfId="874"/>
    <cellStyle name="S2 167" xfId="875"/>
    <cellStyle name="S2 168" xfId="876"/>
    <cellStyle name="S2 169" xfId="877"/>
    <cellStyle name="S2 17" xfId="878"/>
    <cellStyle name="S2 170" xfId="879"/>
    <cellStyle name="S2 171" xfId="880"/>
    <cellStyle name="S2 172" xfId="881"/>
    <cellStyle name="S2 173" xfId="882"/>
    <cellStyle name="S2 174" xfId="883"/>
    <cellStyle name="S2 175" xfId="884"/>
    <cellStyle name="S2 176" xfId="885"/>
    <cellStyle name="S2 177" xfId="886"/>
    <cellStyle name="S2 178" xfId="887"/>
    <cellStyle name="S2 179" xfId="888"/>
    <cellStyle name="S2 18" xfId="889"/>
    <cellStyle name="S2 180" xfId="890"/>
    <cellStyle name="S2 181" xfId="891"/>
    <cellStyle name="S2 182" xfId="892"/>
    <cellStyle name="S2 183" xfId="893"/>
    <cellStyle name="S2 184" xfId="894"/>
    <cellStyle name="S2 185" xfId="895"/>
    <cellStyle name="S2 186" xfId="896"/>
    <cellStyle name="S2 187" xfId="897"/>
    <cellStyle name="S2 188" xfId="898"/>
    <cellStyle name="S2 189" xfId="899"/>
    <cellStyle name="S2 19" xfId="900"/>
    <cellStyle name="S2 190" xfId="901"/>
    <cellStyle name="S2 191" xfId="902"/>
    <cellStyle name="S2 192" xfId="903"/>
    <cellStyle name="S2 193" xfId="904"/>
    <cellStyle name="S2 194" xfId="905"/>
    <cellStyle name="S2 195" xfId="906"/>
    <cellStyle name="S2 196" xfId="907"/>
    <cellStyle name="S2 197" xfId="908"/>
    <cellStyle name="S2 198" xfId="909"/>
    <cellStyle name="S2 199" xfId="910"/>
    <cellStyle name="S2 2" xfId="911"/>
    <cellStyle name="S2 20" xfId="912"/>
    <cellStyle name="S2 200" xfId="913"/>
    <cellStyle name="S2 201" xfId="914"/>
    <cellStyle name="S2 202" xfId="915"/>
    <cellStyle name="S2 203" xfId="916"/>
    <cellStyle name="S2 204" xfId="917"/>
    <cellStyle name="S2 205" xfId="918"/>
    <cellStyle name="S2 206" xfId="919"/>
    <cellStyle name="S2 207" xfId="920"/>
    <cellStyle name="S2 208" xfId="921"/>
    <cellStyle name="S2 209" xfId="922"/>
    <cellStyle name="S2 21" xfId="923"/>
    <cellStyle name="S2 210" xfId="924"/>
    <cellStyle name="S2 211" xfId="925"/>
    <cellStyle name="S2 212" xfId="926"/>
    <cellStyle name="S2 213" xfId="927"/>
    <cellStyle name="S2 214" xfId="928"/>
    <cellStyle name="S2 215" xfId="929"/>
    <cellStyle name="S2 216" xfId="930"/>
    <cellStyle name="S2 217" xfId="931"/>
    <cellStyle name="S2 218" xfId="932"/>
    <cellStyle name="S2 219" xfId="933"/>
    <cellStyle name="S2 22" xfId="934"/>
    <cellStyle name="S2 220" xfId="935"/>
    <cellStyle name="S2 221" xfId="936"/>
    <cellStyle name="S2 222" xfId="937"/>
    <cellStyle name="S2 223" xfId="938"/>
    <cellStyle name="S2 224" xfId="939"/>
    <cellStyle name="S2 225" xfId="940"/>
    <cellStyle name="S2 226" xfId="941"/>
    <cellStyle name="S2 227" xfId="942"/>
    <cellStyle name="S2 228" xfId="943"/>
    <cellStyle name="S2 229" xfId="944"/>
    <cellStyle name="S2 23" xfId="945"/>
    <cellStyle name="S2 230" xfId="946"/>
    <cellStyle name="S2 231" xfId="947"/>
    <cellStyle name="S2 232" xfId="948"/>
    <cellStyle name="S2 233" xfId="949"/>
    <cellStyle name="S2 234" xfId="950"/>
    <cellStyle name="S2 235" xfId="951"/>
    <cellStyle name="S2 236" xfId="952"/>
    <cellStyle name="S2 237" xfId="953"/>
    <cellStyle name="S2 238" xfId="954"/>
    <cellStyle name="S2 239" xfId="955"/>
    <cellStyle name="S2 24" xfId="956"/>
    <cellStyle name="S2 240" xfId="957"/>
    <cellStyle name="S2 241" xfId="958"/>
    <cellStyle name="S2 242" xfId="959"/>
    <cellStyle name="S2 243" xfId="960"/>
    <cellStyle name="S2 244" xfId="961"/>
    <cellStyle name="S2 245" xfId="962"/>
    <cellStyle name="S2 246" xfId="963"/>
    <cellStyle name="S2 247" xfId="964"/>
    <cellStyle name="S2 248" xfId="965"/>
    <cellStyle name="S2 249" xfId="966"/>
    <cellStyle name="S2 25" xfId="967"/>
    <cellStyle name="S2 250" xfId="968"/>
    <cellStyle name="S2 251" xfId="969"/>
    <cellStyle name="S2 252" xfId="970"/>
    <cellStyle name="S2 253" xfId="971"/>
    <cellStyle name="S2 254" xfId="972"/>
    <cellStyle name="S2 255" xfId="973"/>
    <cellStyle name="S2 256" xfId="974"/>
    <cellStyle name="S2 257" xfId="975"/>
    <cellStyle name="S2 258" xfId="976"/>
    <cellStyle name="S2 259" xfId="977"/>
    <cellStyle name="S2 26" xfId="978"/>
    <cellStyle name="S2 260" xfId="979"/>
    <cellStyle name="S2 261" xfId="980"/>
    <cellStyle name="S2 262" xfId="981"/>
    <cellStyle name="S2 263" xfId="982"/>
    <cellStyle name="S2 264" xfId="983"/>
    <cellStyle name="S2 265" xfId="984"/>
    <cellStyle name="S2 265 2" xfId="985"/>
    <cellStyle name="S2 266" xfId="986"/>
    <cellStyle name="S2 267" xfId="987"/>
    <cellStyle name="S2 27" xfId="988"/>
    <cellStyle name="S2 28" xfId="989"/>
    <cellStyle name="S2 29" xfId="990"/>
    <cellStyle name="S2 3" xfId="991"/>
    <cellStyle name="S2 30" xfId="992"/>
    <cellStyle name="S2 31" xfId="993"/>
    <cellStyle name="S2 32" xfId="994"/>
    <cellStyle name="S2 33" xfId="995"/>
    <cellStyle name="S2 34" xfId="996"/>
    <cellStyle name="S2 35" xfId="997"/>
    <cellStyle name="S2 36" xfId="998"/>
    <cellStyle name="S2 37" xfId="999"/>
    <cellStyle name="S2 38" xfId="1000"/>
    <cellStyle name="S2 39" xfId="1001"/>
    <cellStyle name="S2 4" xfId="1002"/>
    <cellStyle name="S2 40" xfId="1003"/>
    <cellStyle name="S2 41" xfId="1004"/>
    <cellStyle name="S2 42" xfId="1005"/>
    <cellStyle name="S2 43" xfId="1006"/>
    <cellStyle name="S2 44" xfId="1007"/>
    <cellStyle name="S2 45" xfId="1008"/>
    <cellStyle name="S2 46" xfId="1009"/>
    <cellStyle name="S2 47" xfId="1010"/>
    <cellStyle name="S2 48" xfId="1011"/>
    <cellStyle name="S2 49" xfId="1012"/>
    <cellStyle name="S2 5" xfId="1013"/>
    <cellStyle name="S2 50" xfId="1014"/>
    <cellStyle name="S2 51" xfId="1015"/>
    <cellStyle name="S2 52" xfId="1016"/>
    <cellStyle name="S2 53" xfId="1017"/>
    <cellStyle name="S2 54" xfId="1018"/>
    <cellStyle name="S2 55" xfId="1019"/>
    <cellStyle name="S2 56" xfId="1020"/>
    <cellStyle name="S2 57" xfId="1021"/>
    <cellStyle name="S2 58" xfId="1022"/>
    <cellStyle name="S2 59" xfId="1023"/>
    <cellStyle name="S2 6" xfId="1024"/>
    <cellStyle name="S2 60" xfId="1025"/>
    <cellStyle name="S2 61" xfId="1026"/>
    <cellStyle name="S2 62" xfId="1027"/>
    <cellStyle name="S2 63" xfId="1028"/>
    <cellStyle name="S2 64" xfId="1029"/>
    <cellStyle name="S2 65" xfId="1030"/>
    <cellStyle name="S2 66" xfId="1031"/>
    <cellStyle name="S2 67" xfId="1032"/>
    <cellStyle name="S2 68" xfId="1033"/>
    <cellStyle name="S2 69" xfId="1034"/>
    <cellStyle name="S2 7" xfId="1035"/>
    <cellStyle name="S2 70" xfId="1036"/>
    <cellStyle name="S2 71" xfId="1037"/>
    <cellStyle name="S2 72" xfId="1038"/>
    <cellStyle name="S2 73" xfId="1039"/>
    <cellStyle name="S2 74" xfId="1040"/>
    <cellStyle name="S2 75" xfId="1041"/>
    <cellStyle name="S2 76" xfId="1042"/>
    <cellStyle name="S2 77" xfId="1043"/>
    <cellStyle name="S2 78" xfId="1044"/>
    <cellStyle name="S2 79" xfId="1045"/>
    <cellStyle name="S2 8" xfId="1046"/>
    <cellStyle name="S2 80" xfId="1047"/>
    <cellStyle name="S2 81" xfId="1048"/>
    <cellStyle name="S2 82" xfId="1049"/>
    <cellStyle name="S2 83" xfId="1050"/>
    <cellStyle name="S2 84" xfId="1051"/>
    <cellStyle name="S2 85" xfId="1052"/>
    <cellStyle name="S2 86" xfId="1053"/>
    <cellStyle name="S2 87" xfId="1054"/>
    <cellStyle name="S2 88" xfId="1055"/>
    <cellStyle name="S2 89" xfId="1056"/>
    <cellStyle name="S2 9" xfId="1057"/>
    <cellStyle name="S2 90" xfId="1058"/>
    <cellStyle name="S2 91" xfId="1059"/>
    <cellStyle name="S2 92" xfId="1060"/>
    <cellStyle name="S2 93" xfId="1061"/>
    <cellStyle name="S2 94" xfId="1062"/>
    <cellStyle name="S2 95" xfId="1063"/>
    <cellStyle name="S2 96" xfId="1064"/>
    <cellStyle name="S2 97" xfId="1065"/>
    <cellStyle name="S2 98" xfId="1066"/>
    <cellStyle name="S2 99" xfId="1067"/>
    <cellStyle name="S2_Pembelian" xfId="1068"/>
    <cellStyle name="S3" xfId="1069"/>
    <cellStyle name="S3 10" xfId="1070"/>
    <cellStyle name="S3 11" xfId="1071"/>
    <cellStyle name="S3 2" xfId="1072"/>
    <cellStyle name="S3 3" xfId="1073"/>
    <cellStyle name="S3 4" xfId="1074"/>
    <cellStyle name="S3 5" xfId="1075"/>
    <cellStyle name="S3 6" xfId="1076"/>
    <cellStyle name="S3 7" xfId="1077"/>
    <cellStyle name="S3 8" xfId="1078"/>
    <cellStyle name="S3 9" xfId="1079"/>
    <cellStyle name="S3 9 2" xfId="1080"/>
    <cellStyle name="S3_Pembelian" xfId="1081"/>
    <cellStyle name="S4" xfId="1082"/>
    <cellStyle name="S4 10" xfId="1083"/>
    <cellStyle name="S4 11" xfId="1084"/>
    <cellStyle name="S4 12" xfId="1085"/>
    <cellStyle name="S4 12 2" xfId="1086"/>
    <cellStyle name="S4 13" xfId="1087"/>
    <cellStyle name="S4 14" xfId="1088"/>
    <cellStyle name="S4 14 2" xfId="1089"/>
    <cellStyle name="S4 15" xfId="1090"/>
    <cellStyle name="S4 16" xfId="1091"/>
    <cellStyle name="S4 19" xfId="1092"/>
    <cellStyle name="S4 2" xfId="1093"/>
    <cellStyle name="S4 3" xfId="1094"/>
    <cellStyle name="S4 4" xfId="1095"/>
    <cellStyle name="S4 5" xfId="1096"/>
    <cellStyle name="S4 6" xfId="1097"/>
    <cellStyle name="S4 7" xfId="1098"/>
    <cellStyle name="S4 8" xfId="1099"/>
    <cellStyle name="S4 9" xfId="1100"/>
    <cellStyle name="S4 9 2" xfId="1101"/>
    <cellStyle name="S4_Pembelian" xfId="1102"/>
    <cellStyle name="S5" xfId="1103"/>
    <cellStyle name="S5 10" xfId="1104"/>
    <cellStyle name="S5 10 2" xfId="1105"/>
    <cellStyle name="S5 11" xfId="1106"/>
    <cellStyle name="S5 12" xfId="1107"/>
    <cellStyle name="S5 13" xfId="1108"/>
    <cellStyle name="S5 19" xfId="1109"/>
    <cellStyle name="S5 2" xfId="1110"/>
    <cellStyle name="S5 2 2" xfId="1111"/>
    <cellStyle name="S5 3" xfId="1112"/>
    <cellStyle name="S5 3 2" xfId="1113"/>
    <cellStyle name="S5 4" xfId="1114"/>
    <cellStyle name="S5 5" xfId="1115"/>
    <cellStyle name="S5 6" xfId="1116"/>
    <cellStyle name="S5 7" xfId="1117"/>
    <cellStyle name="S5 8" xfId="1118"/>
    <cellStyle name="S5 9" xfId="1119"/>
    <cellStyle name="S5 9 2" xfId="1120"/>
    <cellStyle name="S5_Pembelian" xfId="1121"/>
    <cellStyle name="S6" xfId="1122"/>
    <cellStyle name="S6 10" xfId="1123"/>
    <cellStyle name="S6 11" xfId="1124"/>
    <cellStyle name="S6 11 2" xfId="1125"/>
    <cellStyle name="S6 12" xfId="1126"/>
    <cellStyle name="S6 13" xfId="1127"/>
    <cellStyle name="S6 13 2" xfId="1128"/>
    <cellStyle name="S6 14" xfId="1129"/>
    <cellStyle name="S6 15" xfId="1130"/>
    <cellStyle name="S6 16" xfId="1131"/>
    <cellStyle name="S6 17" xfId="1132"/>
    <cellStyle name="S6 18" xfId="1133"/>
    <cellStyle name="S6 2" xfId="1134"/>
    <cellStyle name="S6 3" xfId="1135"/>
    <cellStyle name="S6 4" xfId="1136"/>
    <cellStyle name="S6 5" xfId="1137"/>
    <cellStyle name="S6 6" xfId="1138"/>
    <cellStyle name="S6 7" xfId="1139"/>
    <cellStyle name="S6 8" xfId="1140"/>
    <cellStyle name="S6 9" xfId="1141"/>
    <cellStyle name="S6_Pembelian" xfId="1142"/>
    <cellStyle name="S7" xfId="1143"/>
    <cellStyle name="S7 10" xfId="1144"/>
    <cellStyle name="S7 10 2" xfId="1145"/>
    <cellStyle name="S7 11" xfId="1146"/>
    <cellStyle name="S7 12" xfId="1147"/>
    <cellStyle name="S7 12 2" xfId="1148"/>
    <cellStyle name="S7 13" xfId="1149"/>
    <cellStyle name="S7 14" xfId="1150"/>
    <cellStyle name="S7 15" xfId="1151"/>
    <cellStyle name="S7 16" xfId="1152"/>
    <cellStyle name="S7 19" xfId="1153"/>
    <cellStyle name="S7 19 2" xfId="1154"/>
    <cellStyle name="S7 2" xfId="1155"/>
    <cellStyle name="S7 3" xfId="1156"/>
    <cellStyle name="S7 4" xfId="1157"/>
    <cellStyle name="S7 5" xfId="1158"/>
    <cellStyle name="S7 6" xfId="1159"/>
    <cellStyle name="S7 7" xfId="1160"/>
    <cellStyle name="S7 8" xfId="1161"/>
    <cellStyle name="S7 9" xfId="1162"/>
    <cellStyle name="S7_Pembelian" xfId="1163"/>
    <cellStyle name="S8" xfId="1164"/>
    <cellStyle name="S8 10" xfId="1165"/>
    <cellStyle name="S8 11" xfId="1166"/>
    <cellStyle name="S8 12" xfId="1167"/>
    <cellStyle name="S8 13" xfId="1168"/>
    <cellStyle name="S8 14" xfId="1169"/>
    <cellStyle name="S8 15" xfId="1170"/>
    <cellStyle name="S8 16" xfId="1171"/>
    <cellStyle name="S8 2" xfId="1172"/>
    <cellStyle name="S8 3" xfId="1173"/>
    <cellStyle name="S8 4" xfId="1174"/>
    <cellStyle name="S8 5" xfId="1175"/>
    <cellStyle name="S8 5 2" xfId="1176"/>
    <cellStyle name="S8 6" xfId="1177"/>
    <cellStyle name="S8 7" xfId="1178"/>
    <cellStyle name="S8 8" xfId="1179"/>
    <cellStyle name="S8 8 2" xfId="1180"/>
    <cellStyle name="S8 8 3" xfId="1181"/>
    <cellStyle name="S8 9" xfId="1182"/>
    <cellStyle name="S8 9 2" xfId="1183"/>
    <cellStyle name="S8_Pembelian" xfId="1184"/>
    <cellStyle name="S9" xfId="1185"/>
    <cellStyle name="S9 10" xfId="1186"/>
    <cellStyle name="S9 11" xfId="1187"/>
    <cellStyle name="S9 11 2" xfId="1188"/>
    <cellStyle name="S9 12" xfId="1189"/>
    <cellStyle name="S9 13" xfId="1190"/>
    <cellStyle name="S9 14" xfId="1191"/>
    <cellStyle name="S9 15" xfId="1192"/>
    <cellStyle name="S9 16" xfId="1193"/>
    <cellStyle name="S9 17" xfId="1194"/>
    <cellStyle name="S9 2" xfId="1195"/>
    <cellStyle name="S9 3" xfId="1196"/>
    <cellStyle name="S9 4" xfId="1197"/>
    <cellStyle name="S9 5" xfId="1198"/>
    <cellStyle name="S9 6" xfId="1199"/>
    <cellStyle name="S9 7" xfId="1200"/>
    <cellStyle name="S9 8" xfId="1201"/>
    <cellStyle name="S9 9" xfId="1202"/>
    <cellStyle name="S9_Pembelian" xfId="1203"/>
  </cellStyles>
  <dxfs count="694"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29637</xdr:colOff>
      <xdr:row>2</xdr:row>
      <xdr:rowOff>19051</xdr:rowOff>
    </xdr:from>
    <xdr:to>
      <xdr:col>0</xdr:col>
      <xdr:colOff>357721</xdr:colOff>
      <xdr:row>2</xdr:row>
      <xdr:rowOff>304801</xdr:rowOff>
    </xdr:to>
    <xdr:sp macro="" textlink="">
      <xdr:nvSpPr>
        <xdr:cNvPr id="2" name="Oval 1">
          <a:extLst>
            <a:ext uri="{FF2B5EF4-FFF2-40B4-BE49-F238E27FC236}">
              <a16:creationId xmlns="" xmlns:a16="http://schemas.microsoft.com/office/drawing/2014/main" id="{00000000-0008-0000-0500-000011000000}"/>
            </a:ext>
          </a:extLst>
        </xdr:cNvPr>
        <xdr:cNvSpPr/>
      </xdr:nvSpPr>
      <xdr:spPr>
        <a:xfrm>
          <a:off x="86787" y="3800476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  <xdr:twoCellAnchor>
    <xdr:from>
      <xdr:col>0</xdr:col>
      <xdr:colOff>0</xdr:colOff>
      <xdr:row>8</xdr:row>
      <xdr:rowOff>19050</xdr:rowOff>
    </xdr:from>
    <xdr:to>
      <xdr:col>0</xdr:col>
      <xdr:colOff>328084</xdr:colOff>
      <xdr:row>9</xdr:row>
      <xdr:rowOff>114300</xdr:rowOff>
    </xdr:to>
    <xdr:sp macro="" textlink="">
      <xdr:nvSpPr>
        <xdr:cNvPr id="3" name="Oval 2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/>
      </xdr:nvSpPr>
      <xdr:spPr>
        <a:xfrm>
          <a:off x="171450" y="4191000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rget%20Bulanan/2.%20Target%20Februa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IYA/Target%20Bulanan/3.%20Target%20Mar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</sheetNames>
    <sheetDataSet>
      <sheetData sheetId="0">
        <row r="12">
          <cell r="E12" t="str">
            <v>Andri Pristianto</v>
          </cell>
          <cell r="I12">
            <v>903500</v>
          </cell>
          <cell r="L12">
            <v>0</v>
          </cell>
          <cell r="M12">
            <v>903500</v>
          </cell>
        </row>
        <row r="13">
          <cell r="E13" t="str">
            <v>Benih Citra Asia, PT</v>
          </cell>
          <cell r="I13">
            <v>1920000</v>
          </cell>
          <cell r="L13">
            <v>0</v>
          </cell>
          <cell r="M13">
            <v>1920000</v>
          </cell>
        </row>
        <row r="14">
          <cell r="E14" t="str">
            <v>Benih Citra Asia, PT</v>
          </cell>
          <cell r="I14">
            <v>21000</v>
          </cell>
          <cell r="L14">
            <v>0</v>
          </cell>
          <cell r="M14">
            <v>21000</v>
          </cell>
        </row>
        <row r="15">
          <cell r="E15" t="str">
            <v>Han Cin</v>
          </cell>
          <cell r="I15">
            <v>8452500</v>
          </cell>
          <cell r="L15">
            <v>0</v>
          </cell>
          <cell r="M15">
            <v>8452500</v>
          </cell>
        </row>
        <row r="16">
          <cell r="E16" t="str">
            <v>Han Cin</v>
          </cell>
          <cell r="I16">
            <v>20845000</v>
          </cell>
          <cell r="L16">
            <v>0</v>
          </cell>
          <cell r="M16">
            <v>20845000</v>
          </cell>
        </row>
        <row r="17">
          <cell r="E17" t="str">
            <v>Helmi Sarwoko</v>
          </cell>
          <cell r="I17">
            <v>13480000</v>
          </cell>
          <cell r="L17">
            <v>0</v>
          </cell>
          <cell r="M17">
            <v>13480000</v>
          </cell>
        </row>
        <row r="18">
          <cell r="E18" t="str">
            <v>Helmi Sarwoko</v>
          </cell>
          <cell r="I18">
            <v>4650000</v>
          </cell>
          <cell r="L18">
            <v>0</v>
          </cell>
          <cell r="M18">
            <v>4650000</v>
          </cell>
        </row>
        <row r="19">
          <cell r="L19">
            <v>0</v>
          </cell>
          <cell r="M19">
            <v>0</v>
          </cell>
        </row>
        <row r="20">
          <cell r="L20">
            <v>0</v>
          </cell>
          <cell r="M20">
            <v>0</v>
          </cell>
        </row>
        <row r="21">
          <cell r="L21">
            <v>0</v>
          </cell>
          <cell r="M21">
            <v>0</v>
          </cell>
        </row>
        <row r="22">
          <cell r="L22">
            <v>0</v>
          </cell>
          <cell r="M22">
            <v>0</v>
          </cell>
        </row>
        <row r="23">
          <cell r="L23">
            <v>0</v>
          </cell>
          <cell r="M23">
            <v>0</v>
          </cell>
        </row>
        <row r="24">
          <cell r="L24">
            <v>0</v>
          </cell>
          <cell r="M24">
            <v>0</v>
          </cell>
        </row>
        <row r="25">
          <cell r="L25">
            <v>0</v>
          </cell>
          <cell r="M25">
            <v>0</v>
          </cell>
        </row>
        <row r="26">
          <cell r="L26">
            <v>0</v>
          </cell>
          <cell r="M26">
            <v>0</v>
          </cell>
        </row>
        <row r="27">
          <cell r="L27">
            <v>0</v>
          </cell>
          <cell r="M27">
            <v>0</v>
          </cell>
        </row>
        <row r="28">
          <cell r="L28">
            <v>0</v>
          </cell>
          <cell r="M28">
            <v>0</v>
          </cell>
        </row>
        <row r="29">
          <cell r="L29">
            <v>0</v>
          </cell>
          <cell r="M29">
            <v>0</v>
          </cell>
        </row>
        <row r="30">
          <cell r="L30">
            <v>0</v>
          </cell>
          <cell r="M30">
            <v>0</v>
          </cell>
        </row>
        <row r="31">
          <cell r="E31" t="str">
            <v>Kalatham, PT</v>
          </cell>
          <cell r="I31">
            <v>121297750</v>
          </cell>
          <cell r="L31">
            <v>0</v>
          </cell>
          <cell r="M31">
            <v>121297750</v>
          </cell>
        </row>
        <row r="32">
          <cell r="E32" t="str">
            <v>Kalatham, PT</v>
          </cell>
          <cell r="I32">
            <v>35564000</v>
          </cell>
          <cell r="L32">
            <v>0</v>
          </cell>
          <cell r="M32">
            <v>35564000</v>
          </cell>
        </row>
        <row r="33">
          <cell r="E33" t="str">
            <v>Nugroho Idi Sasetyo</v>
          </cell>
          <cell r="I33">
            <v>19755000</v>
          </cell>
          <cell r="L33">
            <v>0</v>
          </cell>
          <cell r="M33">
            <v>19755000</v>
          </cell>
        </row>
        <row r="34">
          <cell r="E34" t="str">
            <v>Nugroho Idi Sasetyo</v>
          </cell>
          <cell r="I34">
            <v>22350000</v>
          </cell>
          <cell r="L34">
            <v>0</v>
          </cell>
          <cell r="M34">
            <v>22350000</v>
          </cell>
        </row>
        <row r="35">
          <cell r="E35" t="str">
            <v>Nugroho Susilo/MSI</v>
          </cell>
          <cell r="I35">
            <v>15089000</v>
          </cell>
          <cell r="L35">
            <v>0</v>
          </cell>
          <cell r="M35">
            <v>15089000</v>
          </cell>
        </row>
        <row r="36">
          <cell r="E36" t="str">
            <v>Sumber Makmur/Agus Winoto</v>
          </cell>
          <cell r="I36">
            <v>5583000</v>
          </cell>
          <cell r="L36">
            <v>0</v>
          </cell>
          <cell r="M36">
            <v>5583000</v>
          </cell>
        </row>
        <row r="37">
          <cell r="E37" t="str">
            <v>Al Badar/Badar, H</v>
          </cell>
          <cell r="I37">
            <v>1680000</v>
          </cell>
          <cell r="L37">
            <v>0</v>
          </cell>
          <cell r="M37">
            <v>1680000</v>
          </cell>
        </row>
        <row r="38">
          <cell r="E38" t="str">
            <v>Al Badar/Badar, H</v>
          </cell>
          <cell r="I38">
            <v>540000</v>
          </cell>
          <cell r="L38">
            <v>0</v>
          </cell>
          <cell r="M38">
            <v>540000</v>
          </cell>
        </row>
        <row r="39">
          <cell r="E39" t="str">
            <v>Al Badar/Badar, H</v>
          </cell>
          <cell r="I39">
            <v>5260000</v>
          </cell>
          <cell r="L39">
            <v>0</v>
          </cell>
          <cell r="M39">
            <v>5260000</v>
          </cell>
        </row>
        <row r="40">
          <cell r="E40" t="str">
            <v>Aris/Tanindo</v>
          </cell>
          <cell r="I40">
            <v>18000000</v>
          </cell>
          <cell r="L40">
            <v>0</v>
          </cell>
          <cell r="M40">
            <v>18000000</v>
          </cell>
        </row>
        <row r="41">
          <cell r="E41" t="str">
            <v>Bima Tani Jaya/Kevin Pratama</v>
          </cell>
          <cell r="I41">
            <v>3800000</v>
          </cell>
          <cell r="L41">
            <v>0</v>
          </cell>
          <cell r="M41">
            <v>3800000</v>
          </cell>
        </row>
        <row r="42">
          <cell r="E42" t="str">
            <v>Bima Tani Jaya/Kevin Pratama</v>
          </cell>
          <cell r="I42">
            <v>9000000</v>
          </cell>
          <cell r="L42">
            <v>9000000</v>
          </cell>
          <cell r="M42">
            <v>0</v>
          </cell>
        </row>
        <row r="43">
          <cell r="E43" t="str">
            <v>Bima Tani Jaya/Kevin Pratama</v>
          </cell>
          <cell r="I43">
            <v>1950000</v>
          </cell>
          <cell r="L43">
            <v>0</v>
          </cell>
          <cell r="M43">
            <v>1950000</v>
          </cell>
        </row>
        <row r="44">
          <cell r="E44" t="str">
            <v>Bima Tani Jaya/Kevin Pratama</v>
          </cell>
          <cell r="I44">
            <v>10060000</v>
          </cell>
          <cell r="L44">
            <v>0</v>
          </cell>
          <cell r="M44">
            <v>10060000</v>
          </cell>
        </row>
        <row r="45">
          <cell r="E45" t="str">
            <v>Bima Tani Jaya/Kevin Pratama</v>
          </cell>
          <cell r="I45">
            <v>1365000</v>
          </cell>
          <cell r="L45">
            <v>0</v>
          </cell>
          <cell r="M45">
            <v>1365000</v>
          </cell>
        </row>
        <row r="46">
          <cell r="E46" t="str">
            <v>Bima Tani Jaya/Kevin Pratama</v>
          </cell>
          <cell r="I46">
            <v>6800000</v>
          </cell>
          <cell r="L46">
            <v>0</v>
          </cell>
          <cell r="M46">
            <v>6800000</v>
          </cell>
        </row>
        <row r="47">
          <cell r="E47" t="str">
            <v>Bima Tani Jaya/Kevin Pratama</v>
          </cell>
          <cell r="I47">
            <v>3780000</v>
          </cell>
          <cell r="L47">
            <v>0</v>
          </cell>
          <cell r="M47">
            <v>3780000</v>
          </cell>
        </row>
        <row r="48">
          <cell r="E48" t="str">
            <v>Bima Tani Jaya/Kevin Pratama</v>
          </cell>
          <cell r="I48">
            <v>3400000</v>
          </cell>
          <cell r="L48">
            <v>0</v>
          </cell>
          <cell r="M48">
            <v>3400000</v>
          </cell>
        </row>
        <row r="49">
          <cell r="E49" t="str">
            <v>Bima Tani Jaya/Kevin Pratama</v>
          </cell>
          <cell r="I49">
            <v>9500000</v>
          </cell>
          <cell r="L49">
            <v>0</v>
          </cell>
          <cell r="M49">
            <v>9500000</v>
          </cell>
        </row>
        <row r="50">
          <cell r="E50" t="str">
            <v>Bima Tani Jaya/Kevin Pratama</v>
          </cell>
          <cell r="I50">
            <v>225000</v>
          </cell>
          <cell r="L50">
            <v>0</v>
          </cell>
          <cell r="M50">
            <v>225000</v>
          </cell>
        </row>
        <row r="51">
          <cell r="E51" t="str">
            <v>Bima Tani Jaya/Kevin Pratama</v>
          </cell>
          <cell r="I51">
            <v>5700000</v>
          </cell>
          <cell r="L51">
            <v>0</v>
          </cell>
          <cell r="M51">
            <v>5700000</v>
          </cell>
        </row>
        <row r="52">
          <cell r="E52" t="str">
            <v>Bima Tani Jaya/Kevin Pratama</v>
          </cell>
          <cell r="I52">
            <v>9000000</v>
          </cell>
          <cell r="L52">
            <v>0</v>
          </cell>
          <cell r="M52">
            <v>9000000</v>
          </cell>
        </row>
        <row r="53">
          <cell r="E53" t="str">
            <v>Bima Tani Jaya/Kevin Pratama</v>
          </cell>
          <cell r="I53">
            <v>3800000</v>
          </cell>
          <cell r="L53">
            <v>0</v>
          </cell>
          <cell r="M53">
            <v>3800000</v>
          </cell>
        </row>
        <row r="54">
          <cell r="E54" t="str">
            <v>Bima Tani Jaya/Kevin Pratama</v>
          </cell>
          <cell r="I54">
            <v>2000000</v>
          </cell>
          <cell r="L54">
            <v>0</v>
          </cell>
          <cell r="M54">
            <v>2000000</v>
          </cell>
        </row>
        <row r="55">
          <cell r="E55" t="str">
            <v>Bima Tani Jaya/Kevin Pratama</v>
          </cell>
          <cell r="I55">
            <v>5100000</v>
          </cell>
          <cell r="L55">
            <v>0</v>
          </cell>
          <cell r="M55">
            <v>5100000</v>
          </cell>
        </row>
        <row r="56">
          <cell r="E56" t="str">
            <v>Bima Tani Jaya/Kevin Pratama</v>
          </cell>
          <cell r="I56">
            <v>11400000</v>
          </cell>
          <cell r="L56">
            <v>0</v>
          </cell>
          <cell r="M56">
            <v>11400000</v>
          </cell>
        </row>
        <row r="57">
          <cell r="E57" t="str">
            <v>Bima Tani Jaya/Kevin Pratama</v>
          </cell>
          <cell r="I57">
            <v>1150000</v>
          </cell>
          <cell r="L57">
            <v>0</v>
          </cell>
          <cell r="M57">
            <v>1150000</v>
          </cell>
        </row>
        <row r="58">
          <cell r="E58" t="str">
            <v>Bima Tani Jaya/Kevin Pratama</v>
          </cell>
          <cell r="I58">
            <v>9500000</v>
          </cell>
          <cell r="L58">
            <v>0</v>
          </cell>
          <cell r="M58">
            <v>9500000</v>
          </cell>
        </row>
        <row r="59">
          <cell r="E59" t="str">
            <v>Bima Tani Jaya/Kevin Pratama</v>
          </cell>
          <cell r="I59">
            <v>3400000</v>
          </cell>
          <cell r="L59">
            <v>0</v>
          </cell>
          <cell r="M59">
            <v>3400000</v>
          </cell>
        </row>
        <row r="60">
          <cell r="E60" t="str">
            <v>Bima Tani Jaya/Kevin Pratama</v>
          </cell>
          <cell r="I60">
            <v>1700000</v>
          </cell>
          <cell r="L60">
            <v>0</v>
          </cell>
          <cell r="M60">
            <v>1700000</v>
          </cell>
        </row>
        <row r="61">
          <cell r="E61" t="str">
            <v>Bumi Jaya, UD/Farida</v>
          </cell>
          <cell r="I61">
            <v>7031250</v>
          </cell>
          <cell r="L61">
            <v>0</v>
          </cell>
          <cell r="M61">
            <v>7031250</v>
          </cell>
        </row>
        <row r="62">
          <cell r="E62" t="str">
            <v>Cahaya Tani/Rudi</v>
          </cell>
          <cell r="I62">
            <v>1340000</v>
          </cell>
          <cell r="L62">
            <v>0</v>
          </cell>
          <cell r="M62">
            <v>1340000</v>
          </cell>
        </row>
        <row r="63">
          <cell r="E63" t="str">
            <v>Cahaya Tani/Rudi</v>
          </cell>
          <cell r="I63">
            <v>2300000</v>
          </cell>
          <cell r="L63">
            <v>0</v>
          </cell>
          <cell r="M63">
            <v>2300000</v>
          </cell>
        </row>
        <row r="64">
          <cell r="E64" t="str">
            <v>Damar Batur Nusantara</v>
          </cell>
          <cell r="I64">
            <v>46669500</v>
          </cell>
          <cell r="L64">
            <v>3500000</v>
          </cell>
          <cell r="M64">
            <v>43169500</v>
          </cell>
        </row>
        <row r="65">
          <cell r="E65" t="str">
            <v>Damar Batur Nusantara</v>
          </cell>
          <cell r="I65">
            <v>126000000</v>
          </cell>
          <cell r="L65">
            <v>0</v>
          </cell>
          <cell r="M65">
            <v>126000000</v>
          </cell>
        </row>
        <row r="66">
          <cell r="E66" t="str">
            <v>Damar Batur Nusantara</v>
          </cell>
          <cell r="I66">
            <v>2070000</v>
          </cell>
          <cell r="L66">
            <v>0</v>
          </cell>
          <cell r="M66">
            <v>2070000</v>
          </cell>
        </row>
        <row r="67">
          <cell r="E67" t="str">
            <v>Damar Batur Nusantara</v>
          </cell>
          <cell r="I67">
            <v>45000000</v>
          </cell>
          <cell r="L67">
            <v>0</v>
          </cell>
          <cell r="M67">
            <v>45000000</v>
          </cell>
        </row>
        <row r="68">
          <cell r="E68" t="str">
            <v>Damar Batur Nusantara</v>
          </cell>
          <cell r="I68">
            <v>3500000</v>
          </cell>
          <cell r="L68">
            <v>0</v>
          </cell>
          <cell r="M68">
            <v>3500000</v>
          </cell>
        </row>
        <row r="69">
          <cell r="E69" t="str">
            <v>Damar Batur Nusantara</v>
          </cell>
          <cell r="I69">
            <v>55500000</v>
          </cell>
          <cell r="L69">
            <v>0</v>
          </cell>
          <cell r="M69">
            <v>55500000</v>
          </cell>
        </row>
        <row r="70">
          <cell r="E70" t="str">
            <v>Damar Batur Nusantara</v>
          </cell>
          <cell r="I70">
            <v>76125000</v>
          </cell>
          <cell r="L70">
            <v>0</v>
          </cell>
          <cell r="M70">
            <v>76125000</v>
          </cell>
        </row>
        <row r="71">
          <cell r="E71" t="str">
            <v>Damar Batur Nusantara</v>
          </cell>
          <cell r="I71">
            <v>82605000</v>
          </cell>
          <cell r="L71">
            <v>0</v>
          </cell>
          <cell r="M71">
            <v>82605000</v>
          </cell>
        </row>
        <row r="72">
          <cell r="E72" t="str">
            <v>Damar Batur Nusantara</v>
          </cell>
          <cell r="I72">
            <v>49100000</v>
          </cell>
          <cell r="L72">
            <v>0</v>
          </cell>
          <cell r="M72">
            <v>49100000</v>
          </cell>
        </row>
        <row r="73">
          <cell r="E73" t="str">
            <v>Damar Batur Nusantara</v>
          </cell>
          <cell r="I73">
            <v>13300000</v>
          </cell>
          <cell r="L73">
            <v>0</v>
          </cell>
          <cell r="M73">
            <v>13300000</v>
          </cell>
        </row>
        <row r="74">
          <cell r="E74" t="str">
            <v>Damar Batur Nusantara</v>
          </cell>
          <cell r="I74">
            <v>15200000</v>
          </cell>
          <cell r="L74">
            <v>0</v>
          </cell>
          <cell r="M74">
            <v>15200000</v>
          </cell>
        </row>
        <row r="75">
          <cell r="E75" t="str">
            <v>Damar Batur Nusantara</v>
          </cell>
          <cell r="I75">
            <v>2700000</v>
          </cell>
          <cell r="L75">
            <v>0</v>
          </cell>
          <cell r="M75">
            <v>2700000</v>
          </cell>
        </row>
        <row r="76">
          <cell r="E76" t="str">
            <v>Damar Batur Nusantara</v>
          </cell>
          <cell r="I76">
            <v>5312500</v>
          </cell>
          <cell r="L76">
            <v>0</v>
          </cell>
          <cell r="M76">
            <v>5312500</v>
          </cell>
        </row>
        <row r="77">
          <cell r="E77" t="str">
            <v>Damar Batur Nusantara</v>
          </cell>
          <cell r="I77">
            <v>2880000</v>
          </cell>
          <cell r="L77">
            <v>0</v>
          </cell>
          <cell r="M77">
            <v>2880000</v>
          </cell>
        </row>
        <row r="78">
          <cell r="E78" t="str">
            <v>Damar Batur Nusantara</v>
          </cell>
          <cell r="I78">
            <v>13875000</v>
          </cell>
          <cell r="L78">
            <v>0</v>
          </cell>
          <cell r="M78">
            <v>13875000</v>
          </cell>
        </row>
        <row r="79">
          <cell r="E79" t="str">
            <v>Danu/Bayer</v>
          </cell>
          <cell r="I79">
            <v>1744750</v>
          </cell>
          <cell r="L79">
            <v>0</v>
          </cell>
          <cell r="M79">
            <v>1744750</v>
          </cell>
        </row>
        <row r="80">
          <cell r="E80" t="str">
            <v>Luhur Tani/M. Itqon</v>
          </cell>
          <cell r="I80">
            <v>5750000</v>
          </cell>
          <cell r="L80">
            <v>2500000</v>
          </cell>
          <cell r="M80">
            <v>3250000</v>
          </cell>
        </row>
        <row r="81">
          <cell r="E81" t="str">
            <v>Putra Tani/Muzaiyin</v>
          </cell>
          <cell r="I81">
            <v>960000</v>
          </cell>
          <cell r="L81">
            <v>0</v>
          </cell>
          <cell r="M81">
            <v>960000</v>
          </cell>
        </row>
        <row r="82">
          <cell r="E82" t="str">
            <v>Riski Tani/Hadi</v>
          </cell>
          <cell r="I82">
            <v>24100000</v>
          </cell>
          <cell r="L82">
            <v>0</v>
          </cell>
          <cell r="M82">
            <v>24100000</v>
          </cell>
        </row>
        <row r="83">
          <cell r="E83" t="str">
            <v>Al Badar/Badar, H</v>
          </cell>
          <cell r="I83">
            <v>1800000</v>
          </cell>
          <cell r="L83">
            <v>0</v>
          </cell>
          <cell r="M83">
            <v>1800000</v>
          </cell>
        </row>
        <row r="84">
          <cell r="E84" t="str">
            <v>Al Badar/Badar, H</v>
          </cell>
          <cell r="I84">
            <v>13416000</v>
          </cell>
          <cell r="L84">
            <v>0</v>
          </cell>
          <cell r="M84">
            <v>13416000</v>
          </cell>
        </row>
        <row r="85">
          <cell r="E85" t="str">
            <v>Al Badar/Badar, H</v>
          </cell>
          <cell r="I85">
            <v>2835000</v>
          </cell>
          <cell r="L85">
            <v>0</v>
          </cell>
          <cell r="M85">
            <v>2835000</v>
          </cell>
        </row>
        <row r="86">
          <cell r="E86" t="str">
            <v>Al Badar/Badar, H</v>
          </cell>
          <cell r="I86">
            <v>5540000</v>
          </cell>
          <cell r="L86">
            <v>0</v>
          </cell>
          <cell r="M86">
            <v>5540000</v>
          </cell>
        </row>
        <row r="87">
          <cell r="E87" t="str">
            <v>Al Badar/Badar, H</v>
          </cell>
          <cell r="I87">
            <v>8341000</v>
          </cell>
          <cell r="L87">
            <v>0</v>
          </cell>
          <cell r="M87">
            <v>8341000</v>
          </cell>
        </row>
        <row r="88">
          <cell r="E88" t="str">
            <v>Al Badar/Badar, H</v>
          </cell>
          <cell r="I88">
            <v>1720000</v>
          </cell>
          <cell r="L88">
            <v>0</v>
          </cell>
          <cell r="M88">
            <v>1720000</v>
          </cell>
        </row>
        <row r="89">
          <cell r="E89" t="str">
            <v>Al Badar/Badar, H</v>
          </cell>
          <cell r="I89">
            <v>1750000</v>
          </cell>
          <cell r="L89">
            <v>0</v>
          </cell>
          <cell r="M89">
            <v>1750000</v>
          </cell>
        </row>
        <row r="90">
          <cell r="E90" t="str">
            <v>Al Badar/Badar, H</v>
          </cell>
          <cell r="I90">
            <v>1800000</v>
          </cell>
          <cell r="L90">
            <v>0</v>
          </cell>
          <cell r="M90">
            <v>1800000</v>
          </cell>
        </row>
        <row r="91">
          <cell r="E91" t="str">
            <v>Al Badar/Badar, H</v>
          </cell>
          <cell r="I91">
            <v>1500000</v>
          </cell>
          <cell r="L91">
            <v>0</v>
          </cell>
          <cell r="M91">
            <v>1500000</v>
          </cell>
        </row>
        <row r="92">
          <cell r="E92" t="str">
            <v>Al Badar/Badar, H</v>
          </cell>
          <cell r="I92">
            <v>3360000</v>
          </cell>
          <cell r="L92">
            <v>0</v>
          </cell>
          <cell r="M92">
            <v>3360000</v>
          </cell>
        </row>
        <row r="93">
          <cell r="E93" t="str">
            <v>Al Badar/Badar, H</v>
          </cell>
          <cell r="I93">
            <v>4240000</v>
          </cell>
          <cell r="L93">
            <v>4240000</v>
          </cell>
          <cell r="M93">
            <v>0</v>
          </cell>
        </row>
        <row r="94">
          <cell r="E94" t="str">
            <v>Aminah Jaya Tani/Slamet</v>
          </cell>
          <cell r="I94">
            <v>1000000</v>
          </cell>
          <cell r="L94">
            <v>0</v>
          </cell>
          <cell r="M94">
            <v>1000000</v>
          </cell>
        </row>
        <row r="95">
          <cell r="E95" t="str">
            <v>Anggoro Makmur/Yayuk</v>
          </cell>
          <cell r="I95">
            <v>1480000</v>
          </cell>
          <cell r="L95">
            <v>1480000</v>
          </cell>
          <cell r="M95">
            <v>0</v>
          </cell>
        </row>
        <row r="96">
          <cell r="E96" t="str">
            <v>Bang Jali/Achmad Gozali</v>
          </cell>
          <cell r="I96">
            <v>5000000</v>
          </cell>
          <cell r="L96">
            <v>5000000</v>
          </cell>
          <cell r="M96">
            <v>0</v>
          </cell>
        </row>
        <row r="97">
          <cell r="E97" t="str">
            <v>Bang Jali/Achmad Gozali</v>
          </cell>
          <cell r="I97">
            <v>1926000</v>
          </cell>
          <cell r="L97">
            <v>0</v>
          </cell>
          <cell r="M97">
            <v>1926000</v>
          </cell>
        </row>
        <row r="98">
          <cell r="E98" t="str">
            <v>Bang Jali/Achmad Gozali</v>
          </cell>
          <cell r="I98">
            <v>5500000</v>
          </cell>
          <cell r="L98">
            <v>0</v>
          </cell>
          <cell r="M98">
            <v>5500000</v>
          </cell>
        </row>
        <row r="99">
          <cell r="E99" t="str">
            <v>Bang Jali/Achmad Gozali</v>
          </cell>
          <cell r="I99">
            <v>3720000</v>
          </cell>
          <cell r="L99">
            <v>0</v>
          </cell>
          <cell r="M99">
            <v>3720000</v>
          </cell>
        </row>
        <row r="100">
          <cell r="E100" t="str">
            <v>Bang Jali/Achmad Gozali</v>
          </cell>
          <cell r="I100">
            <v>25400000</v>
          </cell>
          <cell r="L100">
            <v>0</v>
          </cell>
          <cell r="M100">
            <v>25400000</v>
          </cell>
        </row>
        <row r="101">
          <cell r="E101" t="str">
            <v>Bejo Langgeng, Toko</v>
          </cell>
          <cell r="I101">
            <v>4600000</v>
          </cell>
          <cell r="L101">
            <v>2000000</v>
          </cell>
          <cell r="M101">
            <v>2600000</v>
          </cell>
        </row>
        <row r="102">
          <cell r="E102" t="str">
            <v>Berkah Kayra/Nuyun</v>
          </cell>
          <cell r="I102">
            <v>778500</v>
          </cell>
          <cell r="L102">
            <v>778500</v>
          </cell>
          <cell r="M102">
            <v>0</v>
          </cell>
        </row>
        <row r="103">
          <cell r="E103" t="str">
            <v>Berkah Kayra/Nuyun</v>
          </cell>
          <cell r="I103">
            <v>945000</v>
          </cell>
          <cell r="L103">
            <v>451500</v>
          </cell>
          <cell r="M103">
            <v>493500</v>
          </cell>
        </row>
        <row r="104">
          <cell r="E104" t="str">
            <v>Berkah Kayra/Nuyun</v>
          </cell>
          <cell r="I104">
            <v>520000</v>
          </cell>
          <cell r="L104">
            <v>0</v>
          </cell>
          <cell r="M104">
            <v>520000</v>
          </cell>
        </row>
        <row r="105">
          <cell r="E105" t="str">
            <v>Berkah Kayra/Nuyun</v>
          </cell>
          <cell r="I105">
            <v>560000</v>
          </cell>
          <cell r="L105">
            <v>0</v>
          </cell>
          <cell r="M105">
            <v>560000</v>
          </cell>
        </row>
        <row r="106">
          <cell r="E106" t="str">
            <v>Berkah Tani/Intan Sri</v>
          </cell>
          <cell r="I106">
            <v>2000000</v>
          </cell>
          <cell r="L106">
            <v>0</v>
          </cell>
          <cell r="M106">
            <v>2000000</v>
          </cell>
        </row>
        <row r="107">
          <cell r="E107" t="str">
            <v>Berkah Tani/Intan Sri</v>
          </cell>
          <cell r="I107">
            <v>4140000</v>
          </cell>
          <cell r="L107">
            <v>0</v>
          </cell>
          <cell r="M107">
            <v>4140000</v>
          </cell>
        </row>
        <row r="108">
          <cell r="E108" t="str">
            <v>Bima Tani Jaya/Kevin Pratama</v>
          </cell>
          <cell r="I108">
            <v>8620000</v>
          </cell>
          <cell r="L108">
            <v>0</v>
          </cell>
          <cell r="M108">
            <v>8620000</v>
          </cell>
        </row>
        <row r="109">
          <cell r="E109" t="str">
            <v>Bima Tani Jaya/Kevin Pratama</v>
          </cell>
          <cell r="I109">
            <v>13300000</v>
          </cell>
          <cell r="L109">
            <v>0</v>
          </cell>
          <cell r="M109">
            <v>13300000</v>
          </cell>
        </row>
        <row r="110">
          <cell r="E110" t="str">
            <v>Bima Tani Jaya/Kevin Pratama</v>
          </cell>
          <cell r="I110">
            <v>1717500</v>
          </cell>
          <cell r="L110">
            <v>0</v>
          </cell>
          <cell r="M110">
            <v>1717500</v>
          </cell>
        </row>
        <row r="111">
          <cell r="E111" t="str">
            <v>Bima Tani Jaya/Kevin Pratama</v>
          </cell>
          <cell r="I111">
            <v>674500</v>
          </cell>
          <cell r="L111">
            <v>0</v>
          </cell>
          <cell r="M111">
            <v>674500</v>
          </cell>
        </row>
        <row r="112">
          <cell r="E112" t="str">
            <v>Bima Tani Jaya/Kevin Pratama</v>
          </cell>
          <cell r="I112">
            <v>285000</v>
          </cell>
          <cell r="L112">
            <v>0</v>
          </cell>
          <cell r="M112">
            <v>285000</v>
          </cell>
        </row>
        <row r="113">
          <cell r="E113" t="str">
            <v>Bima Tani Jaya/Kevin Pratama</v>
          </cell>
          <cell r="I113">
            <v>462500</v>
          </cell>
          <cell r="L113">
            <v>0</v>
          </cell>
          <cell r="M113">
            <v>462500</v>
          </cell>
        </row>
        <row r="114">
          <cell r="E114" t="str">
            <v>Bima Tani Jaya/Kevin Pratama</v>
          </cell>
          <cell r="I114">
            <v>1950000</v>
          </cell>
          <cell r="L114">
            <v>0</v>
          </cell>
          <cell r="M114">
            <v>1950000</v>
          </cell>
        </row>
        <row r="115">
          <cell r="E115" t="str">
            <v>Bima Tani Jaya/Kevin Pratama</v>
          </cell>
          <cell r="I115">
            <v>1720000</v>
          </cell>
          <cell r="L115">
            <v>0</v>
          </cell>
          <cell r="M115">
            <v>1720000</v>
          </cell>
        </row>
        <row r="116">
          <cell r="E116" t="str">
            <v>Bima Tani Jaya/Kevin Pratama</v>
          </cell>
          <cell r="I116">
            <v>852000</v>
          </cell>
          <cell r="L116">
            <v>0</v>
          </cell>
          <cell r="M116">
            <v>852000</v>
          </cell>
        </row>
        <row r="117">
          <cell r="E117" t="str">
            <v>Bima Tani Jaya/Kevin Pratama</v>
          </cell>
          <cell r="I117">
            <v>1395000</v>
          </cell>
          <cell r="L117">
            <v>0</v>
          </cell>
          <cell r="M117">
            <v>1395000</v>
          </cell>
        </row>
        <row r="118">
          <cell r="E118" t="str">
            <v>Bima Tani Jaya/Kevin Pratama</v>
          </cell>
          <cell r="I118">
            <v>540000</v>
          </cell>
          <cell r="L118">
            <v>0</v>
          </cell>
          <cell r="M118">
            <v>540000</v>
          </cell>
        </row>
        <row r="119">
          <cell r="E119" t="str">
            <v>Bima Tani Jaya/Kevin Pratama</v>
          </cell>
          <cell r="I119">
            <v>2000000</v>
          </cell>
          <cell r="L119">
            <v>0</v>
          </cell>
          <cell r="M119">
            <v>2000000</v>
          </cell>
        </row>
        <row r="120">
          <cell r="E120" t="str">
            <v>Bima Tani Jaya/Kevin Pratama</v>
          </cell>
          <cell r="I120">
            <v>1900000</v>
          </cell>
          <cell r="L120">
            <v>0</v>
          </cell>
          <cell r="M120">
            <v>1900000</v>
          </cell>
        </row>
        <row r="121">
          <cell r="E121" t="str">
            <v>Bima Tani Jaya/Kevin Pratama</v>
          </cell>
          <cell r="I121">
            <v>1836000</v>
          </cell>
          <cell r="L121">
            <v>0</v>
          </cell>
          <cell r="M121">
            <v>1836000</v>
          </cell>
        </row>
        <row r="122">
          <cell r="E122" t="str">
            <v>Bima Tani Jaya/Kevin Pratama</v>
          </cell>
          <cell r="I122">
            <v>5700000</v>
          </cell>
          <cell r="L122">
            <v>0</v>
          </cell>
          <cell r="M122">
            <v>5700000</v>
          </cell>
        </row>
        <row r="123">
          <cell r="E123" t="str">
            <v>Bima Tani Jaya/Kevin Pratama</v>
          </cell>
          <cell r="I123">
            <v>955000</v>
          </cell>
          <cell r="L123">
            <v>0</v>
          </cell>
          <cell r="M123">
            <v>955000</v>
          </cell>
        </row>
        <row r="124">
          <cell r="E124" t="str">
            <v>Bima Tani Jaya/Kevin Pratama</v>
          </cell>
          <cell r="I124">
            <v>3960000</v>
          </cell>
          <cell r="L124">
            <v>0</v>
          </cell>
          <cell r="M124">
            <v>3960000</v>
          </cell>
        </row>
        <row r="125">
          <cell r="E125" t="str">
            <v>Bima Tani Jaya/Kevin Pratama</v>
          </cell>
          <cell r="I125">
            <v>20800000</v>
          </cell>
          <cell r="L125">
            <v>0</v>
          </cell>
          <cell r="M125">
            <v>20800000</v>
          </cell>
        </row>
        <row r="126">
          <cell r="E126" t="str">
            <v>Bima Tani Jaya/Kevin Pratama</v>
          </cell>
          <cell r="I126">
            <v>1260000</v>
          </cell>
          <cell r="L126">
            <v>0</v>
          </cell>
          <cell r="M126">
            <v>1260000</v>
          </cell>
        </row>
        <row r="127">
          <cell r="E127" t="str">
            <v>Bima Tani Jaya/Kevin Pratama</v>
          </cell>
          <cell r="I127">
            <v>4000000</v>
          </cell>
          <cell r="L127">
            <v>4000000</v>
          </cell>
          <cell r="M127">
            <v>0</v>
          </cell>
        </row>
        <row r="128">
          <cell r="E128" t="str">
            <v>Bima Tani Jaya/Kevin Pratama</v>
          </cell>
          <cell r="I128">
            <v>718000</v>
          </cell>
          <cell r="L128">
            <v>0</v>
          </cell>
          <cell r="M128">
            <v>718000</v>
          </cell>
        </row>
        <row r="129">
          <cell r="E129" t="str">
            <v>Bima Tani Jaya/Kevin Pratama</v>
          </cell>
          <cell r="I129">
            <v>1635000</v>
          </cell>
          <cell r="L129">
            <v>0</v>
          </cell>
          <cell r="M129">
            <v>1635000</v>
          </cell>
        </row>
        <row r="130">
          <cell r="E130" t="str">
            <v>Bima Tani Jaya/Kevin Pratama</v>
          </cell>
          <cell r="I130">
            <v>415000</v>
          </cell>
          <cell r="L130">
            <v>0</v>
          </cell>
          <cell r="M130">
            <v>415000</v>
          </cell>
        </row>
        <row r="131">
          <cell r="E131" t="str">
            <v>Bima Tani Jaya/Kevin Pratama</v>
          </cell>
          <cell r="I131">
            <v>2060000</v>
          </cell>
          <cell r="L131">
            <v>0</v>
          </cell>
          <cell r="M131">
            <v>2060000</v>
          </cell>
        </row>
        <row r="132">
          <cell r="E132" t="str">
            <v>Bima Tani Jaya/Kevin Pratama</v>
          </cell>
          <cell r="I132">
            <v>8400000</v>
          </cell>
          <cell r="L132">
            <v>0</v>
          </cell>
          <cell r="M132">
            <v>8400000</v>
          </cell>
        </row>
        <row r="133">
          <cell r="E133" t="str">
            <v>Bima Tani Jaya/Kevin Pratama</v>
          </cell>
          <cell r="I133">
            <v>1347500</v>
          </cell>
          <cell r="L133">
            <v>0</v>
          </cell>
          <cell r="M133">
            <v>1347500</v>
          </cell>
        </row>
        <row r="134">
          <cell r="E134" t="str">
            <v>Bima Tani Jaya/Kevin Pratama</v>
          </cell>
          <cell r="I134">
            <v>3720000</v>
          </cell>
          <cell r="L134">
            <v>0</v>
          </cell>
          <cell r="M134">
            <v>3720000</v>
          </cell>
        </row>
        <row r="135">
          <cell r="E135" t="str">
            <v>Bina Mandiri, UD/Nurul</v>
          </cell>
          <cell r="I135">
            <v>4300000</v>
          </cell>
          <cell r="L135">
            <v>2000000</v>
          </cell>
          <cell r="M135">
            <v>2300000</v>
          </cell>
        </row>
        <row r="136">
          <cell r="E136" t="str">
            <v>Bintang Sejahtera</v>
          </cell>
          <cell r="I136">
            <v>3840000</v>
          </cell>
          <cell r="L136">
            <v>3840000</v>
          </cell>
          <cell r="M136">
            <v>0</v>
          </cell>
        </row>
        <row r="137">
          <cell r="E137" t="str">
            <v>Bintang Sejahtera</v>
          </cell>
          <cell r="I137">
            <v>3870000</v>
          </cell>
          <cell r="L137">
            <v>3870000</v>
          </cell>
          <cell r="M137">
            <v>0</v>
          </cell>
        </row>
        <row r="138">
          <cell r="E138" t="str">
            <v>Bumi Jaya, UD/Farida</v>
          </cell>
          <cell r="I138">
            <v>28356000</v>
          </cell>
          <cell r="L138">
            <v>20000000</v>
          </cell>
          <cell r="M138">
            <v>8356000</v>
          </cell>
        </row>
        <row r="139">
          <cell r="E139" t="str">
            <v>Bumi Jaya, UD/Farida</v>
          </cell>
          <cell r="I139">
            <v>12940000</v>
          </cell>
          <cell r="L139">
            <v>12940000</v>
          </cell>
          <cell r="M139">
            <v>0</v>
          </cell>
        </row>
        <row r="140">
          <cell r="E140" t="str">
            <v>Bumi Jaya, UD/Farida</v>
          </cell>
          <cell r="I140">
            <v>2860000</v>
          </cell>
          <cell r="L140">
            <v>0</v>
          </cell>
          <cell r="M140">
            <v>2860000</v>
          </cell>
        </row>
        <row r="141">
          <cell r="E141" t="str">
            <v>Bumi Jaya, UD/Farida</v>
          </cell>
          <cell r="I141">
            <v>1540000</v>
          </cell>
          <cell r="L141">
            <v>0</v>
          </cell>
          <cell r="M141">
            <v>1540000</v>
          </cell>
        </row>
        <row r="142">
          <cell r="E142" t="str">
            <v>Bumi Jaya, UD/Farida</v>
          </cell>
          <cell r="I142">
            <v>21200000</v>
          </cell>
          <cell r="L142">
            <v>0</v>
          </cell>
          <cell r="M142">
            <v>21200000</v>
          </cell>
        </row>
        <row r="143">
          <cell r="E143" t="str">
            <v>Bumi Jaya, UD/Farida</v>
          </cell>
          <cell r="I143">
            <v>11000000</v>
          </cell>
          <cell r="L143">
            <v>0</v>
          </cell>
          <cell r="M143">
            <v>11000000</v>
          </cell>
        </row>
        <row r="144">
          <cell r="E144" t="str">
            <v>Bumi Jaya, UD/Farida</v>
          </cell>
          <cell r="I144">
            <v>3650000</v>
          </cell>
          <cell r="L144">
            <v>0</v>
          </cell>
          <cell r="M144">
            <v>3650000</v>
          </cell>
        </row>
        <row r="145">
          <cell r="E145" t="str">
            <v>Bumi Jaya, UD/Farida</v>
          </cell>
          <cell r="I145">
            <v>11640000</v>
          </cell>
          <cell r="L145">
            <v>0</v>
          </cell>
          <cell r="M145">
            <v>11640000</v>
          </cell>
        </row>
        <row r="146">
          <cell r="E146" t="str">
            <v>Bumi Jaya, UD/Farida</v>
          </cell>
          <cell r="I146">
            <v>11000000</v>
          </cell>
          <cell r="L146">
            <v>0</v>
          </cell>
          <cell r="M146">
            <v>11000000</v>
          </cell>
        </row>
        <row r="147">
          <cell r="E147" t="str">
            <v>Bumi Jaya, UD/Farida</v>
          </cell>
          <cell r="I147">
            <v>7000000</v>
          </cell>
          <cell r="L147">
            <v>0</v>
          </cell>
          <cell r="M147">
            <v>7000000</v>
          </cell>
        </row>
        <row r="148">
          <cell r="E148" t="str">
            <v>Bumi Jaya, UD/Farida</v>
          </cell>
          <cell r="I148">
            <v>3500000</v>
          </cell>
          <cell r="L148">
            <v>0</v>
          </cell>
          <cell r="M148">
            <v>3500000</v>
          </cell>
        </row>
        <row r="149">
          <cell r="E149" t="str">
            <v>Bumi Jaya, UD/Farida</v>
          </cell>
          <cell r="I149">
            <v>24720000</v>
          </cell>
          <cell r="L149">
            <v>0</v>
          </cell>
          <cell r="M149">
            <v>24720000</v>
          </cell>
        </row>
        <row r="150">
          <cell r="E150" t="str">
            <v>Bumi Jaya, UD/Farida</v>
          </cell>
          <cell r="I150">
            <v>10412500</v>
          </cell>
          <cell r="L150">
            <v>0</v>
          </cell>
          <cell r="M150">
            <v>10412500</v>
          </cell>
        </row>
        <row r="151">
          <cell r="E151" t="str">
            <v>Bumi Jaya, UD/Farida</v>
          </cell>
          <cell r="I151">
            <v>700000</v>
          </cell>
          <cell r="L151">
            <v>0</v>
          </cell>
          <cell r="M151">
            <v>700000</v>
          </cell>
        </row>
        <row r="152">
          <cell r="E152" t="str">
            <v>Bumi Jaya, UD/Farida</v>
          </cell>
          <cell r="I152">
            <v>1430000</v>
          </cell>
          <cell r="L152">
            <v>0</v>
          </cell>
          <cell r="M152">
            <v>1430000</v>
          </cell>
        </row>
        <row r="153">
          <cell r="E153" t="str">
            <v>Bursa Tani/Brian</v>
          </cell>
          <cell r="I153">
            <v>12360000</v>
          </cell>
          <cell r="L153">
            <v>12360000</v>
          </cell>
          <cell r="M153">
            <v>0</v>
          </cell>
        </row>
        <row r="154">
          <cell r="E154" t="str">
            <v>Cahaya Tani/Rudi</v>
          </cell>
          <cell r="I154">
            <v>6657500</v>
          </cell>
          <cell r="L154">
            <v>0</v>
          </cell>
          <cell r="M154">
            <v>6657500</v>
          </cell>
        </row>
        <row r="155">
          <cell r="E155" t="str">
            <v>Cahaya Tani/Rudi</v>
          </cell>
          <cell r="I155">
            <v>470000</v>
          </cell>
          <cell r="L155">
            <v>0</v>
          </cell>
          <cell r="M155">
            <v>470000</v>
          </cell>
        </row>
        <row r="156">
          <cell r="E156" t="str">
            <v>Culture Agritech Interzona, CV</v>
          </cell>
          <cell r="I156">
            <v>433000000</v>
          </cell>
          <cell r="L156">
            <v>433000000</v>
          </cell>
          <cell r="M156">
            <v>0</v>
          </cell>
        </row>
        <row r="157">
          <cell r="E157" t="str">
            <v>Culture Agritech Interzona, CV</v>
          </cell>
          <cell r="I157">
            <v>1900000</v>
          </cell>
          <cell r="L157">
            <v>1900000</v>
          </cell>
          <cell r="M157">
            <v>0</v>
          </cell>
        </row>
        <row r="158">
          <cell r="E158" t="str">
            <v>Damar Batur Nusantara</v>
          </cell>
          <cell r="I158">
            <v>3060000</v>
          </cell>
          <cell r="L158">
            <v>0</v>
          </cell>
          <cell r="M158">
            <v>3060000</v>
          </cell>
        </row>
        <row r="159">
          <cell r="E159" t="str">
            <v>Damar Batur Nusantara</v>
          </cell>
          <cell r="I159">
            <v>2250000</v>
          </cell>
          <cell r="L159">
            <v>0</v>
          </cell>
          <cell r="M159">
            <v>2250000</v>
          </cell>
        </row>
        <row r="160">
          <cell r="E160" t="str">
            <v>Damar Batur Nusantara</v>
          </cell>
          <cell r="I160">
            <v>27750000</v>
          </cell>
          <cell r="L160">
            <v>0</v>
          </cell>
          <cell r="M160">
            <v>27750000</v>
          </cell>
        </row>
        <row r="161">
          <cell r="E161" t="str">
            <v>Damar Batur Nusantara</v>
          </cell>
          <cell r="I161">
            <v>47500000</v>
          </cell>
          <cell r="L161">
            <v>0</v>
          </cell>
          <cell r="M161">
            <v>47500000</v>
          </cell>
        </row>
        <row r="162">
          <cell r="E162" t="str">
            <v>Damar Batur Nusantara</v>
          </cell>
          <cell r="I162">
            <v>5400000</v>
          </cell>
          <cell r="L162">
            <v>0</v>
          </cell>
          <cell r="M162">
            <v>5400000</v>
          </cell>
        </row>
        <row r="163">
          <cell r="E163" t="str">
            <v>Damar Batur Nusantara</v>
          </cell>
          <cell r="I163">
            <v>27750000</v>
          </cell>
          <cell r="L163">
            <v>0</v>
          </cell>
          <cell r="M163">
            <v>27750000</v>
          </cell>
        </row>
        <row r="164">
          <cell r="E164" t="str">
            <v>Damar Batur Nusantara</v>
          </cell>
          <cell r="I164">
            <v>14200000</v>
          </cell>
          <cell r="L164">
            <v>0</v>
          </cell>
          <cell r="M164">
            <v>14200000</v>
          </cell>
        </row>
        <row r="165">
          <cell r="E165" t="str">
            <v>Damar Batur Nusantara</v>
          </cell>
          <cell r="I165">
            <v>9450000</v>
          </cell>
          <cell r="L165">
            <v>0</v>
          </cell>
          <cell r="M165">
            <v>9450000</v>
          </cell>
        </row>
        <row r="166">
          <cell r="E166" t="str">
            <v>Damar Batur Nusantara</v>
          </cell>
          <cell r="I166">
            <v>96000000</v>
          </cell>
          <cell r="L166">
            <v>0</v>
          </cell>
          <cell r="M166">
            <v>96000000</v>
          </cell>
        </row>
        <row r="167">
          <cell r="E167" t="str">
            <v>Damar Batur Nusantara</v>
          </cell>
          <cell r="I167">
            <v>8180000</v>
          </cell>
          <cell r="L167">
            <v>0</v>
          </cell>
          <cell r="M167">
            <v>8180000</v>
          </cell>
        </row>
        <row r="168">
          <cell r="E168" t="str">
            <v>Damar Batur Nusantara</v>
          </cell>
          <cell r="I168">
            <v>5700000</v>
          </cell>
          <cell r="L168">
            <v>0</v>
          </cell>
          <cell r="M168">
            <v>5700000</v>
          </cell>
        </row>
        <row r="169">
          <cell r="E169" t="str">
            <v>Damar Batur Nusantara</v>
          </cell>
          <cell r="I169">
            <v>7200000</v>
          </cell>
          <cell r="L169">
            <v>0</v>
          </cell>
          <cell r="M169">
            <v>7200000</v>
          </cell>
        </row>
        <row r="170">
          <cell r="E170" t="str">
            <v>Damar Batur Nusantara</v>
          </cell>
          <cell r="I170">
            <v>2700000</v>
          </cell>
          <cell r="L170">
            <v>0</v>
          </cell>
          <cell r="M170">
            <v>2700000</v>
          </cell>
        </row>
        <row r="171">
          <cell r="E171" t="str">
            <v>Damar Batur Nusantara</v>
          </cell>
          <cell r="I171">
            <v>33000000</v>
          </cell>
          <cell r="L171">
            <v>0</v>
          </cell>
          <cell r="M171">
            <v>33000000</v>
          </cell>
        </row>
        <row r="172">
          <cell r="E172" t="str">
            <v>Damar Batur Nusantara</v>
          </cell>
          <cell r="I172">
            <v>17707500</v>
          </cell>
          <cell r="L172">
            <v>0</v>
          </cell>
          <cell r="M172">
            <v>17707500</v>
          </cell>
        </row>
        <row r="173">
          <cell r="E173" t="str">
            <v>Damar Batur Nusantara</v>
          </cell>
          <cell r="I173">
            <v>517500</v>
          </cell>
          <cell r="L173">
            <v>0</v>
          </cell>
          <cell r="M173">
            <v>517500</v>
          </cell>
        </row>
        <row r="174">
          <cell r="E174" t="str">
            <v>Damar Batur Nusantara</v>
          </cell>
          <cell r="I174">
            <v>5200000</v>
          </cell>
          <cell r="L174">
            <v>0</v>
          </cell>
          <cell r="M174">
            <v>5200000</v>
          </cell>
        </row>
        <row r="175">
          <cell r="E175" t="str">
            <v>Damar Batur Nusantara</v>
          </cell>
          <cell r="I175">
            <v>47500000</v>
          </cell>
          <cell r="L175">
            <v>0</v>
          </cell>
          <cell r="M175">
            <v>47500000</v>
          </cell>
        </row>
        <row r="176">
          <cell r="E176" t="str">
            <v>Damar Batur Nusantara</v>
          </cell>
          <cell r="I176">
            <v>2650000</v>
          </cell>
          <cell r="L176">
            <v>0</v>
          </cell>
          <cell r="M176">
            <v>2650000</v>
          </cell>
        </row>
        <row r="177">
          <cell r="E177" t="str">
            <v>Damar Batur Nusantara</v>
          </cell>
          <cell r="I177">
            <v>4980000</v>
          </cell>
          <cell r="L177">
            <v>0</v>
          </cell>
          <cell r="M177">
            <v>4980000</v>
          </cell>
        </row>
        <row r="178">
          <cell r="E178" t="str">
            <v>Damar Batur Nusantara</v>
          </cell>
          <cell r="I178">
            <v>155040000</v>
          </cell>
          <cell r="L178">
            <v>0</v>
          </cell>
          <cell r="M178">
            <v>155040000</v>
          </cell>
        </row>
        <row r="179">
          <cell r="E179" t="str">
            <v>Damar Batur Nusantara</v>
          </cell>
          <cell r="I179">
            <v>92500000</v>
          </cell>
          <cell r="L179">
            <v>92500000</v>
          </cell>
          <cell r="M179">
            <v>0</v>
          </cell>
        </row>
        <row r="180">
          <cell r="E180" t="str">
            <v>Damar Batur Nusantara</v>
          </cell>
          <cell r="I180">
            <v>9450000</v>
          </cell>
          <cell r="L180">
            <v>0</v>
          </cell>
          <cell r="M180">
            <v>9450000</v>
          </cell>
        </row>
        <row r="181">
          <cell r="E181" t="str">
            <v>Damar Batur Nusantara</v>
          </cell>
          <cell r="I181">
            <v>36000000</v>
          </cell>
          <cell r="L181">
            <v>0</v>
          </cell>
          <cell r="M181">
            <v>36000000</v>
          </cell>
        </row>
        <row r="182">
          <cell r="E182" t="str">
            <v>Damar Batur Nusantara</v>
          </cell>
          <cell r="I182">
            <v>5400000</v>
          </cell>
          <cell r="L182">
            <v>0</v>
          </cell>
          <cell r="M182">
            <v>5400000</v>
          </cell>
        </row>
        <row r="183">
          <cell r="E183" t="str">
            <v>Damar Batur Nusantara</v>
          </cell>
          <cell r="I183">
            <v>14000000</v>
          </cell>
          <cell r="L183">
            <v>14000000</v>
          </cell>
          <cell r="M183">
            <v>0</v>
          </cell>
        </row>
        <row r="184">
          <cell r="E184" t="str">
            <v>Dodik/Asiana</v>
          </cell>
          <cell r="I184">
            <v>9000000</v>
          </cell>
          <cell r="L184">
            <v>0</v>
          </cell>
          <cell r="M184">
            <v>9000000</v>
          </cell>
        </row>
        <row r="185">
          <cell r="E185" t="str">
            <v>Era Tani/Abdul Wakik</v>
          </cell>
          <cell r="I185">
            <v>2580000</v>
          </cell>
          <cell r="L185">
            <v>2580000</v>
          </cell>
          <cell r="M185">
            <v>0</v>
          </cell>
        </row>
        <row r="186">
          <cell r="E186" t="str">
            <v>Era Tani/Abdul Wakik</v>
          </cell>
          <cell r="I186">
            <v>4782500</v>
          </cell>
          <cell r="L186">
            <v>4782500</v>
          </cell>
          <cell r="M186">
            <v>0</v>
          </cell>
        </row>
        <row r="187">
          <cell r="E187" t="str">
            <v>Era Tani/Abdul Wakik</v>
          </cell>
          <cell r="I187">
            <v>1497500</v>
          </cell>
          <cell r="L187">
            <v>1497500</v>
          </cell>
          <cell r="M187">
            <v>0</v>
          </cell>
        </row>
        <row r="188">
          <cell r="E188" t="str">
            <v>Era Tani/Abdul Wakik</v>
          </cell>
          <cell r="I188">
            <v>1440000</v>
          </cell>
          <cell r="L188">
            <v>1440000</v>
          </cell>
          <cell r="M188">
            <v>0</v>
          </cell>
        </row>
        <row r="189">
          <cell r="E189" t="str">
            <v>Era Tani/Abdul Wakik</v>
          </cell>
          <cell r="I189">
            <v>5120000</v>
          </cell>
          <cell r="L189">
            <v>5120000</v>
          </cell>
          <cell r="M189">
            <v>0</v>
          </cell>
        </row>
        <row r="190">
          <cell r="E190" t="str">
            <v>F Nganjuk</v>
          </cell>
          <cell r="I190">
            <v>6000000</v>
          </cell>
          <cell r="L190">
            <v>6000000</v>
          </cell>
          <cell r="M190">
            <v>0</v>
          </cell>
        </row>
        <row r="191">
          <cell r="E191" t="str">
            <v>Fortuna Tani/Heru</v>
          </cell>
          <cell r="I191">
            <v>2025000</v>
          </cell>
          <cell r="L191">
            <v>0</v>
          </cell>
          <cell r="M191">
            <v>2025000</v>
          </cell>
        </row>
        <row r="192">
          <cell r="E192" t="str">
            <v>Griya Tani/Sri</v>
          </cell>
          <cell r="I192">
            <v>3862500</v>
          </cell>
          <cell r="L192">
            <v>0</v>
          </cell>
          <cell r="M192">
            <v>3862500</v>
          </cell>
        </row>
        <row r="193">
          <cell r="E193" t="str">
            <v>Harry Santoso</v>
          </cell>
          <cell r="I193">
            <v>4500000</v>
          </cell>
          <cell r="L193">
            <v>4500000</v>
          </cell>
          <cell r="M193">
            <v>0</v>
          </cell>
        </row>
        <row r="194">
          <cell r="E194" t="str">
            <v>Harry Santoso</v>
          </cell>
          <cell r="I194">
            <v>114250000</v>
          </cell>
          <cell r="L194">
            <v>114250000</v>
          </cell>
          <cell r="M194">
            <v>0</v>
          </cell>
        </row>
        <row r="195">
          <cell r="E195" t="str">
            <v>Harry Santoso</v>
          </cell>
          <cell r="I195">
            <v>124980500</v>
          </cell>
          <cell r="L195">
            <v>124980500</v>
          </cell>
          <cell r="M195">
            <v>0</v>
          </cell>
        </row>
        <row r="196">
          <cell r="E196" t="str">
            <v>Harry Santoso</v>
          </cell>
          <cell r="I196">
            <v>17305000</v>
          </cell>
          <cell r="L196">
            <v>17305000</v>
          </cell>
          <cell r="M196">
            <v>0</v>
          </cell>
        </row>
        <row r="197">
          <cell r="E197" t="str">
            <v>Harry Santoso</v>
          </cell>
          <cell r="I197">
            <v>88800000</v>
          </cell>
          <cell r="L197">
            <v>88800000</v>
          </cell>
          <cell r="M197">
            <v>0</v>
          </cell>
        </row>
        <row r="198">
          <cell r="E198" t="str">
            <v>Harry Santoso</v>
          </cell>
          <cell r="I198">
            <v>3840000</v>
          </cell>
          <cell r="L198">
            <v>3840000</v>
          </cell>
          <cell r="M198">
            <v>0</v>
          </cell>
        </row>
        <row r="199">
          <cell r="E199" t="str">
            <v>Harry Santoso</v>
          </cell>
          <cell r="I199">
            <v>46250000</v>
          </cell>
          <cell r="L199">
            <v>46250000</v>
          </cell>
          <cell r="M199">
            <v>0</v>
          </cell>
        </row>
        <row r="200">
          <cell r="E200" t="str">
            <v>Harry Santoso</v>
          </cell>
          <cell r="I200">
            <v>6750000</v>
          </cell>
          <cell r="L200">
            <v>6750000</v>
          </cell>
          <cell r="M200">
            <v>0</v>
          </cell>
        </row>
        <row r="201">
          <cell r="E201" t="str">
            <v>Harry Santoso</v>
          </cell>
          <cell r="I201">
            <v>6850000</v>
          </cell>
          <cell r="L201">
            <v>6850000</v>
          </cell>
          <cell r="M201">
            <v>0</v>
          </cell>
        </row>
        <row r="202">
          <cell r="E202" t="str">
            <v>Harry Santoso</v>
          </cell>
          <cell r="I202">
            <v>19905000</v>
          </cell>
          <cell r="L202">
            <v>19905000</v>
          </cell>
          <cell r="M202">
            <v>0</v>
          </cell>
        </row>
        <row r="203">
          <cell r="E203" t="str">
            <v>Harry Santoso</v>
          </cell>
          <cell r="I203">
            <v>25025000</v>
          </cell>
          <cell r="L203">
            <v>25025000</v>
          </cell>
          <cell r="M203">
            <v>0</v>
          </cell>
        </row>
        <row r="204">
          <cell r="E204" t="str">
            <v>Harry Santoso</v>
          </cell>
          <cell r="I204">
            <v>150000000</v>
          </cell>
          <cell r="L204">
            <v>150000000</v>
          </cell>
          <cell r="M204">
            <v>0</v>
          </cell>
        </row>
        <row r="205">
          <cell r="E205" t="str">
            <v>Harry Santoso</v>
          </cell>
          <cell r="I205">
            <v>670000</v>
          </cell>
          <cell r="L205">
            <v>670000</v>
          </cell>
          <cell r="M205">
            <v>0</v>
          </cell>
        </row>
        <row r="206">
          <cell r="E206" t="str">
            <v>Harry Santoso</v>
          </cell>
          <cell r="I206">
            <v>915000</v>
          </cell>
          <cell r="L206">
            <v>915000</v>
          </cell>
          <cell r="M206">
            <v>0</v>
          </cell>
        </row>
        <row r="207">
          <cell r="E207" t="str">
            <v>Harry Santoso</v>
          </cell>
          <cell r="I207">
            <v>190000</v>
          </cell>
          <cell r="L207">
            <v>190000</v>
          </cell>
          <cell r="M207">
            <v>0</v>
          </cell>
        </row>
        <row r="208">
          <cell r="E208" t="str">
            <v>Harry Santoso</v>
          </cell>
          <cell r="I208">
            <v>6750000</v>
          </cell>
          <cell r="L208">
            <v>6750000</v>
          </cell>
          <cell r="M208">
            <v>0</v>
          </cell>
        </row>
        <row r="209">
          <cell r="E209" t="str">
            <v>Harry Santoso</v>
          </cell>
          <cell r="I209">
            <v>114250000</v>
          </cell>
          <cell r="L209">
            <v>114250000</v>
          </cell>
          <cell r="M209">
            <v>0</v>
          </cell>
        </row>
        <row r="210">
          <cell r="E210" t="str">
            <v>Harry Santoso</v>
          </cell>
          <cell r="I210">
            <v>16080000</v>
          </cell>
          <cell r="L210">
            <v>16080000</v>
          </cell>
          <cell r="M210">
            <v>0</v>
          </cell>
        </row>
        <row r="211">
          <cell r="E211" t="str">
            <v>Harry Santoso</v>
          </cell>
          <cell r="I211">
            <v>12000000</v>
          </cell>
          <cell r="L211">
            <v>12000000</v>
          </cell>
          <cell r="M211">
            <v>0</v>
          </cell>
        </row>
        <row r="212">
          <cell r="E212" t="str">
            <v>Harry Santoso</v>
          </cell>
          <cell r="I212">
            <v>7830000</v>
          </cell>
          <cell r="L212">
            <v>7830000</v>
          </cell>
          <cell r="M212">
            <v>0</v>
          </cell>
        </row>
        <row r="213">
          <cell r="E213" t="str">
            <v>Harry Santoso</v>
          </cell>
          <cell r="I213">
            <v>24800000</v>
          </cell>
          <cell r="L213">
            <v>24800000</v>
          </cell>
          <cell r="M213">
            <v>0</v>
          </cell>
        </row>
        <row r="214">
          <cell r="E214" t="str">
            <v>Harry Santoso</v>
          </cell>
          <cell r="I214">
            <v>420000</v>
          </cell>
          <cell r="L214">
            <v>420000</v>
          </cell>
          <cell r="M214">
            <v>0</v>
          </cell>
        </row>
        <row r="215">
          <cell r="E215" t="str">
            <v>Harry Santoso</v>
          </cell>
          <cell r="I215">
            <v>190000</v>
          </cell>
          <cell r="L215">
            <v>190000</v>
          </cell>
          <cell r="M215">
            <v>0</v>
          </cell>
        </row>
        <row r="216">
          <cell r="E216" t="str">
            <v>Harry Santoso</v>
          </cell>
          <cell r="I216">
            <v>42000000</v>
          </cell>
          <cell r="L216">
            <v>42000000</v>
          </cell>
          <cell r="M216">
            <v>0</v>
          </cell>
        </row>
        <row r="217">
          <cell r="E217" t="str">
            <v>Harry Santoso</v>
          </cell>
          <cell r="I217">
            <v>80950000</v>
          </cell>
          <cell r="L217">
            <v>80950000</v>
          </cell>
          <cell r="M217">
            <v>0</v>
          </cell>
        </row>
        <row r="218">
          <cell r="E218" t="str">
            <v>Harry Santoso</v>
          </cell>
          <cell r="I218">
            <v>15000000</v>
          </cell>
          <cell r="L218">
            <v>15000000</v>
          </cell>
          <cell r="M218">
            <v>0</v>
          </cell>
        </row>
        <row r="219">
          <cell r="E219" t="str">
            <v>Harry Santoso</v>
          </cell>
          <cell r="I219">
            <v>46706000</v>
          </cell>
          <cell r="L219">
            <v>46706000</v>
          </cell>
          <cell r="M219">
            <v>0</v>
          </cell>
        </row>
        <row r="220">
          <cell r="E220" t="str">
            <v>Harry Santoso</v>
          </cell>
          <cell r="I220">
            <v>6940000</v>
          </cell>
          <cell r="L220">
            <v>6940000</v>
          </cell>
          <cell r="M220">
            <v>0</v>
          </cell>
        </row>
        <row r="221">
          <cell r="E221" t="str">
            <v>Harry Santoso</v>
          </cell>
          <cell r="I221">
            <v>15000000</v>
          </cell>
          <cell r="L221">
            <v>15000000</v>
          </cell>
          <cell r="M221">
            <v>0</v>
          </cell>
        </row>
        <row r="222">
          <cell r="E222" t="str">
            <v>Harry Santoso</v>
          </cell>
          <cell r="I222">
            <v>2925000</v>
          </cell>
          <cell r="L222">
            <v>2925000</v>
          </cell>
          <cell r="M222">
            <v>0</v>
          </cell>
        </row>
        <row r="223">
          <cell r="E223" t="str">
            <v>Harry Santoso</v>
          </cell>
          <cell r="I223">
            <v>95287500</v>
          </cell>
          <cell r="L223">
            <v>95287500</v>
          </cell>
          <cell r="M223">
            <v>0</v>
          </cell>
        </row>
        <row r="224">
          <cell r="E224" t="str">
            <v>Harry Santoso</v>
          </cell>
          <cell r="I224">
            <v>7800000</v>
          </cell>
          <cell r="L224">
            <v>7800000</v>
          </cell>
          <cell r="M224">
            <v>0</v>
          </cell>
        </row>
        <row r="225">
          <cell r="E225" t="str">
            <v>Harry Santoso</v>
          </cell>
          <cell r="I225">
            <v>12000000</v>
          </cell>
          <cell r="L225">
            <v>12000000</v>
          </cell>
          <cell r="M225">
            <v>0</v>
          </cell>
        </row>
        <row r="226">
          <cell r="E226" t="str">
            <v>Harry Santoso</v>
          </cell>
          <cell r="I226">
            <v>14770000</v>
          </cell>
          <cell r="L226">
            <v>14770000</v>
          </cell>
          <cell r="M226">
            <v>0</v>
          </cell>
        </row>
        <row r="227">
          <cell r="E227" t="str">
            <v>Harry Santoso</v>
          </cell>
          <cell r="I227">
            <v>3920000</v>
          </cell>
          <cell r="L227">
            <v>3920000</v>
          </cell>
          <cell r="M227">
            <v>0</v>
          </cell>
        </row>
        <row r="228">
          <cell r="E228" t="str">
            <v>Harry Santoso</v>
          </cell>
          <cell r="I228">
            <v>19800000</v>
          </cell>
          <cell r="L228">
            <v>19800000</v>
          </cell>
          <cell r="M228">
            <v>0</v>
          </cell>
        </row>
        <row r="229">
          <cell r="E229" t="str">
            <v>Harry Santoso</v>
          </cell>
          <cell r="I229">
            <v>4980000</v>
          </cell>
          <cell r="L229">
            <v>4980000</v>
          </cell>
          <cell r="M229">
            <v>0</v>
          </cell>
        </row>
        <row r="230">
          <cell r="E230" t="str">
            <v>Harry Santoso</v>
          </cell>
          <cell r="I230">
            <v>44675000</v>
          </cell>
          <cell r="L230">
            <v>44675000</v>
          </cell>
          <cell r="M230">
            <v>0</v>
          </cell>
        </row>
        <row r="231">
          <cell r="E231" t="str">
            <v>Harry Santoso</v>
          </cell>
          <cell r="I231">
            <v>7000000</v>
          </cell>
          <cell r="L231">
            <v>1361000</v>
          </cell>
          <cell r="M231">
            <v>5639000</v>
          </cell>
        </row>
        <row r="232">
          <cell r="E232" t="str">
            <v>Harry Santoso</v>
          </cell>
          <cell r="I232">
            <v>4200000</v>
          </cell>
          <cell r="L232">
            <v>0</v>
          </cell>
          <cell r="M232">
            <v>4200000</v>
          </cell>
        </row>
        <row r="233">
          <cell r="E233" t="str">
            <v>Harry Santoso</v>
          </cell>
          <cell r="I233">
            <v>8775000</v>
          </cell>
          <cell r="L233">
            <v>0</v>
          </cell>
          <cell r="M233">
            <v>8775000</v>
          </cell>
        </row>
        <row r="234">
          <cell r="E234" t="str">
            <v>Harry Santoso</v>
          </cell>
          <cell r="I234">
            <v>15000000</v>
          </cell>
          <cell r="L234">
            <v>0</v>
          </cell>
          <cell r="M234">
            <v>15000000</v>
          </cell>
        </row>
        <row r="235">
          <cell r="E235" t="str">
            <v>Harry Santoso</v>
          </cell>
          <cell r="I235">
            <v>14625000</v>
          </cell>
          <cell r="L235">
            <v>0</v>
          </cell>
          <cell r="M235">
            <v>14625000</v>
          </cell>
        </row>
        <row r="236">
          <cell r="E236" t="str">
            <v>Harry Santoso</v>
          </cell>
          <cell r="I236">
            <v>60125000</v>
          </cell>
          <cell r="L236">
            <v>0</v>
          </cell>
          <cell r="M236">
            <v>60125000</v>
          </cell>
        </row>
        <row r="237">
          <cell r="E237" t="str">
            <v>Harry Santoso</v>
          </cell>
          <cell r="I237">
            <v>32250000</v>
          </cell>
          <cell r="L237">
            <v>32250000</v>
          </cell>
          <cell r="M237">
            <v>0</v>
          </cell>
        </row>
        <row r="238">
          <cell r="E238" t="str">
            <v>Hasil Usaha, UD</v>
          </cell>
          <cell r="I238">
            <v>8500000</v>
          </cell>
          <cell r="L238">
            <v>8500000</v>
          </cell>
          <cell r="M238">
            <v>0</v>
          </cell>
        </row>
        <row r="239">
          <cell r="E239" t="str">
            <v>Hasil Usaha, UD</v>
          </cell>
          <cell r="I239">
            <v>13600000</v>
          </cell>
          <cell r="L239">
            <v>13600000</v>
          </cell>
          <cell r="M239">
            <v>0</v>
          </cell>
        </row>
        <row r="240">
          <cell r="E240" t="str">
            <v>Hasil Usaha, UD</v>
          </cell>
          <cell r="I240">
            <v>19500000</v>
          </cell>
          <cell r="L240">
            <v>19500000</v>
          </cell>
          <cell r="M240">
            <v>0</v>
          </cell>
        </row>
        <row r="241">
          <cell r="E241" t="str">
            <v>Hasil Usaha, UD</v>
          </cell>
          <cell r="I241">
            <v>13400000</v>
          </cell>
          <cell r="L241">
            <v>13400000</v>
          </cell>
          <cell r="M241">
            <v>0</v>
          </cell>
        </row>
        <row r="242">
          <cell r="E242" t="str">
            <v>Imam/Tanindo</v>
          </cell>
          <cell r="I242">
            <v>18000000</v>
          </cell>
          <cell r="L242">
            <v>0</v>
          </cell>
          <cell r="M242">
            <v>18000000</v>
          </cell>
        </row>
        <row r="243">
          <cell r="E243" t="str">
            <v>Ira Tani/Dani, H</v>
          </cell>
          <cell r="I243">
            <v>1680000</v>
          </cell>
          <cell r="L243">
            <v>0</v>
          </cell>
          <cell r="M243">
            <v>1680000</v>
          </cell>
        </row>
        <row r="244">
          <cell r="E244" t="str">
            <v>Ira Tani/Dani, H</v>
          </cell>
          <cell r="I244">
            <v>1500000</v>
          </cell>
          <cell r="L244">
            <v>0</v>
          </cell>
          <cell r="M244">
            <v>1500000</v>
          </cell>
        </row>
        <row r="245">
          <cell r="E245" t="str">
            <v>Lancar Barokah Tani/Abd Rosit</v>
          </cell>
          <cell r="I245">
            <v>3120000</v>
          </cell>
          <cell r="L245">
            <v>0</v>
          </cell>
          <cell r="M245">
            <v>3120000</v>
          </cell>
        </row>
        <row r="246">
          <cell r="E246" t="str">
            <v>Luhur Tani/M. Itqon</v>
          </cell>
          <cell r="I246">
            <v>2300000</v>
          </cell>
          <cell r="L246">
            <v>0</v>
          </cell>
          <cell r="M246">
            <v>2300000</v>
          </cell>
        </row>
        <row r="247">
          <cell r="E247" t="str">
            <v>Luhur Tani/M. Itqon</v>
          </cell>
          <cell r="I247">
            <v>6000000</v>
          </cell>
          <cell r="L247">
            <v>0</v>
          </cell>
          <cell r="M247">
            <v>6000000</v>
          </cell>
        </row>
        <row r="248">
          <cell r="E248" t="str">
            <v>Luhur Tani/M. Itqon</v>
          </cell>
          <cell r="I248">
            <v>3800000</v>
          </cell>
          <cell r="L248">
            <v>0</v>
          </cell>
          <cell r="M248">
            <v>3800000</v>
          </cell>
        </row>
        <row r="249">
          <cell r="E249" t="str">
            <v>Madya Tani/Halimatus</v>
          </cell>
          <cell r="I249">
            <v>53040000</v>
          </cell>
          <cell r="L249">
            <v>0</v>
          </cell>
          <cell r="M249">
            <v>53040000</v>
          </cell>
        </row>
        <row r="250">
          <cell r="E250" t="str">
            <v>Mahkota/Cik Cuan</v>
          </cell>
          <cell r="I250">
            <v>1700000</v>
          </cell>
          <cell r="L250">
            <v>1700000</v>
          </cell>
          <cell r="M250">
            <v>0</v>
          </cell>
        </row>
        <row r="251">
          <cell r="E251" t="str">
            <v>Mahkota/Cik Cuan</v>
          </cell>
          <cell r="I251">
            <v>2700000</v>
          </cell>
          <cell r="L251">
            <v>2700000</v>
          </cell>
          <cell r="M251">
            <v>0</v>
          </cell>
        </row>
        <row r="252">
          <cell r="E252" t="str">
            <v>Mahkota/Cik Cuan</v>
          </cell>
          <cell r="I252">
            <v>1900000</v>
          </cell>
          <cell r="L252">
            <v>1900000</v>
          </cell>
          <cell r="M252">
            <v>0</v>
          </cell>
        </row>
        <row r="253">
          <cell r="E253" t="str">
            <v>Mahkota/Cik Cuan</v>
          </cell>
          <cell r="I253">
            <v>9800000</v>
          </cell>
          <cell r="L253">
            <v>9800000</v>
          </cell>
          <cell r="M253">
            <v>0</v>
          </cell>
        </row>
        <row r="254">
          <cell r="E254" t="str">
            <v>Mahkota/Cik Cuan</v>
          </cell>
          <cell r="I254">
            <v>5925000</v>
          </cell>
          <cell r="L254">
            <v>5925000</v>
          </cell>
          <cell r="M254">
            <v>0</v>
          </cell>
        </row>
        <row r="255">
          <cell r="E255" t="str">
            <v>Mahkota/Cik Cuan</v>
          </cell>
          <cell r="I255">
            <v>5400000</v>
          </cell>
          <cell r="L255">
            <v>5400000</v>
          </cell>
          <cell r="M255">
            <v>0</v>
          </cell>
        </row>
        <row r="256">
          <cell r="E256" t="str">
            <v>Maju Tani/Dedi Kurniawan</v>
          </cell>
          <cell r="I256">
            <v>980000</v>
          </cell>
          <cell r="L256">
            <v>0</v>
          </cell>
          <cell r="M256">
            <v>980000</v>
          </cell>
        </row>
        <row r="257">
          <cell r="E257" t="str">
            <v>Merdeka Tani/Sugiono</v>
          </cell>
          <cell r="I257">
            <v>3520000</v>
          </cell>
          <cell r="L257">
            <v>0</v>
          </cell>
          <cell r="M257">
            <v>3520000</v>
          </cell>
        </row>
        <row r="258">
          <cell r="E258" t="str">
            <v>Merdeka Tani/Sugiono</v>
          </cell>
          <cell r="I258">
            <v>204000000</v>
          </cell>
          <cell r="L258">
            <v>0</v>
          </cell>
          <cell r="M258">
            <v>204000000</v>
          </cell>
        </row>
        <row r="259">
          <cell r="E259" t="str">
            <v>Merdeka Tani/Sugiono</v>
          </cell>
          <cell r="I259">
            <v>23662000</v>
          </cell>
          <cell r="L259">
            <v>0</v>
          </cell>
          <cell r="M259">
            <v>23662000</v>
          </cell>
        </row>
        <row r="260">
          <cell r="E260" t="str">
            <v>Merdeka Tani/Sugiono</v>
          </cell>
          <cell r="I260">
            <v>5400000</v>
          </cell>
          <cell r="L260">
            <v>0</v>
          </cell>
          <cell r="M260">
            <v>5400000</v>
          </cell>
        </row>
        <row r="261">
          <cell r="E261" t="str">
            <v>Merdeka Tani/Sugiono</v>
          </cell>
          <cell r="I261">
            <v>25600000</v>
          </cell>
          <cell r="L261">
            <v>0</v>
          </cell>
          <cell r="M261">
            <v>25600000</v>
          </cell>
        </row>
        <row r="262">
          <cell r="E262" t="str">
            <v>Permata, UD/Badar</v>
          </cell>
          <cell r="I262">
            <v>20640000</v>
          </cell>
          <cell r="L262">
            <v>0</v>
          </cell>
          <cell r="M262">
            <v>20640000</v>
          </cell>
        </row>
        <row r="263">
          <cell r="E263" t="str">
            <v>Permata, UD/Badar</v>
          </cell>
          <cell r="I263">
            <v>8690000</v>
          </cell>
          <cell r="L263">
            <v>8690000</v>
          </cell>
          <cell r="M263">
            <v>0</v>
          </cell>
        </row>
        <row r="264">
          <cell r="E264" t="str">
            <v>Permata, UD/Badar</v>
          </cell>
          <cell r="I264">
            <v>2760000</v>
          </cell>
          <cell r="L264">
            <v>2760000</v>
          </cell>
          <cell r="M264">
            <v>0</v>
          </cell>
        </row>
        <row r="265">
          <cell r="E265" t="str">
            <v>Permata, UD/Badar</v>
          </cell>
          <cell r="I265">
            <v>3400000</v>
          </cell>
          <cell r="L265">
            <v>3400000</v>
          </cell>
          <cell r="M265">
            <v>0</v>
          </cell>
        </row>
        <row r="266">
          <cell r="E266" t="str">
            <v>Permata, UD/Badar</v>
          </cell>
          <cell r="I266">
            <v>855000</v>
          </cell>
          <cell r="L266">
            <v>855000</v>
          </cell>
          <cell r="M266">
            <v>0</v>
          </cell>
        </row>
        <row r="267">
          <cell r="E267" t="str">
            <v>Permata, UD/Badar</v>
          </cell>
          <cell r="I267">
            <v>3300000</v>
          </cell>
          <cell r="L267">
            <v>3300000</v>
          </cell>
          <cell r="M267">
            <v>0</v>
          </cell>
        </row>
        <row r="268">
          <cell r="E268" t="str">
            <v>Permata, UD/Badar</v>
          </cell>
          <cell r="I268">
            <v>3500000</v>
          </cell>
          <cell r="L268">
            <v>3500000</v>
          </cell>
          <cell r="M268">
            <v>0</v>
          </cell>
        </row>
        <row r="269">
          <cell r="E269" t="str">
            <v>Permata, UD/Badar</v>
          </cell>
          <cell r="I269">
            <v>5535000</v>
          </cell>
          <cell r="L269">
            <v>5535000</v>
          </cell>
          <cell r="M269">
            <v>0</v>
          </cell>
        </row>
        <row r="270">
          <cell r="E270" t="str">
            <v>Puji Barokah Tani</v>
          </cell>
          <cell r="I270">
            <v>375000</v>
          </cell>
          <cell r="L270">
            <v>0</v>
          </cell>
          <cell r="M270">
            <v>375000</v>
          </cell>
        </row>
        <row r="271">
          <cell r="E271" t="str">
            <v>Puji Barokah Tani</v>
          </cell>
          <cell r="I271">
            <v>1700000</v>
          </cell>
          <cell r="L271">
            <v>0</v>
          </cell>
          <cell r="M271">
            <v>1700000</v>
          </cell>
        </row>
        <row r="272">
          <cell r="E272" t="str">
            <v>Putra Tani/Muzaiyin</v>
          </cell>
          <cell r="I272">
            <v>2200000</v>
          </cell>
          <cell r="L272">
            <v>0</v>
          </cell>
          <cell r="M272">
            <v>2200000</v>
          </cell>
        </row>
        <row r="273">
          <cell r="E273" t="str">
            <v>Raska, UD</v>
          </cell>
          <cell r="I273">
            <v>2076000</v>
          </cell>
          <cell r="L273">
            <v>2076000</v>
          </cell>
          <cell r="M273">
            <v>0</v>
          </cell>
        </row>
        <row r="274">
          <cell r="E274" t="str">
            <v>Raska, UD</v>
          </cell>
          <cell r="I274">
            <v>6420000</v>
          </cell>
          <cell r="L274">
            <v>0</v>
          </cell>
          <cell r="M274">
            <v>6420000</v>
          </cell>
        </row>
        <row r="275">
          <cell r="E275" t="str">
            <v>Rindi Tani</v>
          </cell>
          <cell r="I275">
            <v>2597800</v>
          </cell>
          <cell r="L275">
            <v>2597800</v>
          </cell>
          <cell r="M275">
            <v>0</v>
          </cell>
        </row>
        <row r="276">
          <cell r="E276" t="str">
            <v>Rindi Tani</v>
          </cell>
          <cell r="I276">
            <v>4542000</v>
          </cell>
          <cell r="L276">
            <v>0</v>
          </cell>
          <cell r="M276">
            <v>4542000</v>
          </cell>
        </row>
        <row r="277">
          <cell r="E277" t="str">
            <v>Riski Tani/Hadi</v>
          </cell>
          <cell r="I277">
            <v>19200000</v>
          </cell>
          <cell r="L277">
            <v>0</v>
          </cell>
          <cell r="M277">
            <v>19200000</v>
          </cell>
        </row>
        <row r="278">
          <cell r="E278" t="str">
            <v>Riski Tani/Hadi</v>
          </cell>
          <cell r="I278">
            <v>6200000</v>
          </cell>
          <cell r="L278">
            <v>0</v>
          </cell>
          <cell r="M278">
            <v>6200000</v>
          </cell>
        </row>
        <row r="279">
          <cell r="E279" t="str">
            <v>Riski Tani/Hadi</v>
          </cell>
          <cell r="I279">
            <v>8100000</v>
          </cell>
          <cell r="L279">
            <v>0</v>
          </cell>
          <cell r="M279">
            <v>8100000</v>
          </cell>
        </row>
        <row r="280">
          <cell r="E280" t="str">
            <v>Riski Tani/Hadi</v>
          </cell>
          <cell r="I280">
            <v>2000000</v>
          </cell>
          <cell r="L280">
            <v>0</v>
          </cell>
          <cell r="M280">
            <v>2000000</v>
          </cell>
        </row>
        <row r="281">
          <cell r="E281" t="str">
            <v>Riski Tani/Hadi</v>
          </cell>
          <cell r="I281">
            <v>10400000</v>
          </cell>
          <cell r="L281">
            <v>0</v>
          </cell>
          <cell r="M281">
            <v>10400000</v>
          </cell>
        </row>
        <row r="282">
          <cell r="E282" t="str">
            <v>Riski Tani/Hadi</v>
          </cell>
          <cell r="I282">
            <v>920000</v>
          </cell>
          <cell r="L282">
            <v>0</v>
          </cell>
          <cell r="M282">
            <v>920000</v>
          </cell>
        </row>
        <row r="283">
          <cell r="E283" t="str">
            <v>Riski Tani/Hadi</v>
          </cell>
          <cell r="I283">
            <v>5200000</v>
          </cell>
          <cell r="L283">
            <v>0</v>
          </cell>
          <cell r="M283">
            <v>5200000</v>
          </cell>
        </row>
        <row r="284">
          <cell r="E284" t="str">
            <v>Riski Tani/Hadi</v>
          </cell>
          <cell r="I284">
            <v>3800000</v>
          </cell>
          <cell r="L284">
            <v>0</v>
          </cell>
          <cell r="M284">
            <v>3800000</v>
          </cell>
        </row>
        <row r="285">
          <cell r="E285" t="str">
            <v>Riski Tani/Hadi</v>
          </cell>
          <cell r="I285">
            <v>3500000</v>
          </cell>
          <cell r="L285">
            <v>0</v>
          </cell>
          <cell r="M285">
            <v>3500000</v>
          </cell>
        </row>
        <row r="286">
          <cell r="E286" t="str">
            <v>Riski Tani/Hadi</v>
          </cell>
          <cell r="I286">
            <v>2962500</v>
          </cell>
          <cell r="L286">
            <v>0</v>
          </cell>
          <cell r="M286">
            <v>2962500</v>
          </cell>
        </row>
        <row r="287">
          <cell r="E287" t="str">
            <v>Riski Tani/Hadi</v>
          </cell>
          <cell r="I287">
            <v>5700000</v>
          </cell>
          <cell r="L287">
            <v>0</v>
          </cell>
          <cell r="M287">
            <v>5700000</v>
          </cell>
        </row>
        <row r="288">
          <cell r="E288" t="str">
            <v>Riski Tani/Hadi</v>
          </cell>
          <cell r="I288">
            <v>5420000</v>
          </cell>
          <cell r="L288">
            <v>0</v>
          </cell>
          <cell r="M288">
            <v>5420000</v>
          </cell>
        </row>
        <row r="289">
          <cell r="E289" t="str">
            <v>Riski Tani/Hadi</v>
          </cell>
          <cell r="I289">
            <v>17640000</v>
          </cell>
          <cell r="L289">
            <v>0</v>
          </cell>
          <cell r="M289">
            <v>17640000</v>
          </cell>
        </row>
        <row r="290">
          <cell r="E290" t="str">
            <v>Riski Tani/Hadi</v>
          </cell>
          <cell r="I290">
            <v>3500000</v>
          </cell>
          <cell r="L290">
            <v>0</v>
          </cell>
          <cell r="M290">
            <v>3500000</v>
          </cell>
        </row>
        <row r="291">
          <cell r="E291" t="str">
            <v>Riski Tani/Hadi</v>
          </cell>
          <cell r="I291">
            <v>1840000</v>
          </cell>
          <cell r="L291">
            <v>0</v>
          </cell>
          <cell r="M291">
            <v>1840000</v>
          </cell>
        </row>
        <row r="292">
          <cell r="E292" t="str">
            <v>Rizki, UD/Kusnyoto</v>
          </cell>
          <cell r="I292">
            <v>10400000</v>
          </cell>
          <cell r="L292">
            <v>2900000</v>
          </cell>
          <cell r="M292">
            <v>7500000</v>
          </cell>
        </row>
        <row r="293">
          <cell r="E293" t="str">
            <v>Sekumpul Tani/Nofal</v>
          </cell>
          <cell r="I293">
            <v>7000000</v>
          </cell>
          <cell r="L293">
            <v>0</v>
          </cell>
          <cell r="M293">
            <v>7000000</v>
          </cell>
        </row>
        <row r="294">
          <cell r="E294" t="str">
            <v>Semar/Wasto</v>
          </cell>
          <cell r="I294">
            <v>490000</v>
          </cell>
          <cell r="L294">
            <v>490000</v>
          </cell>
          <cell r="M294">
            <v>0</v>
          </cell>
        </row>
        <row r="295">
          <cell r="E295" t="str">
            <v>Semar/Wasto</v>
          </cell>
          <cell r="I295">
            <v>5272000</v>
          </cell>
          <cell r="L295">
            <v>5272000</v>
          </cell>
          <cell r="M295">
            <v>0</v>
          </cell>
        </row>
        <row r="296">
          <cell r="E296" t="str">
            <v>Sumber Tani/Eko Wardono</v>
          </cell>
          <cell r="I296">
            <v>8200000</v>
          </cell>
          <cell r="L296">
            <v>8200000</v>
          </cell>
          <cell r="M296">
            <v>0</v>
          </cell>
        </row>
        <row r="297">
          <cell r="E297" t="str">
            <v>Sumber Tani/Eko Wardono</v>
          </cell>
          <cell r="I297">
            <v>2640000</v>
          </cell>
          <cell r="L297">
            <v>2640000</v>
          </cell>
          <cell r="M297">
            <v>0</v>
          </cell>
        </row>
        <row r="298">
          <cell r="E298" t="str">
            <v>Sumber Tani/Eko Wardono</v>
          </cell>
          <cell r="I298">
            <v>9500000</v>
          </cell>
          <cell r="L298">
            <v>9500000</v>
          </cell>
          <cell r="M298">
            <v>0</v>
          </cell>
        </row>
        <row r="299">
          <cell r="E299" t="str">
            <v>Sumber Tani/Eko Wardono</v>
          </cell>
          <cell r="I299">
            <v>8210000</v>
          </cell>
          <cell r="L299">
            <v>0</v>
          </cell>
          <cell r="M299">
            <v>8210000</v>
          </cell>
        </row>
        <row r="300">
          <cell r="E300" t="str">
            <v>Sumber Tani/Eko Wardono</v>
          </cell>
          <cell r="I300">
            <v>1410000</v>
          </cell>
          <cell r="L300">
            <v>0</v>
          </cell>
          <cell r="M300">
            <v>1410000</v>
          </cell>
        </row>
        <row r="301">
          <cell r="E301" t="str">
            <v>Sumber Tani/Eko Wardono</v>
          </cell>
          <cell r="I301">
            <v>7730000</v>
          </cell>
          <cell r="L301">
            <v>0</v>
          </cell>
          <cell r="M301">
            <v>7730000</v>
          </cell>
        </row>
        <row r="302">
          <cell r="E302" t="str">
            <v>Sumber Tani/Eko Wardono</v>
          </cell>
          <cell r="I302">
            <v>7480000</v>
          </cell>
          <cell r="L302">
            <v>0</v>
          </cell>
          <cell r="M302">
            <v>7480000</v>
          </cell>
        </row>
        <row r="303">
          <cell r="E303" t="str">
            <v>Tani Jaya/Mul</v>
          </cell>
          <cell r="I303">
            <v>4525000</v>
          </cell>
          <cell r="L303">
            <v>4525000</v>
          </cell>
          <cell r="M303">
            <v>0</v>
          </cell>
        </row>
        <row r="304">
          <cell r="E304" t="str">
            <v>Tani Joss</v>
          </cell>
          <cell r="I304">
            <v>5968000</v>
          </cell>
          <cell r="L304">
            <v>0</v>
          </cell>
          <cell r="M304">
            <v>5968000</v>
          </cell>
        </row>
        <row r="305">
          <cell r="E305" t="str">
            <v>Tani Joss</v>
          </cell>
          <cell r="I305">
            <v>1510000</v>
          </cell>
          <cell r="L305">
            <v>0</v>
          </cell>
          <cell r="M305">
            <v>1510000</v>
          </cell>
        </row>
        <row r="306">
          <cell r="E306" t="str">
            <v>Tani Joss</v>
          </cell>
          <cell r="I306">
            <v>10803000</v>
          </cell>
          <cell r="L306">
            <v>0</v>
          </cell>
          <cell r="M306">
            <v>10803000</v>
          </cell>
        </row>
        <row r="307">
          <cell r="E307" t="str">
            <v>Tani Mulyo, UD/Bastian</v>
          </cell>
          <cell r="I307">
            <v>5100000</v>
          </cell>
          <cell r="L307">
            <v>0</v>
          </cell>
          <cell r="M307">
            <v>5100000</v>
          </cell>
        </row>
        <row r="308">
          <cell r="E308" t="str">
            <v>Tani Mulyo, UD/Bastian</v>
          </cell>
          <cell r="I308">
            <v>1965000</v>
          </cell>
          <cell r="L308">
            <v>0</v>
          </cell>
          <cell r="M308">
            <v>1965000</v>
          </cell>
        </row>
        <row r="309">
          <cell r="E309" t="str">
            <v>Tani Mulyo, UD/Bastian</v>
          </cell>
          <cell r="I309">
            <v>3090000</v>
          </cell>
          <cell r="L309">
            <v>0</v>
          </cell>
          <cell r="M309">
            <v>3090000</v>
          </cell>
        </row>
        <row r="310">
          <cell r="E310" t="str">
            <v>Tani Mulyo, UD/Bastian</v>
          </cell>
          <cell r="I310">
            <v>1960000</v>
          </cell>
          <cell r="L310">
            <v>0</v>
          </cell>
          <cell r="M310">
            <v>1960000</v>
          </cell>
        </row>
        <row r="311">
          <cell r="E311" t="str">
            <v>Tretan Tani/Anam</v>
          </cell>
          <cell r="I311">
            <v>6030000</v>
          </cell>
          <cell r="L311">
            <v>6030000</v>
          </cell>
          <cell r="M311">
            <v>0</v>
          </cell>
        </row>
        <row r="312">
          <cell r="E312" t="str">
            <v>Tretan Tani/Anam</v>
          </cell>
          <cell r="I312">
            <v>6030000</v>
          </cell>
          <cell r="L312">
            <v>6030000</v>
          </cell>
          <cell r="M312">
            <v>0</v>
          </cell>
        </row>
        <row r="313">
          <cell r="E313" t="str">
            <v>Usaha Tani/Maria (Rofiqi Asiana)</v>
          </cell>
          <cell r="I313">
            <v>3702000</v>
          </cell>
          <cell r="L313">
            <v>0</v>
          </cell>
          <cell r="M313">
            <v>3702000</v>
          </cell>
        </row>
        <row r="314">
          <cell r="E314" t="str">
            <v>Usaha Tani/Maria (Rofiqi Asiana)</v>
          </cell>
          <cell r="I314">
            <v>425000</v>
          </cell>
          <cell r="L314">
            <v>0</v>
          </cell>
          <cell r="M314">
            <v>425000</v>
          </cell>
        </row>
        <row r="315">
          <cell r="E315" t="str">
            <v>Wijaya/Retty</v>
          </cell>
          <cell r="I315">
            <v>3400000</v>
          </cell>
          <cell r="L315">
            <v>3400000</v>
          </cell>
          <cell r="M315">
            <v>0</v>
          </cell>
        </row>
        <row r="316">
          <cell r="E316" t="str">
            <v>Wira Tani, UD</v>
          </cell>
          <cell r="I316">
            <v>3885000</v>
          </cell>
          <cell r="L316">
            <v>0</v>
          </cell>
          <cell r="M316">
            <v>3885000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D25013604</v>
          </cell>
          <cell r="AP23">
            <v>0</v>
          </cell>
          <cell r="AQ23">
            <v>0</v>
          </cell>
          <cell r="AV23">
            <v>10000000</v>
          </cell>
        </row>
        <row r="24">
          <cell r="E24" t="str">
            <v>B25015898</v>
          </cell>
          <cell r="AP24">
            <v>0</v>
          </cell>
          <cell r="AQ24">
            <v>0</v>
          </cell>
          <cell r="AV24">
            <v>28420000</v>
          </cell>
        </row>
        <row r="25">
          <cell r="E25" t="str">
            <v>D25019533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B25017054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B25017068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B26000149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D26001878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B26001775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D25018816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B26000698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T26000040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T25000266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B25013635</v>
          </cell>
          <cell r="AP35">
            <v>0</v>
          </cell>
          <cell r="AQ35">
            <v>0</v>
          </cell>
          <cell r="AV35">
            <v>2000000</v>
          </cell>
        </row>
        <row r="36">
          <cell r="E36" t="str">
            <v>B25013636</v>
          </cell>
          <cell r="AP36">
            <v>0</v>
          </cell>
          <cell r="AQ36">
            <v>0</v>
          </cell>
          <cell r="AV36">
            <v>1000000</v>
          </cell>
        </row>
        <row r="37">
          <cell r="E37" t="str">
            <v>D25016962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B25016685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B26000153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R25000092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D26001073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D26001074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D26001946</v>
          </cell>
          <cell r="AP43">
            <v>0</v>
          </cell>
          <cell r="AQ43">
            <v>0</v>
          </cell>
          <cell r="AV43">
            <v>46000000</v>
          </cell>
        </row>
        <row r="44">
          <cell r="E44" t="str">
            <v>B25016283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B25016284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D26001142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D26000437</v>
          </cell>
          <cell r="AP47">
            <v>0</v>
          </cell>
          <cell r="AQ47">
            <v>0</v>
          </cell>
          <cell r="AV47">
            <v>24920000</v>
          </cell>
        </row>
        <row r="48">
          <cell r="E48" t="str">
            <v>D26000449</v>
          </cell>
          <cell r="AP48">
            <v>0</v>
          </cell>
          <cell r="AQ48">
            <v>0</v>
          </cell>
          <cell r="AV48">
            <v>8700000</v>
          </cell>
        </row>
        <row r="49">
          <cell r="E49" t="str">
            <v>D26001017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B26001350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D26002020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D26002074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D25019438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D26000375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B26000515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B26000670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B26001258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B26001259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B26001658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D26001772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B26001815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D26001968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B26001910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B25014427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B25015559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T25001844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D25016973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B25014356</v>
          </cell>
          <cell r="AP68">
            <v>0</v>
          </cell>
          <cell r="AQ68">
            <v>0</v>
          </cell>
          <cell r="AV68">
            <v>1695000</v>
          </cell>
        </row>
        <row r="69">
          <cell r="E69" t="str">
            <v>B25014813</v>
          </cell>
          <cell r="AP69">
            <v>0</v>
          </cell>
          <cell r="AQ69">
            <v>0</v>
          </cell>
          <cell r="AV69">
            <v>5000</v>
          </cell>
        </row>
        <row r="70">
          <cell r="E70" t="str">
            <v>B25015629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D25018878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T25001869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D26000099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B25016595</v>
          </cell>
          <cell r="AP74">
            <v>0</v>
          </cell>
          <cell r="AQ74">
            <v>0</v>
          </cell>
          <cell r="AV74">
            <v>5100000</v>
          </cell>
        </row>
        <row r="75">
          <cell r="E75" t="str">
            <v>D25019293</v>
          </cell>
          <cell r="AP75">
            <v>0</v>
          </cell>
          <cell r="AQ75">
            <v>0</v>
          </cell>
          <cell r="AV75">
            <v>2841000</v>
          </cell>
        </row>
        <row r="76">
          <cell r="E76" t="str">
            <v>B25016918</v>
          </cell>
          <cell r="AP76">
            <v>0</v>
          </cell>
          <cell r="AQ76">
            <v>0</v>
          </cell>
          <cell r="AV76">
            <v>23875000</v>
          </cell>
        </row>
        <row r="77">
          <cell r="E77" t="str">
            <v>B25016929</v>
          </cell>
          <cell r="AP77">
            <v>0</v>
          </cell>
          <cell r="AQ77">
            <v>0</v>
          </cell>
          <cell r="AV77">
            <v>1860000</v>
          </cell>
        </row>
        <row r="78">
          <cell r="E78" t="str">
            <v>B25016984</v>
          </cell>
          <cell r="AP78">
            <v>0</v>
          </cell>
          <cell r="AQ78">
            <v>0</v>
          </cell>
          <cell r="AV78">
            <v>1875000</v>
          </cell>
        </row>
        <row r="79">
          <cell r="E79" t="str">
            <v>D26000011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B26000193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D26000353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D26000354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B26000366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B26000620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B26000733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D26001015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B26001001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B26001078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B26001105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N26000013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D26001690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B26001706</v>
          </cell>
          <cell r="AP92">
            <v>0</v>
          </cell>
          <cell r="AQ92">
            <v>0</v>
          </cell>
          <cell r="AV92">
            <v>8437500</v>
          </cell>
        </row>
        <row r="93">
          <cell r="E93" t="str">
            <v>B26001707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B26001722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B26001797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B25016295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D26000143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D26000209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D26000789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B26000824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B26001115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B26001116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T26000098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D26001469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D26001603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B26000465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B26000466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B26000467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B26000468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B26000497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D26001028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B26001023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D26001110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D26001939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D26001940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B26001843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B25016839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D25019387</v>
          </cell>
          <cell r="AP118">
            <v>0</v>
          </cell>
          <cell r="AQ118">
            <v>0</v>
          </cell>
          <cell r="AV118">
            <v>1400000</v>
          </cell>
        </row>
        <row r="119">
          <cell r="E119" t="str">
            <v>B25016959</v>
          </cell>
          <cell r="AP119">
            <v>0</v>
          </cell>
          <cell r="AQ119">
            <v>0</v>
          </cell>
          <cell r="AV119">
            <v>2422500</v>
          </cell>
        </row>
        <row r="120">
          <cell r="E120" t="str">
            <v>D26000166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D26000191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B26000930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>
            <v>260008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B26001067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D26001141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B26001925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B26001948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D26002072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D25018521</v>
          </cell>
          <cell r="AP129">
            <v>0</v>
          </cell>
          <cell r="AQ129">
            <v>0</v>
          </cell>
          <cell r="AV129">
            <v>1350000</v>
          </cell>
        </row>
        <row r="130">
          <cell r="E130" t="str">
            <v>B25016305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D25019209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D25019322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B25016814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D25019425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B26000949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B26001134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D26001706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B25015209</v>
          </cell>
          <cell r="AP138">
            <v>0</v>
          </cell>
          <cell r="AQ138">
            <v>0</v>
          </cell>
          <cell r="AV138">
            <v>14850000</v>
          </cell>
        </row>
        <row r="139">
          <cell r="E139" t="str">
            <v>B25015334</v>
          </cell>
          <cell r="AP139">
            <v>0</v>
          </cell>
          <cell r="AQ139">
            <v>0</v>
          </cell>
          <cell r="AV139">
            <v>47500000</v>
          </cell>
        </row>
        <row r="140">
          <cell r="E140" t="str">
            <v>B25015337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D25018133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D25018782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D25019513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B26000096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B26000131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D26000074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D26000098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D26000109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D26000207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B26000766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D26001183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B26001162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B26001461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B26001838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D26000288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B26001492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D26001216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B26001011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B26001114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L23000053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D24005367</v>
          </cell>
          <cell r="AP161">
            <v>0</v>
          </cell>
          <cell r="AQ161">
            <v>0</v>
          </cell>
          <cell r="AV161">
            <v>1000000</v>
          </cell>
        </row>
        <row r="162">
          <cell r="E162" t="str">
            <v>D26000611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D25017086</v>
          </cell>
          <cell r="AP163">
            <v>0</v>
          </cell>
          <cell r="AQ163">
            <v>0</v>
          </cell>
          <cell r="AV163">
            <v>11240000</v>
          </cell>
        </row>
        <row r="164">
          <cell r="E164" t="str">
            <v>D25018288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B25016797</v>
          </cell>
          <cell r="AP165">
            <v>0</v>
          </cell>
          <cell r="AQ165">
            <v>0</v>
          </cell>
          <cell r="AV165">
            <v>18600000</v>
          </cell>
        </row>
        <row r="166">
          <cell r="E166" t="str">
            <v>B26000117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B26000136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D26000208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D26000330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B26000590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D26001033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D26001256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B26001599</v>
          </cell>
          <cell r="AP173">
            <v>0</v>
          </cell>
          <cell r="AQ173">
            <v>0</v>
          </cell>
          <cell r="AV173">
            <v>19400000</v>
          </cell>
        </row>
        <row r="174">
          <cell r="E174" t="str">
            <v>B26001705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D26001977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D25017360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B25015079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D25017962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D25018362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B25016342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D25018975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D25019037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D25019124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B25016713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D25019220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D25019249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D25019291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D25019449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B26000018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B26000036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D26000067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B26000277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B26000503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D26000639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D26000680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D26000704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D26001245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D26001249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D26001321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D26001350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B26001535</v>
          </cell>
          <cell r="AP201">
            <v>0</v>
          </cell>
          <cell r="AQ201">
            <v>0</v>
          </cell>
          <cell r="AV201">
            <v>4240000</v>
          </cell>
        </row>
        <row r="202">
          <cell r="E202" t="str">
            <v>D26001617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D26001965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D26000079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Z26000280</v>
          </cell>
          <cell r="AP205">
            <v>0</v>
          </cell>
          <cell r="AQ205">
            <v>0</v>
          </cell>
          <cell r="AV205">
            <v>1840000</v>
          </cell>
        </row>
        <row r="206">
          <cell r="E206" t="str">
            <v>Z26000281</v>
          </cell>
          <cell r="AP206">
            <v>0</v>
          </cell>
          <cell r="AQ206">
            <v>0</v>
          </cell>
          <cell r="AV206">
            <v>25200000</v>
          </cell>
        </row>
        <row r="207">
          <cell r="E207" t="str">
            <v>T25000256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D25013188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D25013189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D25014399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D25014400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D25014400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D25014401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D25014402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D25014565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D25015128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D25015391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D25015392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B25013376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B25013376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B25013377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D25015771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D25015841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D25015841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D25015855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D25016189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D25016189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D25016190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D25016190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D25016190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D25016191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D25016191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D25016191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D25016191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D25016198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D25016443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B25014324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B25014324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B25014325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B25014325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B25014326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B25014326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D25016655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D25016794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D25016795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D25016961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D25016961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D25016961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D25016963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D25016964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D25016964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D25016965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D25016965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D25016965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D25016965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D25017219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D25017219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D25017238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D25017238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D25017238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D25017238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D25017452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D25017452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D25017452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D25017452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D25017453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D25017788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D25017788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D25017788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D25017788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D25017789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D25017790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D25018075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D25018075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D25018075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D25018076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D25018076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D25018077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B25015852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D25018249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D25018249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D25018249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D25018249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D25018250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D25018468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D25018468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D25018468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D25018526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D25018526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D25018527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B25016302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B25016302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B25016302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B25016303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D25018894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D25018894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D25018894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D25018894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D25018895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D25018895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D25018895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D25018895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B25016442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D25019161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D25019167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D25019167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D25019260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D25019260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D25019260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D25019260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D25019261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D25019262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D25019262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D25019519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D25019519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D25019519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D25019519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D25019519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D25019520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D25019715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D25019715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D25019716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D25019716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D26000239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D26000239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D26000239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D26000240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D26000240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D26000543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D26000543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D26000543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D26000544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D26000544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D26000545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D26000545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D26000990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D26000990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D26000991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D26000991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D26000991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D26000992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D26000992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D26000992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D26001308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D26001308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D26001308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D26001309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D26001550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D26001550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D26001550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D26001550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D26001550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D26001551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D26001552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D26001552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D26001711</v>
          </cell>
          <cell r="AP356">
            <v>0</v>
          </cell>
          <cell r="AQ356">
            <v>50000000</v>
          </cell>
          <cell r="AV356">
            <v>0</v>
          </cell>
        </row>
        <row r="357">
          <cell r="E357" t="str">
            <v>D26001711</v>
          </cell>
          <cell r="AP357">
            <v>0</v>
          </cell>
          <cell r="AQ357">
            <v>35000000</v>
          </cell>
          <cell r="AV357">
            <v>0</v>
          </cell>
        </row>
        <row r="358">
          <cell r="E358" t="str">
            <v>D26001712</v>
          </cell>
          <cell r="AP358">
            <v>0</v>
          </cell>
          <cell r="AQ358">
            <v>20000000</v>
          </cell>
          <cell r="AV358">
            <v>0</v>
          </cell>
        </row>
        <row r="359">
          <cell r="E359" t="str">
            <v>D26001712</v>
          </cell>
          <cell r="AP359">
            <v>0</v>
          </cell>
          <cell r="AQ359">
            <v>78750000</v>
          </cell>
          <cell r="AV359">
            <v>0</v>
          </cell>
        </row>
        <row r="360">
          <cell r="E360" t="str">
            <v>D26001712</v>
          </cell>
          <cell r="AP360">
            <v>0</v>
          </cell>
          <cell r="AQ360">
            <v>163295000</v>
          </cell>
          <cell r="AV360">
            <v>0</v>
          </cell>
        </row>
        <row r="361">
          <cell r="E361" t="str">
            <v>D26001712</v>
          </cell>
          <cell r="AP361">
            <v>0</v>
          </cell>
          <cell r="AQ361">
            <v>117375000</v>
          </cell>
          <cell r="AV361">
            <v>0</v>
          </cell>
        </row>
        <row r="362">
          <cell r="E362" t="str">
            <v>D26001713</v>
          </cell>
          <cell r="AP362">
            <v>0</v>
          </cell>
          <cell r="AQ362">
            <v>282625000</v>
          </cell>
          <cell r="AV362">
            <v>0</v>
          </cell>
        </row>
        <row r="363">
          <cell r="E363" t="str">
            <v>D26001952</v>
          </cell>
          <cell r="AP363">
            <v>0</v>
          </cell>
          <cell r="AQ363">
            <v>50000000</v>
          </cell>
          <cell r="AV363">
            <v>0</v>
          </cell>
        </row>
        <row r="364">
          <cell r="E364" t="str">
            <v>D26001952</v>
          </cell>
          <cell r="AP364">
            <v>0</v>
          </cell>
          <cell r="AQ364">
            <v>100000000</v>
          </cell>
          <cell r="AV364">
            <v>0</v>
          </cell>
        </row>
        <row r="365">
          <cell r="E365" t="str">
            <v>D26001952</v>
          </cell>
          <cell r="AP365">
            <v>0</v>
          </cell>
          <cell r="AQ365">
            <v>480000000</v>
          </cell>
          <cell r="AV365">
            <v>0</v>
          </cell>
        </row>
        <row r="366">
          <cell r="E366" t="str">
            <v>D26001952</v>
          </cell>
          <cell r="AP366">
            <v>0</v>
          </cell>
          <cell r="AQ366">
            <v>480000000</v>
          </cell>
          <cell r="AV366">
            <v>0</v>
          </cell>
        </row>
        <row r="367">
          <cell r="E367" t="str">
            <v>D26001952</v>
          </cell>
          <cell r="AP367">
            <v>0</v>
          </cell>
          <cell r="AQ367">
            <v>379250000</v>
          </cell>
          <cell r="AV367">
            <v>0</v>
          </cell>
        </row>
        <row r="368">
          <cell r="E368" t="str">
            <v>D26001953</v>
          </cell>
          <cell r="AP368">
            <v>0</v>
          </cell>
          <cell r="AQ368">
            <v>100750000</v>
          </cell>
          <cell r="AV368">
            <v>0</v>
          </cell>
        </row>
        <row r="369">
          <cell r="E369" t="str">
            <v>D26001953</v>
          </cell>
          <cell r="AP369">
            <v>0</v>
          </cell>
          <cell r="AQ369">
            <v>481250000</v>
          </cell>
          <cell r="AV369">
            <v>0</v>
          </cell>
        </row>
        <row r="370">
          <cell r="E370" t="str">
            <v>D25019182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B25016701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D26001075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D26001150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D26001849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D26001872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D26001904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T25001886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B26000826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B26001880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B26001881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Z26000202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Z26000333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B26000646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B26000648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B26001037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B26001038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B26001062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D25016698</v>
          </cell>
          <cell r="AP388">
            <v>0</v>
          </cell>
          <cell r="AQ388">
            <v>0</v>
          </cell>
          <cell r="AV388">
            <v>30000000</v>
          </cell>
        </row>
        <row r="389">
          <cell r="E389" t="str">
            <v>D25018660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B25016044</v>
          </cell>
          <cell r="AP390">
            <v>0</v>
          </cell>
          <cell r="AQ390">
            <v>0</v>
          </cell>
          <cell r="AV390">
            <v>11360000</v>
          </cell>
        </row>
        <row r="391">
          <cell r="E391" t="str">
            <v>D25018669</v>
          </cell>
          <cell r="AP391">
            <v>0</v>
          </cell>
          <cell r="AQ391">
            <v>0</v>
          </cell>
          <cell r="AV391">
            <v>4960000</v>
          </cell>
        </row>
        <row r="392">
          <cell r="E392" t="str">
            <v>D26000989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D26001773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B26001794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B26000714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B26000182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D25006386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D26000905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B26001177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D26001671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B26001724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B25016499</v>
          </cell>
          <cell r="AP402">
            <v>0</v>
          </cell>
          <cell r="AQ402">
            <v>0</v>
          </cell>
          <cell r="AV402">
            <v>1480000</v>
          </cell>
        </row>
        <row r="403">
          <cell r="E403" t="str">
            <v>B26000151</v>
          </cell>
          <cell r="AP403">
            <v>0</v>
          </cell>
          <cell r="AQ403">
            <v>0</v>
          </cell>
          <cell r="AV403">
            <v>1000000</v>
          </cell>
        </row>
        <row r="404">
          <cell r="E404" t="str">
            <v>B26000152</v>
          </cell>
          <cell r="AP404">
            <v>0</v>
          </cell>
          <cell r="AQ404">
            <v>0</v>
          </cell>
          <cell r="AV404">
            <v>690000</v>
          </cell>
        </row>
        <row r="405">
          <cell r="E405" t="str">
            <v>B26001557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D26001708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B25014534</v>
          </cell>
          <cell r="AP407">
            <v>0</v>
          </cell>
          <cell r="AQ407">
            <v>0</v>
          </cell>
          <cell r="AV407">
            <v>76800000</v>
          </cell>
        </row>
        <row r="408">
          <cell r="E408" t="str">
            <v>B25015617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B25015996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D25019679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D25019723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B26000334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B26000384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B26000390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B26000860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D26002031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B26000597</v>
          </cell>
          <cell r="AP417">
            <v>0</v>
          </cell>
          <cell r="AQ417">
            <v>0</v>
          </cell>
          <cell r="AV417">
            <v>1000000</v>
          </cell>
        </row>
        <row r="418">
          <cell r="E418" t="str">
            <v>D26001756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D26001757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Z25003337</v>
          </cell>
          <cell r="AP420">
            <v>0</v>
          </cell>
          <cell r="AQ420">
            <v>0</v>
          </cell>
          <cell r="AV420">
            <v>6000000</v>
          </cell>
        </row>
        <row r="421">
          <cell r="E421" t="str">
            <v>Z26000031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B26001916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B25012277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D25018390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B25016665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B25016866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D25019475</v>
          </cell>
          <cell r="AP427">
            <v>0</v>
          </cell>
          <cell r="AQ427">
            <v>0</v>
          </cell>
          <cell r="AV427">
            <v>72150000</v>
          </cell>
        </row>
        <row r="428">
          <cell r="E428" t="str">
            <v>D25019575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D25019604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D25019606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B26000069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B26000070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>
            <v>260006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D26000527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D26000528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D26000529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D26000537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B26000535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D26000574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D26000700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B26000909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B26000910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D26000998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D26001168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D26001203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B26001335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B26001404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B26001514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B26001515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B26001516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B26001549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D26001806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D26001818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>
            <v>260011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D26002028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D26002057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B26000555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B26000724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Z26000007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Z26000011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Z26000359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D25019316</v>
          </cell>
          <cell r="AP462">
            <v>0</v>
          </cell>
          <cell r="AQ462">
            <v>0</v>
          </cell>
          <cell r="AV462">
            <v>16855500</v>
          </cell>
        </row>
        <row r="463">
          <cell r="E463" t="str">
            <v>B25016806</v>
          </cell>
          <cell r="AP463">
            <v>0</v>
          </cell>
          <cell r="AQ463">
            <v>0</v>
          </cell>
          <cell r="AV463">
            <v>18600000</v>
          </cell>
        </row>
        <row r="464">
          <cell r="E464" t="str">
            <v>D26001473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D26001474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B26001423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D25017065</v>
          </cell>
          <cell r="AP467">
            <v>0</v>
          </cell>
          <cell r="AQ467">
            <v>0</v>
          </cell>
          <cell r="AV467">
            <v>900000</v>
          </cell>
        </row>
        <row r="468">
          <cell r="E468" t="str">
            <v>D25019020</v>
          </cell>
          <cell r="AP468">
            <v>0</v>
          </cell>
          <cell r="AQ468">
            <v>0</v>
          </cell>
          <cell r="AV468">
            <v>5175000</v>
          </cell>
        </row>
        <row r="469">
          <cell r="E469" t="str">
            <v>D25018709</v>
          </cell>
          <cell r="AP469">
            <v>0</v>
          </cell>
          <cell r="AQ469">
            <v>0</v>
          </cell>
          <cell r="AV469">
            <v>6750000</v>
          </cell>
        </row>
        <row r="470">
          <cell r="E470" t="str">
            <v>T25001848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D25019357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D25019358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D25019359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D26000419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B26000844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B26001355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D26001483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D26001484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D26001647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C26000109</v>
          </cell>
          <cell r="AP480">
            <v>0</v>
          </cell>
          <cell r="AQ480">
            <v>0</v>
          </cell>
          <cell r="AV480">
            <v>830000</v>
          </cell>
        </row>
        <row r="481">
          <cell r="E481" t="str">
            <v>D25012415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R25000117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R25000118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R25000119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R25000122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R25000123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R25000124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R25000128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R25000135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R25000136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R25000137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R25000138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R25000139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R25000140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R26000007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D25017747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D25019190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T26000116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B25013380</v>
          </cell>
          <cell r="AP499">
            <v>0</v>
          </cell>
          <cell r="AQ499">
            <v>0</v>
          </cell>
          <cell r="AV499">
            <v>17280000</v>
          </cell>
        </row>
        <row r="500">
          <cell r="E500" t="str">
            <v>D25017981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D25019585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D25019578</v>
          </cell>
          <cell r="AP502">
            <v>0</v>
          </cell>
          <cell r="AQ502">
            <v>0</v>
          </cell>
          <cell r="AV502">
            <v>4130000</v>
          </cell>
        </row>
        <row r="503">
          <cell r="E503" t="str">
            <v>T26000022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B26001034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D26001643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B26001043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B26001044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B25016761</v>
          </cell>
          <cell r="AP508">
            <v>0</v>
          </cell>
          <cell r="AQ508">
            <v>0</v>
          </cell>
          <cell r="AV508">
            <v>3000000</v>
          </cell>
        </row>
        <row r="509">
          <cell r="E509" t="str">
            <v>D25019641</v>
          </cell>
          <cell r="AP509">
            <v>0</v>
          </cell>
          <cell r="AQ509">
            <v>0</v>
          </cell>
          <cell r="AV509">
            <v>4760000</v>
          </cell>
        </row>
        <row r="510">
          <cell r="E510" t="str">
            <v>D26000096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B26000527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D26000602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D26000702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D26001737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D26000849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B26000883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D26001454</v>
          </cell>
          <cell r="AP517">
            <v>0</v>
          </cell>
          <cell r="AQ517">
            <v>0</v>
          </cell>
          <cell r="AV517">
            <v>6840000</v>
          </cell>
        </row>
        <row r="518">
          <cell r="E518" t="str">
            <v>B25016222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T25001847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D25017632</v>
          </cell>
          <cell r="AP520">
            <v>0</v>
          </cell>
          <cell r="AQ520">
            <v>0</v>
          </cell>
          <cell r="AV520">
            <v>20000000</v>
          </cell>
        </row>
        <row r="521">
          <cell r="E521" t="str">
            <v>B25015486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B25016160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B25016541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D25019609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B26000809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B26001272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B25015937</v>
          </cell>
          <cell r="AP527">
            <v>0</v>
          </cell>
          <cell r="AQ527">
            <v>0</v>
          </cell>
          <cell r="AV527">
            <v>5000000</v>
          </cell>
        </row>
        <row r="528">
          <cell r="E528" t="str">
            <v>D25018391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D25018495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B25016788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B25016801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D26000133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B26001156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B25015809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D25018713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D25018736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D25019374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B26001356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B26001361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B25016810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D26000009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D26000175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D26000291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B26000394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D26000608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D26001544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B26001752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D26001895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T26000129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B26001892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B26001904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T26000143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Z26000302</v>
          </cell>
          <cell r="AP553">
            <v>0</v>
          </cell>
          <cell r="AQ553">
            <v>0</v>
          </cell>
          <cell r="AV553">
            <v>196000000</v>
          </cell>
        </row>
        <row r="554">
          <cell r="E554" t="str">
            <v>B26000551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B25014707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D25017141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B25014931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D25017423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D25017844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D25018214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B25015950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D25018563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D25018926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B25016641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B25016818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D25019593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B25017081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D25019706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D25019710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B26000138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D26000224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D26000755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D26000858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D26001091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B26001141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B26001288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D26001535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D26001594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D26001609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B26001569</v>
          </cell>
          <cell r="AP580">
            <v>0</v>
          </cell>
          <cell r="AQ580">
            <v>0</v>
          </cell>
          <cell r="AV580">
            <v>156000000</v>
          </cell>
        </row>
        <row r="581">
          <cell r="E581" t="str">
            <v>D26001683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D26001715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D26001857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B26001812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B26001813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B26001917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B26001918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D25018806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B26001086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B25016136</v>
          </cell>
          <cell r="AP590">
            <v>0</v>
          </cell>
          <cell r="AQ590">
            <v>0</v>
          </cell>
          <cell r="AV590">
            <v>80425000</v>
          </cell>
        </row>
        <row r="591">
          <cell r="E591" t="str">
            <v>D25018874</v>
          </cell>
          <cell r="AP591">
            <v>0</v>
          </cell>
          <cell r="AQ591">
            <v>0</v>
          </cell>
          <cell r="AV591">
            <v>45000</v>
          </cell>
        </row>
        <row r="592">
          <cell r="E592" t="str">
            <v>B25016479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D25018918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D25018925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B25016524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D25019081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D25019238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B25016827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B25016850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D25019442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T25001888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T25001889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D25019560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D25019582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T25001893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B25017084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D25019625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D25019638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T25001895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B25017141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T25001897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T25001899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D26000034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D26000124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D26000127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T26000002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B26000213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B26000342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B26000406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B26000526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B26000808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B26000857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B26000950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B26000993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D26001061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B26001003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B26001060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B26001291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B26001292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B26001301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B26001328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B26001545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B26001546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B26001584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B26001611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B26001624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B26001630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B26001699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B26001759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D26001896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D26001943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D26001704</v>
          </cell>
          <cell r="AP642">
            <v>0</v>
          </cell>
          <cell r="AQ642">
            <v>0</v>
          </cell>
          <cell r="AV642">
            <v>936000</v>
          </cell>
        </row>
        <row r="643">
          <cell r="E643" t="str">
            <v>D26001705</v>
          </cell>
          <cell r="AP643">
            <v>0</v>
          </cell>
          <cell r="AQ643">
            <v>0</v>
          </cell>
          <cell r="AV643">
            <v>1980000</v>
          </cell>
        </row>
        <row r="644">
          <cell r="E644" t="str">
            <v>D25016916</v>
          </cell>
          <cell r="AP644">
            <v>0</v>
          </cell>
          <cell r="AQ644">
            <v>0</v>
          </cell>
          <cell r="AV644">
            <v>6500000</v>
          </cell>
        </row>
        <row r="645">
          <cell r="E645" t="str">
            <v>B26000134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T26000044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B26001175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D25018297</v>
          </cell>
          <cell r="AP648">
            <v>0</v>
          </cell>
          <cell r="AQ648">
            <v>0</v>
          </cell>
          <cell r="AV648">
            <v>18200000</v>
          </cell>
        </row>
        <row r="649">
          <cell r="E649" t="str">
            <v>B25016084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B26001020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B26001077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D25017223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D25017245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T25001823</v>
          </cell>
          <cell r="AP654">
            <v>0</v>
          </cell>
          <cell r="AQ654">
            <v>0</v>
          </cell>
          <cell r="AV654">
            <v>5400000</v>
          </cell>
        </row>
        <row r="655">
          <cell r="E655" t="str">
            <v>T25001852k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T25001855</v>
          </cell>
          <cell r="AP656">
            <v>0</v>
          </cell>
          <cell r="AQ656">
            <v>0</v>
          </cell>
          <cell r="AV656">
            <v>1825000</v>
          </cell>
        </row>
        <row r="657">
          <cell r="E657" t="str">
            <v>T25001876K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D25019523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B26000624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D26001188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B26001145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D26001379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D26001511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T26000102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B26001729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D26001884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R26000002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D25019537</v>
          </cell>
          <cell r="AP668">
            <v>0</v>
          </cell>
          <cell r="AQ668">
            <v>0</v>
          </cell>
          <cell r="AV668">
            <v>2000000</v>
          </cell>
        </row>
        <row r="669">
          <cell r="E669" t="str">
            <v>B26000319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D26001100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B26001632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D26000833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D26000837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R25000110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R25000112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B25016164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B26000017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D26000130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B26000322</v>
          </cell>
          <cell r="AP679">
            <v>0</v>
          </cell>
          <cell r="AQ679">
            <v>0</v>
          </cell>
          <cell r="AV679">
            <v>840000</v>
          </cell>
        </row>
        <row r="680">
          <cell r="E680" t="str">
            <v>B26000848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B26001470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D26001890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D25014349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T25001500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B25014182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D25016537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B25014607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B25014608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D25017082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D25017821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B25015456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T25001758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B25015814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B25015842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B25016842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D25019422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D25019489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D25019666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D26000624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D26001160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D26001161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D26001996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D26001338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B26001872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D25017231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D25018661</v>
          </cell>
          <cell r="AP706">
            <v>0</v>
          </cell>
          <cell r="AQ706">
            <v>0</v>
          </cell>
          <cell r="AV706">
            <v>778500</v>
          </cell>
        </row>
        <row r="707">
          <cell r="E707" t="str">
            <v>B25016677</v>
          </cell>
          <cell r="AP707">
            <v>0</v>
          </cell>
          <cell r="AQ707">
            <v>0</v>
          </cell>
          <cell r="AV707">
            <v>451500</v>
          </cell>
        </row>
        <row r="708">
          <cell r="E708" t="str">
            <v>B25017088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D25019689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D26000388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B26000677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D26001068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D26001822</v>
          </cell>
          <cell r="AP713">
            <v>0</v>
          </cell>
          <cell r="AQ713">
            <v>0</v>
          </cell>
          <cell r="AV713">
            <v>3275000</v>
          </cell>
        </row>
        <row r="714">
          <cell r="E714" t="str">
            <v>D25014948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D25015234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B25013096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B25013448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D25015924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D25016080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D25016533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D25016996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D25016997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D25017102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B25014869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D25017610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D25017855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B25015717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D25018080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D25018085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D25018086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D25018439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B25016097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D25018769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D25018770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D25018813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D25018838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D25019180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D25019218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B25016789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B25016790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D25019273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D25019547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D25019548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D26000094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D26001266</v>
          </cell>
          <cell r="AP745">
            <v>0</v>
          </cell>
          <cell r="AQ745">
            <v>0</v>
          </cell>
          <cell r="AV745">
            <v>66500000</v>
          </cell>
        </row>
        <row r="746">
          <cell r="E746" t="str">
            <v>D26001588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D26001629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D26001630</v>
          </cell>
          <cell r="AP748">
            <v>0</v>
          </cell>
          <cell r="AQ748">
            <v>0</v>
          </cell>
          <cell r="AV748">
            <v>21700000</v>
          </cell>
        </row>
        <row r="749">
          <cell r="E749" t="str">
            <v>D26001673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B26001596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B26001912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D26002087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B25014894</v>
          </cell>
          <cell r="AP753">
            <v>0</v>
          </cell>
          <cell r="AQ753">
            <v>0</v>
          </cell>
          <cell r="AV753">
            <v>1301000</v>
          </cell>
        </row>
        <row r="754">
          <cell r="E754" t="str">
            <v>D25018772</v>
          </cell>
          <cell r="AP754">
            <v>0</v>
          </cell>
          <cell r="AQ754">
            <v>0</v>
          </cell>
          <cell r="AV754">
            <v>1425000</v>
          </cell>
        </row>
        <row r="755">
          <cell r="E755" t="str">
            <v>B26001777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Z26000276</v>
          </cell>
          <cell r="AP756">
            <v>0</v>
          </cell>
          <cell r="AQ756">
            <v>0</v>
          </cell>
          <cell r="AV756">
            <v>248000</v>
          </cell>
        </row>
        <row r="757">
          <cell r="E757" t="str">
            <v>Z26000277</v>
          </cell>
          <cell r="AP757">
            <v>0</v>
          </cell>
          <cell r="AQ757">
            <v>0</v>
          </cell>
          <cell r="AV757">
            <v>1224000</v>
          </cell>
        </row>
        <row r="758">
          <cell r="E758" t="str">
            <v>Z26000324</v>
          </cell>
          <cell r="AP758">
            <v>0</v>
          </cell>
          <cell r="AQ758">
            <v>0</v>
          </cell>
          <cell r="AV758">
            <v>3340000</v>
          </cell>
        </row>
        <row r="759">
          <cell r="E759" t="str">
            <v>Z26000331</v>
          </cell>
          <cell r="AP759">
            <v>0</v>
          </cell>
          <cell r="AQ759">
            <v>0</v>
          </cell>
          <cell r="AV759">
            <v>3960000</v>
          </cell>
        </row>
        <row r="760">
          <cell r="E760" t="str">
            <v>B26000075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B26001577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D25018699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D25019326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D26000844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T25001420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T25001781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B26001689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D26000566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D26000629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D26001695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D26001759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D25018788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B25016487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D25019482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D26000025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D26000189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B26000554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D26000643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D26001778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B25012415</v>
          </cell>
          <cell r="AP780">
            <v>0</v>
          </cell>
          <cell r="AQ780">
            <v>0</v>
          </cell>
          <cell r="AV780">
            <v>7300000</v>
          </cell>
        </row>
        <row r="781">
          <cell r="E781" t="str">
            <v>D25018298</v>
          </cell>
          <cell r="AP781">
            <v>0</v>
          </cell>
          <cell r="AQ781">
            <v>0</v>
          </cell>
          <cell r="AV781">
            <v>1344000</v>
          </cell>
        </row>
        <row r="782">
          <cell r="E782" t="str">
            <v>B26000027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D25019611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D25019631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D25019670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D26002081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B25016413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B25014588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B25014724</v>
          </cell>
          <cell r="AP789">
            <v>0</v>
          </cell>
          <cell r="AQ789">
            <v>0</v>
          </cell>
          <cell r="AV789">
            <v>3500000</v>
          </cell>
        </row>
        <row r="790">
          <cell r="E790" t="str">
            <v>B25014724</v>
          </cell>
          <cell r="AP790">
            <v>0</v>
          </cell>
          <cell r="AQ790">
            <v>0</v>
          </cell>
          <cell r="AV790">
            <v>3500000</v>
          </cell>
        </row>
        <row r="791">
          <cell r="E791" t="str">
            <v>B25014724</v>
          </cell>
          <cell r="AP791">
            <v>0</v>
          </cell>
          <cell r="AQ791">
            <v>0</v>
          </cell>
          <cell r="AV791">
            <v>2000000</v>
          </cell>
        </row>
        <row r="792">
          <cell r="E792" t="str">
            <v>B25014791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B25014795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D25017192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D25017199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B25014956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D25017383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D25017395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D25017616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B25015231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B25015232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D25017670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D25017719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B25015304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B25015318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B25015319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B25015415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D25017912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B25015523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D25018187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D25018248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D25018273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N25000073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B25015953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D25018350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D25018354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B25016052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D25018680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B25016296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D25018697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D25018734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D25018763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D25018876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B25016497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B25016502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D25019009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B25016772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D25019274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B25017014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D25019561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B25017039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B25017045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B25017053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D25019633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B25017108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D26000134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B26000170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B26000173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B26000241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B26000345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B26000346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B26000382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B26000635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B26000688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D26000805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D26000859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B26000821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B26000846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B26000901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B26000902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B26000944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D26001057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D26001103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D26001148</v>
          </cell>
          <cell r="AP854">
            <v>0</v>
          </cell>
          <cell r="AQ854">
            <v>0</v>
          </cell>
          <cell r="AV854">
            <v>4000000</v>
          </cell>
        </row>
        <row r="855">
          <cell r="E855" t="str">
            <v>B26001169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D26001404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D26001427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B26001452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D26001539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N26000015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D26001613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D26001669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B26001619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B26001633</v>
          </cell>
          <cell r="AP864">
            <v>0</v>
          </cell>
          <cell r="AQ864">
            <v>0</v>
          </cell>
          <cell r="AV864">
            <v>2075000</v>
          </cell>
        </row>
        <row r="865">
          <cell r="E865" t="str">
            <v>B26001634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D26001841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B26001710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D26001856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B26001841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D26001985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D26002012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B26001935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B26001936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B26001937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B25015269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B25015270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D25017684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T25001754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D25017920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D25018112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D25018463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B25016134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B25016274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B25016379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D25018868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D25019071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D25019310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T25001890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B25016917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B25016953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B25016954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D25019577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D25019632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D25019655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B25017134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B26001260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B26001261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B26001279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D26001464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B26001473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B26001563</v>
          </cell>
          <cell r="AP901">
            <v>0</v>
          </cell>
          <cell r="AQ901">
            <v>0</v>
          </cell>
          <cell r="AV901">
            <v>10500000</v>
          </cell>
        </row>
        <row r="902">
          <cell r="E902" t="str">
            <v>B26001564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B26001654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D26001836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B26001734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D26001865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B26001874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D26002073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B25013715</v>
          </cell>
          <cell r="AP909">
            <v>0</v>
          </cell>
          <cell r="AQ909">
            <v>0</v>
          </cell>
          <cell r="AV909">
            <v>11640000</v>
          </cell>
        </row>
        <row r="910">
          <cell r="E910" t="str">
            <v>B25014025</v>
          </cell>
          <cell r="AP910">
            <v>0</v>
          </cell>
          <cell r="AQ910">
            <v>0</v>
          </cell>
          <cell r="AV910">
            <v>51250000</v>
          </cell>
        </row>
        <row r="911">
          <cell r="E911" t="str">
            <v>B25014284</v>
          </cell>
          <cell r="AP911">
            <v>0</v>
          </cell>
          <cell r="AQ911">
            <v>0</v>
          </cell>
          <cell r="AV911">
            <v>8160000</v>
          </cell>
        </row>
        <row r="912">
          <cell r="E912" t="str">
            <v>D25016563</v>
          </cell>
          <cell r="AP912">
            <v>0</v>
          </cell>
          <cell r="AQ912">
            <v>0</v>
          </cell>
          <cell r="AV912">
            <v>3980000</v>
          </cell>
        </row>
        <row r="913">
          <cell r="E913" t="str">
            <v>D25016564</v>
          </cell>
          <cell r="AP913">
            <v>0</v>
          </cell>
          <cell r="AQ913">
            <v>0</v>
          </cell>
          <cell r="AV913">
            <v>4200000</v>
          </cell>
        </row>
        <row r="914">
          <cell r="E914" t="str">
            <v>B25014473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B25014474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B25014475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B25014486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B25014620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D25017006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D25017007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>
            <v>250181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D25017216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D25017288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D25018150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D25018927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B25017021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B25017029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B26000563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B26000564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B26000717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B26000888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D26000960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D26001019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D26001020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B25016861</v>
          </cell>
          <cell r="AP935">
            <v>0</v>
          </cell>
          <cell r="AQ935">
            <v>0</v>
          </cell>
          <cell r="AV935">
            <v>2000000</v>
          </cell>
        </row>
        <row r="936">
          <cell r="E936" t="str">
            <v>D26000200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B26000297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B26000743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D26000981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D26001365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D26001465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D25019431</v>
          </cell>
          <cell r="AP942">
            <v>0</v>
          </cell>
          <cell r="AQ942">
            <v>0</v>
          </cell>
          <cell r="AV942">
            <v>51634137</v>
          </cell>
        </row>
        <row r="943">
          <cell r="E943" t="str">
            <v>D26000015</v>
          </cell>
          <cell r="AP943">
            <v>0</v>
          </cell>
          <cell r="AQ943">
            <v>0</v>
          </cell>
          <cell r="AV943">
            <v>39175863</v>
          </cell>
        </row>
        <row r="944">
          <cell r="E944" t="str">
            <v>D26000016</v>
          </cell>
          <cell r="AP944">
            <v>0</v>
          </cell>
          <cell r="AQ944">
            <v>0</v>
          </cell>
          <cell r="AV944">
            <v>73890000</v>
          </cell>
        </row>
        <row r="945">
          <cell r="E945" t="str">
            <v>D26000262</v>
          </cell>
          <cell r="AP945">
            <v>0</v>
          </cell>
          <cell r="AQ945">
            <v>0</v>
          </cell>
          <cell r="AV945">
            <v>35300000</v>
          </cell>
        </row>
        <row r="946">
          <cell r="E946" t="str">
            <v>D26000427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D26001036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B25017067</v>
          </cell>
          <cell r="AP948">
            <v>0</v>
          </cell>
          <cell r="AQ948">
            <v>0</v>
          </cell>
          <cell r="AV948">
            <v>21200000</v>
          </cell>
        </row>
        <row r="949">
          <cell r="E949" t="str">
            <v>D25019643</v>
          </cell>
          <cell r="AP949">
            <v>0</v>
          </cell>
          <cell r="AQ949">
            <v>0</v>
          </cell>
          <cell r="AV949">
            <v>5040000</v>
          </cell>
        </row>
        <row r="950">
          <cell r="E950" t="str">
            <v>T26000017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B26000285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D26000292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B26000383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B26000794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B26001540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B26001542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B26001780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B26001781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B26000165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D26000559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D26001900</v>
          </cell>
          <cell r="AP961">
            <v>0</v>
          </cell>
          <cell r="AQ961">
            <v>0</v>
          </cell>
          <cell r="AV961">
            <v>1425000</v>
          </cell>
        </row>
        <row r="962">
          <cell r="E962" t="str">
            <v>D25017215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B25014980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D25017286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B25015081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D25017402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D25017410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B25015151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D25017521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D25017599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B25015236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D25017740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B25015383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B25015413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D25017944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B25015552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D25018015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D25018055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B25015689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D25018270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D25018367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B25016032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B25016075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B25016076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D25018479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B25016145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B25016217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B25016223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B25016364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D25018791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D25018883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B25016493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B25016520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D25019158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B25016811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D25019421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B26000084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D26000151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D26000247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B26000344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B26000401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D26000540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B26000986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D26001078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B26001068</v>
          </cell>
          <cell r="AP1005">
            <v>0</v>
          </cell>
          <cell r="AQ1005">
            <v>0</v>
          </cell>
          <cell r="AV1005">
            <v>0</v>
          </cell>
        </row>
        <row r="1006">
          <cell r="E1006" t="str">
            <v>B26001147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B26001202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B26001245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D26001540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B26001610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B26001614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D26001866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D25019107</v>
          </cell>
          <cell r="AP1013">
            <v>0</v>
          </cell>
          <cell r="AQ1013">
            <v>0</v>
          </cell>
          <cell r="AV1013">
            <v>3840000</v>
          </cell>
        </row>
        <row r="1014">
          <cell r="E1014" t="str">
            <v>B25016648</v>
          </cell>
          <cell r="AP1014">
            <v>0</v>
          </cell>
          <cell r="AQ1014">
            <v>0</v>
          </cell>
          <cell r="AV1014">
            <v>3870000</v>
          </cell>
        </row>
        <row r="1015">
          <cell r="E1015" t="str">
            <v>B26000184</v>
          </cell>
          <cell r="AP1015">
            <v>0</v>
          </cell>
          <cell r="AQ1015">
            <v>0</v>
          </cell>
          <cell r="AV1015">
            <v>2300000</v>
          </cell>
        </row>
        <row r="1016">
          <cell r="E1016" t="str">
            <v>B26000185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D26000879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D26000880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B26000837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D26001174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D26001179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N26000012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B26001346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B26001347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B26001497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B26001498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B26001510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B26001511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D26000760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D26000761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D26000762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D26001498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D26001843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B26000813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B25014453</v>
          </cell>
          <cell r="AP1035">
            <v>0</v>
          </cell>
          <cell r="AQ1035">
            <v>0</v>
          </cell>
          <cell r="AV1035">
            <v>5670000</v>
          </cell>
        </row>
        <row r="1036">
          <cell r="E1036" t="str">
            <v>B25014483</v>
          </cell>
          <cell r="AP1036">
            <v>0</v>
          </cell>
          <cell r="AQ1036">
            <v>0</v>
          </cell>
          <cell r="AV1036">
            <v>4176000</v>
          </cell>
        </row>
        <row r="1037">
          <cell r="E1037" t="str">
            <v>B25014673</v>
          </cell>
          <cell r="AP1037">
            <v>0</v>
          </cell>
          <cell r="AQ1037">
            <v>0</v>
          </cell>
          <cell r="AV1037">
            <v>2125000</v>
          </cell>
        </row>
        <row r="1038">
          <cell r="E1038" t="str">
            <v>D25017473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B25015740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D25018146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B25016419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D25018985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D25018994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B26000198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B26000496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B26000914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B26001150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D26001233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>
            <v>260009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B26001762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D26001862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T26000032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B26001687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D26000502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D26001038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B26001445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B26001808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D26001947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B26001533</v>
          </cell>
          <cell r="AP1059">
            <v>0</v>
          </cell>
          <cell r="AQ1059">
            <v>0</v>
          </cell>
          <cell r="AV1059">
            <v>10600000</v>
          </cell>
        </row>
        <row r="1060">
          <cell r="E1060" t="str">
            <v>B26001676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D26001610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D25017170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D25019292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B26001825</v>
          </cell>
          <cell r="AP1064">
            <v>0</v>
          </cell>
          <cell r="AQ1064">
            <v>0</v>
          </cell>
          <cell r="AV1064">
            <v>12300000</v>
          </cell>
        </row>
        <row r="1065">
          <cell r="E1065" t="str">
            <v>B25016822</v>
          </cell>
          <cell r="AP1065">
            <v>0</v>
          </cell>
          <cell r="AQ1065">
            <v>0</v>
          </cell>
          <cell r="AV1065">
            <v>13700000</v>
          </cell>
        </row>
        <row r="1066">
          <cell r="E1066" t="str">
            <v>D25019508</v>
          </cell>
          <cell r="AP1066">
            <v>0</v>
          </cell>
          <cell r="AQ1066">
            <v>0</v>
          </cell>
          <cell r="AV1066">
            <v>8175000</v>
          </cell>
        </row>
        <row r="1067">
          <cell r="E1067" t="str">
            <v>D25019509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D25019536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B26000207</v>
          </cell>
          <cell r="AP1069">
            <v>0</v>
          </cell>
          <cell r="AQ1069">
            <v>0</v>
          </cell>
          <cell r="AV1069">
            <v>6247500</v>
          </cell>
        </row>
        <row r="1070">
          <cell r="E1070" t="str">
            <v>D26000233</v>
          </cell>
          <cell r="AP1070">
            <v>0</v>
          </cell>
          <cell r="AQ1070">
            <v>0</v>
          </cell>
          <cell r="AV1070">
            <v>8550000</v>
          </cell>
        </row>
        <row r="1071">
          <cell r="E1071" t="str">
            <v>D26000637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B26001031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B26001189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D26001514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D26001807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D26001930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B26001882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D26001999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D25018470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B25016647</v>
          </cell>
          <cell r="AP1080">
            <v>0</v>
          </cell>
          <cell r="AQ1080">
            <v>0</v>
          </cell>
          <cell r="AV1080">
            <v>63560000</v>
          </cell>
        </row>
        <row r="1081">
          <cell r="E1081" t="str">
            <v>D25019502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D26000303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B26001524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B25017124</v>
          </cell>
          <cell r="AP1084">
            <v>0</v>
          </cell>
          <cell r="AQ1084">
            <v>0</v>
          </cell>
          <cell r="AV1084">
            <v>2250000</v>
          </cell>
        </row>
        <row r="1085">
          <cell r="E1085" t="str">
            <v>B25017145</v>
          </cell>
          <cell r="AP1085">
            <v>0</v>
          </cell>
          <cell r="AQ1085">
            <v>0</v>
          </cell>
          <cell r="AV1085">
            <v>6295000</v>
          </cell>
        </row>
        <row r="1086">
          <cell r="E1086" t="str">
            <v>B26000008</v>
          </cell>
          <cell r="AP1086">
            <v>0</v>
          </cell>
          <cell r="AQ1086">
            <v>0</v>
          </cell>
          <cell r="AV1086">
            <v>33200000</v>
          </cell>
        </row>
        <row r="1087">
          <cell r="E1087" t="str">
            <v>D26000289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B26000304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D26000338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B26000350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D26000423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B26000521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D26000613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D26000676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B26000650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D26000713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B26000691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D26000969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B26001006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D26001232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B26001216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D26001299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D26001337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B26001267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B26001268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B26001299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D26001358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B26001381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D26001538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B26001588</v>
          </cell>
          <cell r="AP1110">
            <v>0</v>
          </cell>
          <cell r="AQ1110">
            <v>0</v>
          </cell>
          <cell r="AV1110">
            <v>10640000</v>
          </cell>
        </row>
        <row r="1111">
          <cell r="E1111" t="str">
            <v>B26001589</v>
          </cell>
          <cell r="AP1111">
            <v>0</v>
          </cell>
          <cell r="AQ1111">
            <v>0</v>
          </cell>
          <cell r="AV1111">
            <v>51250000</v>
          </cell>
        </row>
        <row r="1112">
          <cell r="E1112" t="str">
            <v>B26001761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D26001949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B26001943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T25001779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D25018317</v>
          </cell>
          <cell r="AP1116">
            <v>0</v>
          </cell>
          <cell r="AQ1116">
            <v>0</v>
          </cell>
          <cell r="AV1116">
            <v>10000000</v>
          </cell>
        </row>
        <row r="1117">
          <cell r="E1117" t="str">
            <v>D25018317</v>
          </cell>
          <cell r="AP1117">
            <v>0</v>
          </cell>
          <cell r="AQ1117">
            <v>0</v>
          </cell>
          <cell r="AV1117">
            <v>10000000</v>
          </cell>
        </row>
        <row r="1118">
          <cell r="E1118" t="str">
            <v>D25018318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D25018319</v>
          </cell>
          <cell r="AP1119">
            <v>0</v>
          </cell>
          <cell r="AQ1119">
            <v>0</v>
          </cell>
          <cell r="AV1119">
            <v>12940000</v>
          </cell>
        </row>
        <row r="1120">
          <cell r="E1120" t="str">
            <v>D25018403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B25016132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B25016149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B25016153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D25018608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D25018693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D25018794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D25018795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B25016609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B25016637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D25019217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B25016896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B25016897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B25017070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D26000070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D26000171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B26000275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B26000391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D26000687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B26000720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B26000748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B26000776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B26000866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D26000946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B26001227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B26001240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B26001285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D26001403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B26001463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D26001691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B26001656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D26001777</v>
          </cell>
          <cell r="AP1151">
            <v>0</v>
          </cell>
          <cell r="AQ1151">
            <v>0</v>
          </cell>
          <cell r="AV1151">
            <v>9950000</v>
          </cell>
        </row>
        <row r="1152">
          <cell r="E1152" t="str">
            <v>D26001780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B26001768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B26001184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B26000060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B26001103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D25017204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D25017712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B26000012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B26000534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B26000987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B26001168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B25017072</v>
          </cell>
          <cell r="AP1163">
            <v>0</v>
          </cell>
          <cell r="AQ1163">
            <v>0</v>
          </cell>
          <cell r="AV1163">
            <v>12360000</v>
          </cell>
        </row>
        <row r="1164">
          <cell r="E1164" t="str">
            <v>B26000003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D26000452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D25019430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B25017010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B25017011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D26000137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B26000438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B26000439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B26000442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B26000445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D26000696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D26000698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D26001126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B26001124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B26001126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B26001128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D26001529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D26002061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D26002062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D25011387</v>
          </cell>
          <cell r="AP1183">
            <v>0</v>
          </cell>
          <cell r="AQ1183">
            <v>0</v>
          </cell>
          <cell r="AV1183">
            <v>50000000</v>
          </cell>
        </row>
        <row r="1184">
          <cell r="E1184" t="str">
            <v>B25009852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B25015251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D26000095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B26000435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B26000767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D26001251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D26001556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D26001557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B25015808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T25001794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D25018744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D25017893</v>
          </cell>
          <cell r="AP1195">
            <v>0</v>
          </cell>
          <cell r="AQ1195">
            <v>0</v>
          </cell>
          <cell r="AV1195">
            <v>1254750</v>
          </cell>
        </row>
        <row r="1196">
          <cell r="E1196" t="str">
            <v>B25015444</v>
          </cell>
          <cell r="AP1196">
            <v>0</v>
          </cell>
          <cell r="AQ1196">
            <v>0</v>
          </cell>
          <cell r="AV1196">
            <v>5100000</v>
          </cell>
        </row>
        <row r="1197">
          <cell r="E1197" t="str">
            <v>B25015958</v>
          </cell>
          <cell r="AP1197">
            <v>0</v>
          </cell>
          <cell r="AQ1197">
            <v>0</v>
          </cell>
          <cell r="AV1197">
            <v>8645250</v>
          </cell>
        </row>
        <row r="1198">
          <cell r="E1198" t="str">
            <v>B25015958</v>
          </cell>
          <cell r="AP1198">
            <v>0</v>
          </cell>
          <cell r="AQ1198">
            <v>0</v>
          </cell>
          <cell r="AV1198">
            <v>4294750</v>
          </cell>
        </row>
        <row r="1199">
          <cell r="E1199" t="str">
            <v>B25016375</v>
          </cell>
          <cell r="AP1199">
            <v>0</v>
          </cell>
          <cell r="AQ1199">
            <v>0</v>
          </cell>
          <cell r="AV1199">
            <v>2705250</v>
          </cell>
        </row>
        <row r="1200">
          <cell r="E1200" t="str">
            <v>B25016375</v>
          </cell>
          <cell r="AP1200">
            <v>0</v>
          </cell>
          <cell r="AQ1200">
            <v>0</v>
          </cell>
          <cell r="AV1200">
            <v>5000000</v>
          </cell>
        </row>
        <row r="1201">
          <cell r="E1201" t="str">
            <v>B25016838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D25019378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D26000090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B26001795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B26001820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D25019656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T25001564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B25013893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D25019014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D25019015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B26000176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B26000177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B26000178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D25015607</v>
          </cell>
          <cell r="AP1214">
            <v>896000</v>
          </cell>
          <cell r="AQ1214">
            <v>0</v>
          </cell>
          <cell r="AV1214">
            <v>0</v>
          </cell>
        </row>
        <row r="1215">
          <cell r="E1215" t="str">
            <v>D26001368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D26001543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D26001741</v>
          </cell>
          <cell r="AP1217">
            <v>0</v>
          </cell>
          <cell r="AQ1217">
            <v>0</v>
          </cell>
          <cell r="AV1217">
            <v>1687500</v>
          </cell>
        </row>
        <row r="1218">
          <cell r="E1218" t="str">
            <v>B25014546</v>
          </cell>
          <cell r="AP1218">
            <v>0</v>
          </cell>
          <cell r="AQ1218">
            <v>0</v>
          </cell>
          <cell r="AV1218">
            <v>775000</v>
          </cell>
        </row>
        <row r="1219">
          <cell r="E1219" t="str">
            <v>T25001672</v>
          </cell>
          <cell r="AP1219">
            <v>0</v>
          </cell>
          <cell r="AQ1219">
            <v>0</v>
          </cell>
          <cell r="AV1219">
            <v>1387500</v>
          </cell>
        </row>
        <row r="1220">
          <cell r="E1220">
            <v>260003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D26000243</v>
          </cell>
          <cell r="AP1221">
            <v>0</v>
          </cell>
          <cell r="AQ1221">
            <v>0</v>
          </cell>
          <cell r="AV1221">
            <v>2160000</v>
          </cell>
        </row>
        <row r="1222">
          <cell r="E1222" t="str">
            <v>D26000244</v>
          </cell>
          <cell r="AP1222">
            <v>0</v>
          </cell>
          <cell r="AQ1222">
            <v>0</v>
          </cell>
          <cell r="AV1222">
            <v>7100000</v>
          </cell>
        </row>
        <row r="1223">
          <cell r="E1223" t="str">
            <v>D26000246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D26000250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B26000089</v>
          </cell>
          <cell r="AP1225">
            <v>0</v>
          </cell>
          <cell r="AQ1225">
            <v>0</v>
          </cell>
          <cell r="AV1225">
            <v>21550000</v>
          </cell>
        </row>
        <row r="1226">
          <cell r="E1226" t="str">
            <v>D26000798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D26001265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D26001286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B25013863</v>
          </cell>
          <cell r="AP1229">
            <v>0</v>
          </cell>
          <cell r="AQ1229">
            <v>0</v>
          </cell>
          <cell r="AV1229">
            <v>21200000</v>
          </cell>
        </row>
        <row r="1230">
          <cell r="E1230" t="str">
            <v>B25014067</v>
          </cell>
          <cell r="AP1230">
            <v>0</v>
          </cell>
          <cell r="AQ1230">
            <v>0</v>
          </cell>
          <cell r="AV1230">
            <v>27000000</v>
          </cell>
        </row>
        <row r="1231">
          <cell r="E1231" t="str">
            <v>B25014858</v>
          </cell>
          <cell r="AP1231">
            <v>0</v>
          </cell>
          <cell r="AQ1231">
            <v>0</v>
          </cell>
          <cell r="AV1231">
            <v>9510000</v>
          </cell>
        </row>
        <row r="1232">
          <cell r="E1232" t="str">
            <v>D25019205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D26000957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D26001547</v>
          </cell>
          <cell r="AP1234">
            <v>0</v>
          </cell>
          <cell r="AQ1234">
            <v>0</v>
          </cell>
          <cell r="AV1234">
            <v>263400000</v>
          </cell>
        </row>
        <row r="1235">
          <cell r="E1235" t="str">
            <v>D26001547</v>
          </cell>
          <cell r="AP1235">
            <v>0</v>
          </cell>
          <cell r="AQ1235">
            <v>0</v>
          </cell>
          <cell r="AV1235">
            <v>1408000</v>
          </cell>
        </row>
        <row r="1236">
          <cell r="E1236" t="str">
            <v>D26001595</v>
          </cell>
          <cell r="AP1236">
            <v>0</v>
          </cell>
          <cell r="AQ1236">
            <v>0</v>
          </cell>
          <cell r="AV1236">
            <v>130000000</v>
          </cell>
        </row>
        <row r="1237">
          <cell r="E1237" t="str">
            <v>D26001774</v>
          </cell>
          <cell r="AP1237">
            <v>0</v>
          </cell>
          <cell r="AQ1237">
            <v>0</v>
          </cell>
          <cell r="AV1237">
            <v>756000000</v>
          </cell>
        </row>
        <row r="1238">
          <cell r="E1238" t="str">
            <v>D26001808</v>
          </cell>
          <cell r="AP1238">
            <v>0</v>
          </cell>
          <cell r="AQ1238">
            <v>0</v>
          </cell>
          <cell r="AV1238">
            <v>250000000</v>
          </cell>
        </row>
        <row r="1239">
          <cell r="E1239" t="str">
            <v>D26001868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D26001868</v>
          </cell>
          <cell r="AP1240">
            <v>0</v>
          </cell>
          <cell r="AQ1240">
            <v>0</v>
          </cell>
          <cell r="AV1240">
            <v>303500000</v>
          </cell>
        </row>
        <row r="1241">
          <cell r="E1241" t="str">
            <v>D26001868</v>
          </cell>
          <cell r="AP1241">
            <v>0</v>
          </cell>
          <cell r="AQ1241">
            <v>0</v>
          </cell>
          <cell r="AV1241">
            <v>400000000</v>
          </cell>
        </row>
        <row r="1242">
          <cell r="E1242" t="str">
            <v>D26001869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D26001971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D26001972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D26001990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D26002079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D26001102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D26001132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B26001307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D26000380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D26000381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T26000029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B26000716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B26000825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B26000974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D25018137</v>
          </cell>
          <cell r="AP1256">
            <v>0</v>
          </cell>
          <cell r="AQ1256">
            <v>0</v>
          </cell>
          <cell r="AV1256">
            <v>250000000</v>
          </cell>
        </row>
        <row r="1257">
          <cell r="E1257" t="str">
            <v>D25018137</v>
          </cell>
          <cell r="AP1257">
            <v>0</v>
          </cell>
          <cell r="AQ1257">
            <v>0</v>
          </cell>
          <cell r="AV1257">
            <v>183000000</v>
          </cell>
        </row>
        <row r="1258">
          <cell r="E1258" t="str">
            <v>D25019051</v>
          </cell>
          <cell r="AP1258">
            <v>0</v>
          </cell>
          <cell r="AQ1258">
            <v>0</v>
          </cell>
          <cell r="AV1258">
            <v>1900000</v>
          </cell>
        </row>
        <row r="1259">
          <cell r="E1259" t="str">
            <v>T24001625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D24017664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D25017240</v>
          </cell>
          <cell r="AP1261">
            <v>0</v>
          </cell>
          <cell r="AQ1261">
            <v>0</v>
          </cell>
          <cell r="AV1261">
            <v>25428500</v>
          </cell>
        </row>
        <row r="1262">
          <cell r="E1262" t="str">
            <v>D25017240</v>
          </cell>
          <cell r="AP1262">
            <v>0</v>
          </cell>
          <cell r="AQ1262">
            <v>0</v>
          </cell>
          <cell r="AV1262">
            <v>200000000</v>
          </cell>
        </row>
        <row r="1263">
          <cell r="E1263" t="str">
            <v>D25017241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D25017454</v>
          </cell>
          <cell r="AP1264">
            <v>0</v>
          </cell>
          <cell r="AQ1264">
            <v>0</v>
          </cell>
          <cell r="AV1264">
            <v>3196500</v>
          </cell>
        </row>
        <row r="1265">
          <cell r="E1265" t="str">
            <v>D25017458</v>
          </cell>
          <cell r="AP1265">
            <v>0</v>
          </cell>
          <cell r="AQ1265">
            <v>0</v>
          </cell>
          <cell r="AV1265">
            <v>5350000</v>
          </cell>
        </row>
        <row r="1266">
          <cell r="E1266" t="str">
            <v>T25001722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B25015276</v>
          </cell>
          <cell r="AP1267">
            <v>0</v>
          </cell>
          <cell r="AQ1267">
            <v>0</v>
          </cell>
          <cell r="AV1267">
            <v>7600000</v>
          </cell>
        </row>
        <row r="1268">
          <cell r="E1268" t="str">
            <v>B25015442</v>
          </cell>
          <cell r="AP1268">
            <v>0</v>
          </cell>
          <cell r="AQ1268">
            <v>0</v>
          </cell>
          <cell r="AV1268">
            <v>8675000</v>
          </cell>
        </row>
        <row r="1269">
          <cell r="E1269" t="str">
            <v>D25017959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D25018410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B25016093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D25018716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D25019055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B25016834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D25019534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D25019598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D25019599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D26000145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D26000152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D26000153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D26000154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D26000257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D26000590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B26000573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D26000830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B26000819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B26000881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D26000937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T26000065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D26001210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B26001129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D26001333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D26001437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D26001533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D26001534</v>
          </cell>
          <cell r="AP1295">
            <v>0</v>
          </cell>
          <cell r="AQ1295">
            <v>0</v>
          </cell>
          <cell r="AV1295">
            <v>66000000</v>
          </cell>
        </row>
        <row r="1296">
          <cell r="E1296" t="str">
            <v>B26001519</v>
          </cell>
          <cell r="AP1296">
            <v>0</v>
          </cell>
          <cell r="AQ1296">
            <v>0</v>
          </cell>
          <cell r="AV1296">
            <v>33750000</v>
          </cell>
        </row>
        <row r="1297">
          <cell r="E1297" t="str">
            <v>D26001636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T26000104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D26001752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B26001741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D26001845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D26001855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D26001988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D26001989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D26002036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D25018504</v>
          </cell>
          <cell r="AP1306">
            <v>0</v>
          </cell>
          <cell r="AQ1306">
            <v>0</v>
          </cell>
          <cell r="AV1306">
            <v>4300000</v>
          </cell>
        </row>
        <row r="1307">
          <cell r="E1307" t="str">
            <v>B26000800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D26001655</v>
          </cell>
          <cell r="AP1308">
            <v>0</v>
          </cell>
          <cell r="AQ1308">
            <v>0</v>
          </cell>
          <cell r="AV1308">
            <v>15200000</v>
          </cell>
        </row>
        <row r="1309">
          <cell r="E1309" t="str">
            <v>D26000219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B26001024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B26001367</v>
          </cell>
          <cell r="AP1311">
            <v>0</v>
          </cell>
          <cell r="AQ1311">
            <v>0</v>
          </cell>
          <cell r="AV1311">
            <v>10874500</v>
          </cell>
        </row>
        <row r="1312">
          <cell r="E1312" t="str">
            <v>B26001368</v>
          </cell>
          <cell r="AP1312">
            <v>0</v>
          </cell>
          <cell r="AQ1312">
            <v>0</v>
          </cell>
          <cell r="AV1312">
            <v>2252000</v>
          </cell>
        </row>
        <row r="1313">
          <cell r="E1313" t="str">
            <v>B26001427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T26000063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Z25002724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D25017604</v>
          </cell>
          <cell r="AP1316">
            <v>0</v>
          </cell>
          <cell r="AQ1316">
            <v>0</v>
          </cell>
          <cell r="AV1316">
            <v>3500000</v>
          </cell>
        </row>
        <row r="1317">
          <cell r="E1317" t="str">
            <v>D25017676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D25017717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D25017753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D25017787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D25017817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D25017818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B25015360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B25015424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B25015436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D25017839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D25017985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B25015596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D25018121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D25018128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B25015983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D25018460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D25018475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D25018537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D25018561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B25016286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D25018733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D25018751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B25016434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B25016498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D25018991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B25016567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B25016636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B25016679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B25016681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B25016699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B25016741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B25016752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B25016905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D25019569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D25019570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B25017037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D25019649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D25019684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B26000039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D26000092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D26000167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D26000229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D26000230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B26000332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B26000365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B26000367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B26000374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B26000403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B26000404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B26000411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B26000412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B26000490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B26000588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D26000673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B26000683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B26000863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B26000864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D26001128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D26001139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B26001217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B26001244</v>
          </cell>
          <cell r="AP1377">
            <v>0</v>
          </cell>
          <cell r="AQ1377">
            <v>0</v>
          </cell>
          <cell r="AV1377">
            <v>50000000</v>
          </cell>
        </row>
        <row r="1378">
          <cell r="E1378" t="str">
            <v>B26001244</v>
          </cell>
          <cell r="AP1378">
            <v>0</v>
          </cell>
          <cell r="AQ1378">
            <v>0</v>
          </cell>
          <cell r="AV1378">
            <v>25000000</v>
          </cell>
        </row>
        <row r="1379">
          <cell r="E1379" t="str">
            <v>B26001244</v>
          </cell>
          <cell r="AP1379">
            <v>0</v>
          </cell>
          <cell r="AQ1379">
            <v>0</v>
          </cell>
          <cell r="AV1379">
            <v>17500000</v>
          </cell>
        </row>
        <row r="1380">
          <cell r="E1380" t="str">
            <v>B26001290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B26001399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D26001433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D26001490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B26001483</v>
          </cell>
          <cell r="AP1384">
            <v>0</v>
          </cell>
          <cell r="AQ1384">
            <v>0</v>
          </cell>
          <cell r="AV1384">
            <v>14000000</v>
          </cell>
        </row>
        <row r="1385">
          <cell r="E1385" t="str">
            <v>B26001553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B26001554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D26001765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B26001798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B26001803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B26001909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B26001929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B26001930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D26002067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B25015690</v>
          </cell>
          <cell r="AP1394">
            <v>0</v>
          </cell>
          <cell r="AQ1394">
            <v>0</v>
          </cell>
          <cell r="AV1394">
            <v>50000000</v>
          </cell>
        </row>
        <row r="1395">
          <cell r="E1395" t="str">
            <v>D26000913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T26000060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T26000061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T26000062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D26001682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C25001129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B26001885</v>
          </cell>
          <cell r="AP1401">
            <v>0</v>
          </cell>
          <cell r="AQ1401">
            <v>0</v>
          </cell>
          <cell r="AV1401">
            <v>7400000</v>
          </cell>
        </row>
        <row r="1402">
          <cell r="E1402" t="str">
            <v>D25019225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B26000054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B25014145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B25014223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T25001636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Z25002935</v>
          </cell>
          <cell r="AP1407">
            <v>0</v>
          </cell>
          <cell r="AQ1407">
            <v>0</v>
          </cell>
          <cell r="AV1407">
            <v>34160000</v>
          </cell>
        </row>
        <row r="1408">
          <cell r="E1408" t="str">
            <v>B25015058</v>
          </cell>
          <cell r="AP1408">
            <v>0</v>
          </cell>
          <cell r="AQ1408">
            <v>0</v>
          </cell>
          <cell r="AV1408">
            <v>31150000</v>
          </cell>
        </row>
        <row r="1409">
          <cell r="E1409" t="str">
            <v>Z25002997</v>
          </cell>
          <cell r="AP1409">
            <v>0</v>
          </cell>
          <cell r="AQ1409">
            <v>0</v>
          </cell>
          <cell r="AV1409">
            <v>34690000</v>
          </cell>
        </row>
        <row r="1410">
          <cell r="E1410" t="str">
            <v>Z25002997</v>
          </cell>
          <cell r="AP1410">
            <v>0</v>
          </cell>
          <cell r="AQ1410">
            <v>0</v>
          </cell>
          <cell r="AV1410">
            <v>70000000</v>
          </cell>
        </row>
        <row r="1411">
          <cell r="E1411" t="str">
            <v>D25017624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D25017734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Z25003042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Z25003049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B25015411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B25015419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B25015420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B25015650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Z25003073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B25015679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B25015722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B25015726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Z25003099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B25015823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D25018213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D25018256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B25015907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B25016015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Z25003163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Z25003166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Z25003169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B25016175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B25016271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D25018881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D25018971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Z25003294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B25016697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Z25003321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D25019448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D25019496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D25019504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Z25003354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B25017019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B25017026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Z25003356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D25019620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Z25003374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Z25003397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B26000429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D26000565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Z26000091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B26000651</v>
          </cell>
          <cell r="AP1452">
            <v>0</v>
          </cell>
          <cell r="AQ1452">
            <v>0</v>
          </cell>
          <cell r="AV1452">
            <v>2250000</v>
          </cell>
        </row>
        <row r="1453">
          <cell r="E1453" t="str">
            <v>D26000711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D26000775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D26000776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D26000887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D26001205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Z26000194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B26001567</v>
          </cell>
          <cell r="AP1459">
            <v>0</v>
          </cell>
          <cell r="AQ1459">
            <v>0</v>
          </cell>
          <cell r="AV1459">
            <v>705000</v>
          </cell>
        </row>
        <row r="1460">
          <cell r="E1460" t="str">
            <v>B26001638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D26001751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D26001824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D26001832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B26001738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D26001880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D26001881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D26001882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D26001883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Z26000329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Z26000349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D26002089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B26001195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D26001628</v>
          </cell>
          <cell r="AP1473">
            <v>0</v>
          </cell>
          <cell r="AQ1473">
            <v>0</v>
          </cell>
          <cell r="AV1473">
            <v>984000</v>
          </cell>
        </row>
        <row r="1474">
          <cell r="E1474" t="str">
            <v>B26001863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B26000455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B26000658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D26000790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B26000754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D26000874</v>
          </cell>
          <cell r="AP1479">
            <v>0</v>
          </cell>
          <cell r="AQ1479">
            <v>0</v>
          </cell>
          <cell r="AV1479">
            <v>0</v>
          </cell>
        </row>
        <row r="1480">
          <cell r="E1480" t="str">
            <v>D26000875</v>
          </cell>
          <cell r="AP1480">
            <v>0</v>
          </cell>
          <cell r="AQ1480">
            <v>0</v>
          </cell>
          <cell r="AV1480">
            <v>0</v>
          </cell>
        </row>
        <row r="1481">
          <cell r="E1481" t="str">
            <v>D26001201</v>
          </cell>
          <cell r="AP1481">
            <v>0</v>
          </cell>
          <cell r="AQ1481">
            <v>0</v>
          </cell>
          <cell r="AV1481">
            <v>3250000</v>
          </cell>
        </row>
        <row r="1482">
          <cell r="E1482" t="str">
            <v>T25001609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B25015779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B25016451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B25016452</v>
          </cell>
          <cell r="AP1485">
            <v>0</v>
          </cell>
          <cell r="AQ1485">
            <v>0</v>
          </cell>
          <cell r="AV1485">
            <v>8400000</v>
          </cell>
        </row>
        <row r="1486">
          <cell r="E1486" t="str">
            <v>T25001859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B25016731</v>
          </cell>
          <cell r="AP1487">
            <v>0</v>
          </cell>
          <cell r="AQ1487">
            <v>0</v>
          </cell>
          <cell r="AV1487">
            <v>7000000</v>
          </cell>
        </row>
        <row r="1488">
          <cell r="E1488" t="str">
            <v>D25019246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B25016843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B26000238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B26000239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B26000240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B26000745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B26000746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D26001239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T26000083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D26001277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D26001287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B26001228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B26001248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B26001264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B26001275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B26001390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T26000025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D25019642</v>
          </cell>
          <cell r="AP1505">
            <v>0</v>
          </cell>
          <cell r="AQ1505">
            <v>0</v>
          </cell>
          <cell r="AV1505">
            <v>750000</v>
          </cell>
        </row>
        <row r="1506">
          <cell r="E1506" t="str">
            <v>B26000274</v>
          </cell>
          <cell r="AP1506">
            <v>0</v>
          </cell>
          <cell r="AQ1506">
            <v>0</v>
          </cell>
          <cell r="AV1506">
            <v>1500000</v>
          </cell>
        </row>
        <row r="1507">
          <cell r="E1507" t="str">
            <v>D26001376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B26001440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B26001923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D25017361</v>
          </cell>
          <cell r="AP1510">
            <v>0</v>
          </cell>
          <cell r="AQ1510">
            <v>0</v>
          </cell>
          <cell r="AV1510">
            <v>3500000</v>
          </cell>
        </row>
        <row r="1511">
          <cell r="E1511" t="str">
            <v>D26000757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D25019567</v>
          </cell>
          <cell r="AP1512">
            <v>0</v>
          </cell>
          <cell r="AQ1512">
            <v>0</v>
          </cell>
          <cell r="AV1512">
            <v>6529500</v>
          </cell>
        </row>
        <row r="1513">
          <cell r="E1513" t="str">
            <v>D25019568</v>
          </cell>
          <cell r="AP1513">
            <v>0</v>
          </cell>
          <cell r="AQ1513">
            <v>0</v>
          </cell>
          <cell r="AV1513">
            <v>2449750</v>
          </cell>
        </row>
        <row r="1514">
          <cell r="E1514" t="str">
            <v>D26000718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D26000744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D26001932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D26001933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D26001934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D26001935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D26001936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D26001936</v>
          </cell>
          <cell r="AP1521">
            <v>0</v>
          </cell>
          <cell r="AQ1521">
            <v>0</v>
          </cell>
          <cell r="AV1521">
            <v>2320000</v>
          </cell>
        </row>
        <row r="1522">
          <cell r="E1522" t="str">
            <v>D26000765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D26000806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D26000824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D26001212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D26001281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D25019385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D25016327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B26000179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D25018311</v>
          </cell>
          <cell r="AP1530">
            <v>0</v>
          </cell>
          <cell r="AQ1530">
            <v>0</v>
          </cell>
          <cell r="AV1530">
            <v>8777500</v>
          </cell>
        </row>
        <row r="1531">
          <cell r="E1531" t="str">
            <v>D26000223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D26000334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D26000336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D26000367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D26001177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D26001178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D26001197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B26001389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B26001896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B26001897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D25017318</v>
          </cell>
          <cell r="AP1541">
            <v>0</v>
          </cell>
          <cell r="AQ1541">
            <v>0</v>
          </cell>
          <cell r="AV1541">
            <v>13990200</v>
          </cell>
        </row>
        <row r="1542">
          <cell r="E1542" t="str">
            <v>B25015380</v>
          </cell>
          <cell r="AP1542">
            <v>0</v>
          </cell>
          <cell r="AQ1542">
            <v>0</v>
          </cell>
          <cell r="AV1542">
            <v>1350000</v>
          </cell>
        </row>
        <row r="1543">
          <cell r="E1543" t="str">
            <v>B25015502</v>
          </cell>
          <cell r="AP1543">
            <v>0</v>
          </cell>
          <cell r="AQ1543">
            <v>0</v>
          </cell>
          <cell r="AV1543">
            <v>1760000</v>
          </cell>
        </row>
        <row r="1544">
          <cell r="E1544" t="str">
            <v>D25018160</v>
          </cell>
          <cell r="AP1544">
            <v>0</v>
          </cell>
          <cell r="AQ1544">
            <v>0</v>
          </cell>
          <cell r="AV1544">
            <v>2899800</v>
          </cell>
        </row>
        <row r="1545">
          <cell r="E1545" t="str">
            <v>B25016063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B25016154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B25016418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B25016550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D25019411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B25017052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B26000047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B26000244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B26000324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B26000701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D26000758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B26001359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B26001578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B26001629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B26001675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B26001704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D26001945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D26000861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D25016535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D25017076</v>
          </cell>
          <cell r="AP1564">
            <v>0</v>
          </cell>
          <cell r="AQ1564">
            <v>0</v>
          </cell>
          <cell r="AV1564">
            <v>3360000</v>
          </cell>
        </row>
        <row r="1565">
          <cell r="E1565" t="str">
            <v>B25014981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D25017295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B25016007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B25016087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B25016228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B25016798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B25016802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B25017093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D26000237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B26000783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B26001561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B25014225</v>
          </cell>
          <cell r="AP1576">
            <v>0</v>
          </cell>
          <cell r="AQ1576">
            <v>0</v>
          </cell>
          <cell r="AV1576">
            <v>46055000</v>
          </cell>
        </row>
        <row r="1577">
          <cell r="E1577" t="str">
            <v>B25014226</v>
          </cell>
          <cell r="AP1577">
            <v>0</v>
          </cell>
          <cell r="AQ1577">
            <v>0</v>
          </cell>
          <cell r="AV1577">
            <v>13900000</v>
          </cell>
        </row>
        <row r="1578">
          <cell r="E1578" t="str">
            <v>B25014517</v>
          </cell>
          <cell r="AP1578">
            <v>0</v>
          </cell>
          <cell r="AQ1578">
            <v>0</v>
          </cell>
          <cell r="AV1578">
            <v>27800000</v>
          </cell>
        </row>
        <row r="1579">
          <cell r="E1579" t="str">
            <v>D25017414</v>
          </cell>
          <cell r="AP1579">
            <v>0</v>
          </cell>
          <cell r="AQ1579">
            <v>0</v>
          </cell>
          <cell r="AV1579">
            <v>4200000</v>
          </cell>
        </row>
        <row r="1580">
          <cell r="E1580" t="str">
            <v>T25001720K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D25017650</v>
          </cell>
          <cell r="AP1581">
            <v>0</v>
          </cell>
          <cell r="AQ1581">
            <v>0</v>
          </cell>
          <cell r="AV1581">
            <v>22050000</v>
          </cell>
        </row>
        <row r="1582">
          <cell r="E1582" t="str">
            <v>B25015494</v>
          </cell>
          <cell r="AP1582">
            <v>0</v>
          </cell>
          <cell r="AQ1582">
            <v>0</v>
          </cell>
          <cell r="AV1582">
            <v>22880000</v>
          </cell>
        </row>
        <row r="1583">
          <cell r="E1583" t="str">
            <v>D25018030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D25018036</v>
          </cell>
          <cell r="AP1584">
            <v>0</v>
          </cell>
          <cell r="AQ1584">
            <v>0</v>
          </cell>
          <cell r="AV1584">
            <v>11120000</v>
          </cell>
        </row>
        <row r="1585">
          <cell r="E1585" t="str">
            <v>B25015871</v>
          </cell>
          <cell r="AP1585">
            <v>0</v>
          </cell>
          <cell r="AQ1585">
            <v>0</v>
          </cell>
          <cell r="AV1585">
            <v>9450000</v>
          </cell>
        </row>
        <row r="1586">
          <cell r="E1586" t="str">
            <v>B25015935</v>
          </cell>
          <cell r="AP1586">
            <v>0</v>
          </cell>
          <cell r="AQ1586">
            <v>0</v>
          </cell>
          <cell r="AV1586">
            <v>8400000</v>
          </cell>
        </row>
        <row r="1587">
          <cell r="E1587" t="str">
            <v>B25015936</v>
          </cell>
          <cell r="AP1587">
            <v>0</v>
          </cell>
          <cell r="AQ1587">
            <v>0</v>
          </cell>
          <cell r="AV1587">
            <v>5400000</v>
          </cell>
        </row>
        <row r="1588">
          <cell r="E1588" t="str">
            <v>B25016022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B25016035</v>
          </cell>
          <cell r="AP1589">
            <v>0</v>
          </cell>
          <cell r="AQ1589">
            <v>0</v>
          </cell>
          <cell r="AV1589">
            <v>59920000</v>
          </cell>
        </row>
        <row r="1590">
          <cell r="E1590" t="str">
            <v>D25018449</v>
          </cell>
          <cell r="AP1590">
            <v>0</v>
          </cell>
          <cell r="AQ1590">
            <v>0</v>
          </cell>
          <cell r="AV1590">
            <v>14700000</v>
          </cell>
        </row>
        <row r="1591">
          <cell r="E1591" t="str">
            <v>D25018452</v>
          </cell>
          <cell r="AP1591">
            <v>0</v>
          </cell>
          <cell r="AQ1591">
            <v>0</v>
          </cell>
          <cell r="AV1591">
            <v>20350000</v>
          </cell>
        </row>
        <row r="1592">
          <cell r="E1592" t="str">
            <v>D25018462</v>
          </cell>
          <cell r="AP1592">
            <v>0</v>
          </cell>
          <cell r="AQ1592">
            <v>0</v>
          </cell>
          <cell r="AV1592">
            <v>3000000</v>
          </cell>
        </row>
        <row r="1593">
          <cell r="E1593" t="str">
            <v>B25016099</v>
          </cell>
          <cell r="AP1593">
            <v>0</v>
          </cell>
          <cell r="AQ1593">
            <v>0</v>
          </cell>
          <cell r="AV1593">
            <v>3600000</v>
          </cell>
        </row>
        <row r="1594">
          <cell r="E1594" t="str">
            <v>D25018538</v>
          </cell>
          <cell r="AP1594">
            <v>0</v>
          </cell>
          <cell r="AQ1594">
            <v>0</v>
          </cell>
          <cell r="AV1594">
            <v>5832000</v>
          </cell>
        </row>
        <row r="1595">
          <cell r="E1595" t="str">
            <v>B25016381</v>
          </cell>
          <cell r="AP1595">
            <v>0</v>
          </cell>
          <cell r="AQ1595">
            <v>0</v>
          </cell>
          <cell r="AV1595">
            <v>38820000</v>
          </cell>
        </row>
        <row r="1596">
          <cell r="E1596" t="str">
            <v>D25018937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B25016507</v>
          </cell>
          <cell r="AP1597">
            <v>0</v>
          </cell>
          <cell r="AQ1597">
            <v>0</v>
          </cell>
          <cell r="AV1597">
            <v>3320000</v>
          </cell>
        </row>
        <row r="1598">
          <cell r="E1598" t="str">
            <v>B25016519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B25016585</v>
          </cell>
          <cell r="AP1599">
            <v>0</v>
          </cell>
          <cell r="AQ1599">
            <v>0</v>
          </cell>
          <cell r="AV1599">
            <v>6300000</v>
          </cell>
        </row>
        <row r="1600">
          <cell r="E1600" t="str">
            <v>B25016610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D25019152</v>
          </cell>
          <cell r="AP1601">
            <v>0</v>
          </cell>
          <cell r="AQ1601">
            <v>0</v>
          </cell>
          <cell r="AV1601">
            <v>36000000</v>
          </cell>
        </row>
        <row r="1602">
          <cell r="E1602" t="str">
            <v>B25016775</v>
          </cell>
          <cell r="AP1602">
            <v>0</v>
          </cell>
          <cell r="AQ1602">
            <v>0</v>
          </cell>
          <cell r="AV1602">
            <v>50000000</v>
          </cell>
        </row>
        <row r="1603">
          <cell r="E1603" t="str">
            <v>D25019315</v>
          </cell>
          <cell r="AP1603">
            <v>0</v>
          </cell>
          <cell r="AQ1603">
            <v>0</v>
          </cell>
          <cell r="AV1603">
            <v>119900000</v>
          </cell>
        </row>
        <row r="1604">
          <cell r="E1604" t="str">
            <v>D25019343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D25019376</v>
          </cell>
          <cell r="AP1605">
            <v>0</v>
          </cell>
          <cell r="AQ1605">
            <v>0</v>
          </cell>
          <cell r="AV1605">
            <v>10625000</v>
          </cell>
        </row>
        <row r="1606">
          <cell r="E1606" t="str">
            <v>D25019377</v>
          </cell>
          <cell r="AP1606">
            <v>0</v>
          </cell>
          <cell r="AQ1606">
            <v>0</v>
          </cell>
          <cell r="AV1606">
            <v>8400000</v>
          </cell>
        </row>
        <row r="1607">
          <cell r="E1607" t="str">
            <v>B25016973</v>
          </cell>
          <cell r="AP1607">
            <v>0</v>
          </cell>
          <cell r="AQ1607">
            <v>0</v>
          </cell>
          <cell r="AV1607">
            <v>43575000</v>
          </cell>
        </row>
        <row r="1608">
          <cell r="E1608" t="str">
            <v>B25016974</v>
          </cell>
          <cell r="AP1608">
            <v>0</v>
          </cell>
          <cell r="AQ1608">
            <v>0</v>
          </cell>
          <cell r="AV1608">
            <v>1260000</v>
          </cell>
        </row>
        <row r="1609">
          <cell r="E1609" t="str">
            <v>B25016975</v>
          </cell>
          <cell r="AP1609">
            <v>0</v>
          </cell>
          <cell r="AQ1609">
            <v>0</v>
          </cell>
          <cell r="AV1609">
            <v>7440000</v>
          </cell>
        </row>
        <row r="1610">
          <cell r="E1610" t="str">
            <v>B26000267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B26000268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B26000284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B26000323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D26000387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D26000391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B26000395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B26000666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D26000737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D26000873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D26000882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D26000884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B26000827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B26000831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B26000872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D26000914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B26000926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D26001016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B26001032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B26001033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B26001047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D26001140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D26001157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B26001163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D26001214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B26001239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D26001300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D26001326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D26001367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D26001574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B26001538</v>
          </cell>
          <cell r="AP1640">
            <v>0</v>
          </cell>
          <cell r="AQ1640">
            <v>0</v>
          </cell>
          <cell r="AV1640">
            <v>2250000</v>
          </cell>
        </row>
        <row r="1641">
          <cell r="E1641" t="str">
            <v>B26001560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D26001685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D26001686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D26001687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D26001742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D26001796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B26001730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D26001867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B26001840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B26001844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B26001854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B26001859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D26001967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T26000139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D26000060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B26000190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B26000214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D26000496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D26000497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D26000878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T26000054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T26000055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B26001384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B26001385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D26001559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B26001568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B25015550</v>
          </cell>
          <cell r="AP1667">
            <v>0</v>
          </cell>
          <cell r="AQ1667">
            <v>0</v>
          </cell>
          <cell r="AV1667">
            <v>6135000</v>
          </cell>
        </row>
        <row r="1668">
          <cell r="E1668" t="str">
            <v>B25015864</v>
          </cell>
          <cell r="AP1668">
            <v>0</v>
          </cell>
          <cell r="AQ1668">
            <v>0</v>
          </cell>
          <cell r="AV1668">
            <v>10840000</v>
          </cell>
        </row>
        <row r="1669">
          <cell r="E1669" t="str">
            <v>B25016092</v>
          </cell>
          <cell r="AP1669">
            <v>0</v>
          </cell>
          <cell r="AQ1669">
            <v>0</v>
          </cell>
          <cell r="AV1669">
            <v>2750000</v>
          </cell>
        </row>
        <row r="1670">
          <cell r="E1670" t="str">
            <v>B25016384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D25019393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D25019652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B26000606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B26000956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B26001207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D26000012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D26000395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B26000722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B26001094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D26001151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B26001635</v>
          </cell>
          <cell r="AP1681">
            <v>0</v>
          </cell>
          <cell r="AQ1681">
            <v>0</v>
          </cell>
          <cell r="AV1681">
            <v>12950000</v>
          </cell>
        </row>
        <row r="1682">
          <cell r="E1682" t="str">
            <v>D26001766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B26001763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D25019621</v>
          </cell>
          <cell r="AP1684">
            <v>0</v>
          </cell>
          <cell r="AQ1684">
            <v>0</v>
          </cell>
          <cell r="AV1684">
            <v>2580000</v>
          </cell>
        </row>
        <row r="1685">
          <cell r="E1685" t="str">
            <v>D25019622</v>
          </cell>
          <cell r="AP1685">
            <v>0</v>
          </cell>
          <cell r="AQ1685">
            <v>0</v>
          </cell>
          <cell r="AV1685">
            <v>4782500</v>
          </cell>
        </row>
        <row r="1686">
          <cell r="E1686" t="str">
            <v>D25019623</v>
          </cell>
          <cell r="AP1686">
            <v>0</v>
          </cell>
          <cell r="AQ1686">
            <v>0</v>
          </cell>
          <cell r="AV1686">
            <v>1497500</v>
          </cell>
        </row>
        <row r="1687">
          <cell r="E1687" t="str">
            <v>D25019624</v>
          </cell>
          <cell r="AP1687">
            <v>0</v>
          </cell>
          <cell r="AQ1687">
            <v>0</v>
          </cell>
          <cell r="AV1687">
            <v>1440000</v>
          </cell>
        </row>
        <row r="1688">
          <cell r="E1688" t="str">
            <v>T25001894</v>
          </cell>
          <cell r="AP1688">
            <v>0</v>
          </cell>
          <cell r="AQ1688">
            <v>0</v>
          </cell>
          <cell r="AV1688">
            <v>180000</v>
          </cell>
        </row>
        <row r="1689">
          <cell r="E1689" t="str">
            <v>B25017101</v>
          </cell>
          <cell r="AP1689">
            <v>0</v>
          </cell>
          <cell r="AQ1689">
            <v>0</v>
          </cell>
          <cell r="AV1689">
            <v>5120000</v>
          </cell>
        </row>
        <row r="1690">
          <cell r="E1690" t="str">
            <v>D26000201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D26000220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D26000568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D26000569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D26000570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D26000571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D26000572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D26000573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B26000585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B26000640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B26001196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B26001197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B26001198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B26001199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B26001200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D26001307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B26001786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B26001787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B26001788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B26001789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B26001790</v>
          </cell>
          <cell r="AP1710">
            <v>0</v>
          </cell>
          <cell r="AQ1710">
            <v>0</v>
          </cell>
          <cell r="AV1710">
            <v>3880000</v>
          </cell>
        </row>
        <row r="1711">
          <cell r="E1711" t="str">
            <v>B26001791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D26001149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B26001901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D25018262</v>
          </cell>
          <cell r="AP1714">
            <v>0</v>
          </cell>
          <cell r="AQ1714">
            <v>0</v>
          </cell>
          <cell r="AV1714">
            <v>6000000</v>
          </cell>
        </row>
        <row r="1715">
          <cell r="E1715" t="str">
            <v>D26002017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T25001796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D26000332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B26000333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D26001846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D26001670</v>
          </cell>
          <cell r="AP1720">
            <v>7140000</v>
          </cell>
          <cell r="AQ1720">
            <v>0</v>
          </cell>
          <cell r="AV1720">
            <v>0</v>
          </cell>
        </row>
        <row r="1721">
          <cell r="E1721" t="str">
            <v>D26001738</v>
          </cell>
          <cell r="AP1721">
            <v>0</v>
          </cell>
          <cell r="AQ1721">
            <v>0</v>
          </cell>
          <cell r="AV1721">
            <v>115000000</v>
          </cell>
        </row>
        <row r="1722">
          <cell r="E1722" t="str">
            <v>B26001650</v>
          </cell>
          <cell r="AP1722">
            <v>0</v>
          </cell>
          <cell r="AQ1722">
            <v>0</v>
          </cell>
          <cell r="AV1722">
            <v>27200000</v>
          </cell>
        </row>
        <row r="1723">
          <cell r="E1723" t="str">
            <v>B26001735</v>
          </cell>
          <cell r="AP1723">
            <v>0</v>
          </cell>
          <cell r="AQ1723">
            <v>0</v>
          </cell>
          <cell r="AV1723">
            <v>96660000</v>
          </cell>
        </row>
        <row r="1724">
          <cell r="E1724" t="str">
            <v>B26001751</v>
          </cell>
          <cell r="AP1724">
            <v>0</v>
          </cell>
          <cell r="AQ1724">
            <v>0</v>
          </cell>
          <cell r="AV1724">
            <v>297375000</v>
          </cell>
        </row>
        <row r="1725">
          <cell r="E1725" t="str">
            <v>B26001802</v>
          </cell>
          <cell r="AP1725">
            <v>0</v>
          </cell>
          <cell r="AQ1725">
            <v>0</v>
          </cell>
          <cell r="AV1725">
            <v>184000000</v>
          </cell>
        </row>
        <row r="1726">
          <cell r="E1726" t="str">
            <v>D26001912</v>
          </cell>
          <cell r="AP1726">
            <v>0</v>
          </cell>
          <cell r="AQ1726">
            <v>0</v>
          </cell>
          <cell r="AV1726">
            <v>244250000</v>
          </cell>
        </row>
        <row r="1727">
          <cell r="E1727" t="str">
            <v>B26001847</v>
          </cell>
          <cell r="AP1727">
            <v>0</v>
          </cell>
          <cell r="AQ1727">
            <v>0</v>
          </cell>
          <cell r="AV1727">
            <v>30000000</v>
          </cell>
        </row>
        <row r="1728">
          <cell r="E1728" t="str">
            <v>B26001891</v>
          </cell>
          <cell r="AP1728">
            <v>0</v>
          </cell>
          <cell r="AQ1728">
            <v>0</v>
          </cell>
          <cell r="AV1728">
            <v>34750000</v>
          </cell>
        </row>
        <row r="1729">
          <cell r="E1729" t="str">
            <v>B26001939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D26002066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D26002088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B25005869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D25010517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D26002022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B25015254</v>
          </cell>
          <cell r="AP1735">
            <v>0</v>
          </cell>
          <cell r="AQ1735">
            <v>0</v>
          </cell>
          <cell r="AV1735">
            <v>20000000</v>
          </cell>
        </row>
        <row r="1736">
          <cell r="E1736" t="str">
            <v>B26000617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D25019574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D26002082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B26000044</v>
          </cell>
          <cell r="AP1739">
            <v>0</v>
          </cell>
          <cell r="AQ1739">
            <v>0</v>
          </cell>
          <cell r="AV1739">
            <v>7200000</v>
          </cell>
        </row>
        <row r="1740">
          <cell r="E1740" t="str">
            <v>D26000105</v>
          </cell>
          <cell r="AP1740">
            <v>0</v>
          </cell>
          <cell r="AQ1740">
            <v>0</v>
          </cell>
          <cell r="AV1740">
            <v>2900000</v>
          </cell>
        </row>
        <row r="1741">
          <cell r="E1741" t="str">
            <v>D26001797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B25014910</v>
          </cell>
          <cell r="AP1742">
            <v>0</v>
          </cell>
          <cell r="AQ1742">
            <v>0</v>
          </cell>
          <cell r="AV1742">
            <v>128375000</v>
          </cell>
        </row>
        <row r="1743">
          <cell r="E1743" t="str">
            <v>B25014911</v>
          </cell>
          <cell r="AP1743">
            <v>0</v>
          </cell>
          <cell r="AQ1743">
            <v>0</v>
          </cell>
          <cell r="AV1743">
            <v>23950000</v>
          </cell>
        </row>
        <row r="1744">
          <cell r="E1744" t="str">
            <v>B25014912</v>
          </cell>
          <cell r="AP1744">
            <v>0</v>
          </cell>
          <cell r="AQ1744">
            <v>0</v>
          </cell>
          <cell r="AV1744">
            <v>31500000</v>
          </cell>
        </row>
        <row r="1745">
          <cell r="E1745" t="str">
            <v>D25018930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D25018967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D26002047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C26000095</v>
          </cell>
          <cell r="AP1748">
            <v>0</v>
          </cell>
          <cell r="AQ1748">
            <v>0</v>
          </cell>
          <cell r="AV1748">
            <v>1488000</v>
          </cell>
        </row>
        <row r="1749">
          <cell r="E1749" t="str">
            <v>C26000096</v>
          </cell>
          <cell r="AP1749">
            <v>0</v>
          </cell>
          <cell r="AQ1749">
            <v>0</v>
          </cell>
          <cell r="AV1749">
            <v>595000</v>
          </cell>
        </row>
        <row r="1750">
          <cell r="E1750" t="str">
            <v>M26000023</v>
          </cell>
          <cell r="AP1750">
            <v>0</v>
          </cell>
          <cell r="AQ1750">
            <v>0</v>
          </cell>
          <cell r="AV1750">
            <v>17500</v>
          </cell>
        </row>
        <row r="1751">
          <cell r="E1751" t="str">
            <v>C26000103</v>
          </cell>
          <cell r="AP1751">
            <v>0</v>
          </cell>
          <cell r="AQ1751">
            <v>0</v>
          </cell>
          <cell r="AV1751">
            <v>1625000</v>
          </cell>
        </row>
        <row r="1752">
          <cell r="E1752" t="str">
            <v>C26000105</v>
          </cell>
          <cell r="AP1752">
            <v>0</v>
          </cell>
          <cell r="AQ1752">
            <v>0</v>
          </cell>
          <cell r="AV1752">
            <v>126000</v>
          </cell>
        </row>
        <row r="1753">
          <cell r="E1753" t="str">
            <v>C26000106</v>
          </cell>
          <cell r="AP1753">
            <v>0</v>
          </cell>
          <cell r="AQ1753">
            <v>0</v>
          </cell>
          <cell r="AV1753">
            <v>66000</v>
          </cell>
        </row>
        <row r="1754">
          <cell r="E1754" t="str">
            <v>C26000108</v>
          </cell>
          <cell r="AP1754">
            <v>0</v>
          </cell>
          <cell r="AQ1754">
            <v>0</v>
          </cell>
          <cell r="AV1754">
            <v>1123500</v>
          </cell>
        </row>
        <row r="1755">
          <cell r="E1755" t="str">
            <v>C26000111</v>
          </cell>
          <cell r="AP1755">
            <v>0</v>
          </cell>
          <cell r="AQ1755">
            <v>0</v>
          </cell>
          <cell r="AV1755">
            <v>657000</v>
          </cell>
        </row>
        <row r="1756">
          <cell r="E1756" t="str">
            <v>C26000113</v>
          </cell>
          <cell r="AP1756">
            <v>0</v>
          </cell>
          <cell r="AQ1756">
            <v>0</v>
          </cell>
          <cell r="AV1756">
            <v>309500</v>
          </cell>
        </row>
        <row r="1757">
          <cell r="E1757" t="str">
            <v>M26000031</v>
          </cell>
          <cell r="AP1757">
            <v>0</v>
          </cell>
          <cell r="AQ1757">
            <v>0</v>
          </cell>
          <cell r="AV1757">
            <v>115500</v>
          </cell>
        </row>
        <row r="1758">
          <cell r="E1758" t="str">
            <v>M26000031</v>
          </cell>
          <cell r="AP1758">
            <v>0</v>
          </cell>
          <cell r="AQ1758">
            <v>0</v>
          </cell>
          <cell r="AV1758">
            <v>46000</v>
          </cell>
        </row>
        <row r="1759">
          <cell r="E1759" t="str">
            <v>M26000031</v>
          </cell>
          <cell r="AP1759">
            <v>0</v>
          </cell>
          <cell r="AQ1759">
            <v>0</v>
          </cell>
          <cell r="AV1759">
            <v>138500</v>
          </cell>
        </row>
        <row r="1760">
          <cell r="E1760" t="str">
            <v>D25019067</v>
          </cell>
          <cell r="AP1760">
            <v>0</v>
          </cell>
          <cell r="AQ1760">
            <v>0</v>
          </cell>
          <cell r="AV1760">
            <v>579500</v>
          </cell>
        </row>
        <row r="1761">
          <cell r="E1761" t="str">
            <v>B25016684</v>
          </cell>
          <cell r="AP1761">
            <v>0</v>
          </cell>
          <cell r="AQ1761">
            <v>0</v>
          </cell>
          <cell r="AV1761">
            <v>560000</v>
          </cell>
        </row>
        <row r="1762">
          <cell r="E1762" t="str">
            <v>B26000154</v>
          </cell>
          <cell r="AP1762">
            <v>0</v>
          </cell>
          <cell r="AQ1762">
            <v>0</v>
          </cell>
          <cell r="AV1762">
            <v>860500</v>
          </cell>
        </row>
        <row r="1763">
          <cell r="E1763" t="str">
            <v>D26001055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D26001521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D26001554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D26001568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B26001889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D26002000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D25017840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D25018603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D25018672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D25018799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B25016397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B25016408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B25016446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D25018938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D25018939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D25018940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D26001386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D26001392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D25019335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Z26000236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Z26000335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Z26000313</v>
          </cell>
          <cell r="AP1784">
            <v>0</v>
          </cell>
          <cell r="AQ1784">
            <v>0</v>
          </cell>
          <cell r="AV1784">
            <v>2025000</v>
          </cell>
        </row>
        <row r="1785">
          <cell r="E1785" t="str">
            <v>D26000317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B26001203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T25001533K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T25001617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T26000086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D25017894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D25017895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D25017897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B25012755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D25015098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T25001556K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D26000323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B26001924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D25019539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D26000840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B26001123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B26001136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B26001590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B26001591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Z25003263</v>
          </cell>
          <cell r="AP1804">
            <v>0</v>
          </cell>
          <cell r="AQ1804">
            <v>0</v>
          </cell>
          <cell r="AV1804">
            <v>14125000</v>
          </cell>
        </row>
        <row r="1805">
          <cell r="E1805" t="str">
            <v>Z25003273</v>
          </cell>
          <cell r="AP1805">
            <v>0</v>
          </cell>
          <cell r="AQ1805">
            <v>0</v>
          </cell>
          <cell r="AV1805">
            <v>2400000</v>
          </cell>
        </row>
        <row r="1806">
          <cell r="E1806" t="str">
            <v>Z26000020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Z26000021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Z26000024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Z26000231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Z26000232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D26000400</v>
          </cell>
          <cell r="AP1811">
            <v>800</v>
          </cell>
          <cell r="AQ1811">
            <v>0</v>
          </cell>
          <cell r="AV1811">
            <v>39980000</v>
          </cell>
        </row>
        <row r="1812">
          <cell r="E1812" t="str">
            <v>D26000401</v>
          </cell>
          <cell r="AP1812">
            <v>0</v>
          </cell>
          <cell r="AQ1812">
            <v>0</v>
          </cell>
          <cell r="AV1812">
            <v>6120000</v>
          </cell>
        </row>
        <row r="1813">
          <cell r="E1813" t="str">
            <v>B25015510</v>
          </cell>
          <cell r="AP1813">
            <v>0</v>
          </cell>
          <cell r="AQ1813">
            <v>0</v>
          </cell>
          <cell r="AV1813">
            <v>7000000</v>
          </cell>
        </row>
        <row r="1814">
          <cell r="E1814" t="str">
            <v>B25015647</v>
          </cell>
          <cell r="AP1814">
            <v>0</v>
          </cell>
          <cell r="AQ1814">
            <v>0</v>
          </cell>
          <cell r="AV1814">
            <v>105000000</v>
          </cell>
        </row>
        <row r="1815">
          <cell r="E1815" t="str">
            <v>B25015928</v>
          </cell>
          <cell r="AP1815">
            <v>0</v>
          </cell>
          <cell r="AQ1815">
            <v>0</v>
          </cell>
          <cell r="AV1815">
            <v>59350000</v>
          </cell>
        </row>
        <row r="1816">
          <cell r="E1816" t="str">
            <v>B25015929</v>
          </cell>
          <cell r="AP1816">
            <v>0</v>
          </cell>
          <cell r="AQ1816">
            <v>0</v>
          </cell>
          <cell r="AV1816">
            <v>46062500</v>
          </cell>
        </row>
        <row r="1817">
          <cell r="E1817" t="str">
            <v>B25015930</v>
          </cell>
          <cell r="AP1817">
            <v>0</v>
          </cell>
          <cell r="AQ1817">
            <v>0</v>
          </cell>
          <cell r="AV1817">
            <v>44050000</v>
          </cell>
        </row>
        <row r="1818">
          <cell r="E1818" t="str">
            <v>B25015991</v>
          </cell>
          <cell r="AP1818">
            <v>0</v>
          </cell>
          <cell r="AQ1818">
            <v>0</v>
          </cell>
          <cell r="AV1818">
            <v>7000000</v>
          </cell>
        </row>
        <row r="1819">
          <cell r="E1819" t="str">
            <v>D25018525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D25018606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B25016177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B25016825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B25016837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B25017008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D25019579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D26000036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D26000149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D26000150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B26000166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B26000347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D26000810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B26000982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B26000983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B26001042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B26001049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D26001275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D26001314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B26001274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B26001388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B26001410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B26001446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B26001574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B26001580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D26001839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B26001745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D26002091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D26002058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B25015694</v>
          </cell>
          <cell r="AP1848">
            <v>0</v>
          </cell>
          <cell r="AQ1848">
            <v>0</v>
          </cell>
          <cell r="AV1848">
            <v>1630000</v>
          </cell>
        </row>
        <row r="1849">
          <cell r="E1849" t="str">
            <v>B25015943</v>
          </cell>
          <cell r="AP1849">
            <v>0</v>
          </cell>
          <cell r="AQ1849">
            <v>0</v>
          </cell>
          <cell r="AV1849">
            <v>5300000</v>
          </cell>
        </row>
        <row r="1850">
          <cell r="E1850" t="str">
            <v>D25019008</v>
          </cell>
          <cell r="AP1850">
            <v>0</v>
          </cell>
          <cell r="AQ1850">
            <v>0</v>
          </cell>
          <cell r="AV1850">
            <v>4125000</v>
          </cell>
        </row>
        <row r="1851">
          <cell r="E1851" t="str">
            <v>B25016619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D25019634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B25013203</v>
          </cell>
          <cell r="AP1853">
            <v>0</v>
          </cell>
          <cell r="AQ1853">
            <v>0</v>
          </cell>
          <cell r="AV1853">
            <v>1725000</v>
          </cell>
        </row>
        <row r="1854">
          <cell r="E1854" t="str">
            <v>B25013215</v>
          </cell>
          <cell r="AP1854">
            <v>0</v>
          </cell>
          <cell r="AQ1854">
            <v>0</v>
          </cell>
          <cell r="AV1854">
            <v>275000</v>
          </cell>
        </row>
        <row r="1855">
          <cell r="E1855" t="str">
            <v>B25013285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T24000347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E23005700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B25008183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D25017488</v>
          </cell>
          <cell r="AP1859">
            <v>0</v>
          </cell>
          <cell r="AQ1859">
            <v>0</v>
          </cell>
          <cell r="AV1859">
            <v>8600000</v>
          </cell>
        </row>
        <row r="1860">
          <cell r="E1860" t="str">
            <v>B26001004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B25016804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B25016832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>
            <v>250190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B25015868</v>
          </cell>
          <cell r="AP1864">
            <v>0</v>
          </cell>
          <cell r="AQ1864">
            <v>0</v>
          </cell>
          <cell r="AV1864">
            <v>4187500</v>
          </cell>
        </row>
        <row r="1865">
          <cell r="E1865" t="str">
            <v>B25016678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B25016955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D26000664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T25001725K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B25015538</v>
          </cell>
          <cell r="AP1869">
            <v>0</v>
          </cell>
          <cell r="AQ1869">
            <v>0</v>
          </cell>
          <cell r="AV1869">
            <v>11750000</v>
          </cell>
        </row>
        <row r="1870">
          <cell r="E1870" t="str">
            <v>B25015969</v>
          </cell>
          <cell r="AP1870">
            <v>0</v>
          </cell>
          <cell r="AQ1870">
            <v>0</v>
          </cell>
          <cell r="AV1870">
            <v>5312500</v>
          </cell>
        </row>
        <row r="1871">
          <cell r="E1871" t="str">
            <v>T26000030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D26000770</v>
          </cell>
          <cell r="AP1872">
            <v>0</v>
          </cell>
          <cell r="AQ1872">
            <v>0</v>
          </cell>
          <cell r="AV1872">
            <v>4500</v>
          </cell>
        </row>
        <row r="1873">
          <cell r="E1873" t="str">
            <v>D26000899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T26000064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T26000089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D25015378</v>
          </cell>
          <cell r="AP1876">
            <v>0</v>
          </cell>
          <cell r="AQ1876">
            <v>0</v>
          </cell>
          <cell r="AV1876">
            <v>675000</v>
          </cell>
        </row>
        <row r="1877">
          <cell r="E1877" t="str">
            <v>D25019511</v>
          </cell>
          <cell r="AP1877">
            <v>0</v>
          </cell>
          <cell r="AQ1877">
            <v>0</v>
          </cell>
          <cell r="AV1877">
            <v>4300000</v>
          </cell>
        </row>
        <row r="1878">
          <cell r="E1878" t="str">
            <v>D26000811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D25015654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B25015473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T25001759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D25018034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T25001854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D25019148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B26000046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B26000125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B26000508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B26001344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D26001318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D26001747</v>
          </cell>
          <cell r="AP1890">
            <v>0</v>
          </cell>
          <cell r="AQ1890">
            <v>0</v>
          </cell>
          <cell r="AV1890">
            <v>11500000</v>
          </cell>
        </row>
        <row r="1891">
          <cell r="E1891" t="str">
            <v>B25015743</v>
          </cell>
          <cell r="AP1891">
            <v>0</v>
          </cell>
          <cell r="AQ1891">
            <v>0</v>
          </cell>
          <cell r="AV1891">
            <v>4500000</v>
          </cell>
        </row>
        <row r="1892">
          <cell r="E1892" t="str">
            <v>B25015755</v>
          </cell>
          <cell r="AP1892">
            <v>12665000</v>
          </cell>
          <cell r="AQ1892">
            <v>0</v>
          </cell>
          <cell r="AV1892">
            <v>0</v>
          </cell>
        </row>
        <row r="1893">
          <cell r="E1893" t="str">
            <v>B25015755</v>
          </cell>
          <cell r="AP1893">
            <v>0</v>
          </cell>
          <cell r="AQ1893">
            <v>0</v>
          </cell>
          <cell r="AV1893">
            <v>101585000</v>
          </cell>
        </row>
        <row r="1894">
          <cell r="E1894" t="str">
            <v>B25015756</v>
          </cell>
          <cell r="AP1894">
            <v>0</v>
          </cell>
          <cell r="AQ1894">
            <v>0</v>
          </cell>
          <cell r="AV1894">
            <v>124980500</v>
          </cell>
        </row>
        <row r="1895">
          <cell r="E1895" t="str">
            <v>B25015830</v>
          </cell>
          <cell r="AP1895">
            <v>0</v>
          </cell>
          <cell r="AQ1895">
            <v>0</v>
          </cell>
          <cell r="AV1895">
            <v>17305000</v>
          </cell>
        </row>
        <row r="1896">
          <cell r="E1896" t="str">
            <v>D25018201</v>
          </cell>
          <cell r="AP1896">
            <v>0</v>
          </cell>
          <cell r="AQ1896">
            <v>0</v>
          </cell>
          <cell r="AV1896">
            <v>88800000</v>
          </cell>
        </row>
        <row r="1897">
          <cell r="E1897" t="str">
            <v>D25018385</v>
          </cell>
          <cell r="AP1897">
            <v>0</v>
          </cell>
          <cell r="AQ1897">
            <v>0</v>
          </cell>
          <cell r="AV1897">
            <v>3840000</v>
          </cell>
        </row>
        <row r="1898">
          <cell r="E1898" t="str">
            <v>D25018386</v>
          </cell>
          <cell r="AP1898">
            <v>0</v>
          </cell>
          <cell r="AQ1898">
            <v>0</v>
          </cell>
          <cell r="AV1898">
            <v>46250000</v>
          </cell>
        </row>
        <row r="1899">
          <cell r="E1899" t="str">
            <v>D25018392</v>
          </cell>
          <cell r="AP1899">
            <v>0</v>
          </cell>
          <cell r="AQ1899">
            <v>0</v>
          </cell>
          <cell r="AV1899">
            <v>6739500</v>
          </cell>
        </row>
        <row r="1900">
          <cell r="E1900" t="str">
            <v>D25018392</v>
          </cell>
          <cell r="AP1900">
            <v>0</v>
          </cell>
          <cell r="AQ1900">
            <v>0</v>
          </cell>
          <cell r="AV1900">
            <v>10500</v>
          </cell>
        </row>
        <row r="1901">
          <cell r="E1901" t="str">
            <v>B25015993</v>
          </cell>
          <cell r="AP1901">
            <v>0</v>
          </cell>
          <cell r="AQ1901">
            <v>0</v>
          </cell>
          <cell r="AV1901">
            <v>6850000</v>
          </cell>
        </row>
        <row r="1902">
          <cell r="E1902" t="str">
            <v>D25018437</v>
          </cell>
          <cell r="AP1902">
            <v>0</v>
          </cell>
          <cell r="AQ1902">
            <v>0</v>
          </cell>
          <cell r="AV1902">
            <v>19905000</v>
          </cell>
        </row>
        <row r="1903">
          <cell r="E1903" t="str">
            <v>D25018500</v>
          </cell>
          <cell r="AP1903">
            <v>0</v>
          </cell>
          <cell r="AQ1903">
            <v>0</v>
          </cell>
          <cell r="AV1903">
            <v>25025000</v>
          </cell>
        </row>
        <row r="1904">
          <cell r="E1904" t="str">
            <v>D25018523</v>
          </cell>
          <cell r="AP1904">
            <v>0</v>
          </cell>
          <cell r="AQ1904">
            <v>0</v>
          </cell>
          <cell r="AV1904">
            <v>150000000</v>
          </cell>
        </row>
        <row r="1905">
          <cell r="E1905" t="str">
            <v>D25018567</v>
          </cell>
          <cell r="AP1905">
            <v>0</v>
          </cell>
          <cell r="AQ1905">
            <v>0</v>
          </cell>
          <cell r="AV1905">
            <v>670000</v>
          </cell>
        </row>
        <row r="1906">
          <cell r="E1906" t="str">
            <v>D25018663</v>
          </cell>
          <cell r="AP1906">
            <v>0</v>
          </cell>
          <cell r="AQ1906">
            <v>0</v>
          </cell>
          <cell r="AV1906">
            <v>915000</v>
          </cell>
        </row>
        <row r="1907">
          <cell r="E1907" t="str">
            <v>D25018692</v>
          </cell>
          <cell r="AP1907">
            <v>0</v>
          </cell>
          <cell r="AQ1907">
            <v>0</v>
          </cell>
          <cell r="AV1907">
            <v>190000</v>
          </cell>
        </row>
        <row r="1908">
          <cell r="E1908" t="str">
            <v>D25018729</v>
          </cell>
          <cell r="AP1908">
            <v>0</v>
          </cell>
          <cell r="AQ1908">
            <v>0</v>
          </cell>
          <cell r="AV1908">
            <v>6750000</v>
          </cell>
        </row>
        <row r="1909">
          <cell r="E1909" t="str">
            <v>B25016347</v>
          </cell>
          <cell r="AP1909">
            <v>0</v>
          </cell>
          <cell r="AQ1909">
            <v>0</v>
          </cell>
          <cell r="AV1909">
            <v>114250000</v>
          </cell>
        </row>
        <row r="1910">
          <cell r="E1910" t="str">
            <v>B25016352</v>
          </cell>
          <cell r="AP1910">
            <v>0</v>
          </cell>
          <cell r="AQ1910">
            <v>0</v>
          </cell>
          <cell r="AV1910">
            <v>16080000</v>
          </cell>
        </row>
        <row r="1911">
          <cell r="E1911" t="str">
            <v>B25016411</v>
          </cell>
          <cell r="AP1911">
            <v>0</v>
          </cell>
          <cell r="AQ1911">
            <v>0</v>
          </cell>
          <cell r="AV1911">
            <v>12000000</v>
          </cell>
        </row>
        <row r="1912">
          <cell r="E1912" t="str">
            <v>B25016412</v>
          </cell>
          <cell r="AP1912">
            <v>0</v>
          </cell>
          <cell r="AQ1912">
            <v>0</v>
          </cell>
          <cell r="AV1912">
            <v>7830000</v>
          </cell>
        </row>
        <row r="1913">
          <cell r="E1913" t="str">
            <v>B25016458</v>
          </cell>
          <cell r="AP1913">
            <v>0</v>
          </cell>
          <cell r="AQ1913">
            <v>0</v>
          </cell>
          <cell r="AV1913">
            <v>24800000</v>
          </cell>
        </row>
        <row r="1914">
          <cell r="E1914" t="str">
            <v>B25016459</v>
          </cell>
          <cell r="AP1914">
            <v>0</v>
          </cell>
          <cell r="AQ1914">
            <v>0</v>
          </cell>
          <cell r="AV1914">
            <v>420000</v>
          </cell>
        </row>
        <row r="1915">
          <cell r="E1915" t="str">
            <v>B25016534</v>
          </cell>
          <cell r="AP1915">
            <v>0</v>
          </cell>
          <cell r="AQ1915">
            <v>0</v>
          </cell>
          <cell r="AV1915">
            <v>190000</v>
          </cell>
        </row>
        <row r="1916">
          <cell r="E1916" t="str">
            <v>B25016535</v>
          </cell>
          <cell r="AP1916">
            <v>0</v>
          </cell>
          <cell r="AQ1916">
            <v>0</v>
          </cell>
          <cell r="AV1916">
            <v>14114500</v>
          </cell>
        </row>
        <row r="1917">
          <cell r="E1917" t="str">
            <v>B25016535</v>
          </cell>
          <cell r="AP1917">
            <v>0</v>
          </cell>
          <cell r="AQ1917">
            <v>0</v>
          </cell>
          <cell r="AV1917">
            <v>27885500</v>
          </cell>
        </row>
        <row r="1918">
          <cell r="E1918" t="str">
            <v>D25019100</v>
          </cell>
          <cell r="AP1918">
            <v>0</v>
          </cell>
          <cell r="AQ1918">
            <v>0</v>
          </cell>
          <cell r="AV1918">
            <v>80950000</v>
          </cell>
        </row>
        <row r="1919">
          <cell r="E1919" t="str">
            <v>D25019105</v>
          </cell>
          <cell r="AP1919">
            <v>0</v>
          </cell>
          <cell r="AQ1919">
            <v>0</v>
          </cell>
          <cell r="AV1919">
            <v>15000000</v>
          </cell>
        </row>
        <row r="1920">
          <cell r="E1920" t="str">
            <v>D25019194</v>
          </cell>
          <cell r="AP1920">
            <v>0</v>
          </cell>
          <cell r="AQ1920">
            <v>0</v>
          </cell>
          <cell r="AV1920">
            <v>46706000</v>
          </cell>
        </row>
        <row r="1921">
          <cell r="E1921" t="str">
            <v>D25019195</v>
          </cell>
          <cell r="AP1921">
            <v>0</v>
          </cell>
          <cell r="AQ1921">
            <v>0</v>
          </cell>
          <cell r="AV1921">
            <v>6940000</v>
          </cell>
        </row>
        <row r="1922">
          <cell r="E1922" t="str">
            <v>D25019247</v>
          </cell>
          <cell r="AP1922">
            <v>0</v>
          </cell>
          <cell r="AQ1922">
            <v>0</v>
          </cell>
          <cell r="AV1922">
            <v>15000000</v>
          </cell>
        </row>
        <row r="1923">
          <cell r="E1923" t="str">
            <v>D25019294</v>
          </cell>
          <cell r="AP1923">
            <v>0</v>
          </cell>
          <cell r="AQ1923">
            <v>0</v>
          </cell>
          <cell r="AV1923">
            <v>2925000</v>
          </cell>
        </row>
        <row r="1924">
          <cell r="E1924" t="str">
            <v>D25019325</v>
          </cell>
          <cell r="AP1924">
            <v>0</v>
          </cell>
          <cell r="AQ1924">
            <v>0</v>
          </cell>
          <cell r="AV1924">
            <v>95287500</v>
          </cell>
        </row>
        <row r="1925">
          <cell r="E1925" t="str">
            <v>B25016828</v>
          </cell>
          <cell r="AP1925">
            <v>0</v>
          </cell>
          <cell r="AQ1925">
            <v>0</v>
          </cell>
          <cell r="AV1925">
            <v>7800000</v>
          </cell>
        </row>
        <row r="1926">
          <cell r="E1926" t="str">
            <v>B25016877</v>
          </cell>
          <cell r="AP1926">
            <v>0</v>
          </cell>
          <cell r="AQ1926">
            <v>0</v>
          </cell>
          <cell r="AV1926">
            <v>12000000</v>
          </cell>
        </row>
        <row r="1927">
          <cell r="E1927" t="str">
            <v>B25016878</v>
          </cell>
          <cell r="AP1927">
            <v>0</v>
          </cell>
          <cell r="AQ1927">
            <v>0</v>
          </cell>
          <cell r="AV1927">
            <v>14770000</v>
          </cell>
        </row>
        <row r="1928">
          <cell r="E1928" t="str">
            <v>B25016884</v>
          </cell>
          <cell r="AP1928">
            <v>0</v>
          </cell>
          <cell r="AQ1928">
            <v>0</v>
          </cell>
          <cell r="AV1928">
            <v>3920000</v>
          </cell>
        </row>
        <row r="1929">
          <cell r="E1929" t="str">
            <v>B25016885</v>
          </cell>
          <cell r="AP1929">
            <v>0</v>
          </cell>
          <cell r="AQ1929">
            <v>0</v>
          </cell>
          <cell r="AV1929">
            <v>19800000</v>
          </cell>
        </row>
        <row r="1930">
          <cell r="E1930" t="str">
            <v>B25016908</v>
          </cell>
          <cell r="AP1930">
            <v>0</v>
          </cell>
          <cell r="AQ1930">
            <v>0</v>
          </cell>
          <cell r="AV1930">
            <v>4980000</v>
          </cell>
        </row>
        <row r="1931">
          <cell r="E1931" t="str">
            <v>B25016950</v>
          </cell>
          <cell r="AP1931">
            <v>0</v>
          </cell>
          <cell r="AQ1931">
            <v>0</v>
          </cell>
          <cell r="AV1931">
            <v>44675000</v>
          </cell>
        </row>
        <row r="1932">
          <cell r="E1932" t="str">
            <v>B25016957</v>
          </cell>
          <cell r="AP1932">
            <v>0</v>
          </cell>
          <cell r="AQ1932">
            <v>0</v>
          </cell>
          <cell r="AV1932">
            <v>1361000</v>
          </cell>
        </row>
        <row r="1933">
          <cell r="E1933" t="str">
            <v>D25019538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B25017082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D25019671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B25017106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D25019697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B26000001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B26000052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B26000053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B26000062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B26000102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D26000066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D26000222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D26000314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B26000311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B26000314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D26000382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D26000383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D26000460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D26000513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D26000514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D26000515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B26000502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B26000531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B26000580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D26000633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D26000655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B26000665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B26000679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D26000708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D26000712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B26000731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D26000812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B26000778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D26000848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B26000811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B26000842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B26000843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B26000894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B26000895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B26000907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D26001026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D26001084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B26001113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D26001153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D26001171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D26001172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B26001146</v>
          </cell>
          <cell r="AP1979">
            <v>0</v>
          </cell>
          <cell r="AQ1979">
            <v>0</v>
          </cell>
          <cell r="AV1979">
            <v>0</v>
          </cell>
        </row>
        <row r="1980">
          <cell r="E1980" t="str">
            <v>D26001224</v>
          </cell>
          <cell r="AP1980">
            <v>0</v>
          </cell>
          <cell r="AQ1980">
            <v>0</v>
          </cell>
          <cell r="AV1980">
            <v>0</v>
          </cell>
        </row>
        <row r="1981">
          <cell r="E1981" t="str">
            <v>B26001218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B26001219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D26001283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D26001297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B26001238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B26001295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D26001383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D26001466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B26001433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B26001434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B26001459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B26001480</v>
          </cell>
          <cell r="AP1992">
            <v>0</v>
          </cell>
          <cell r="AQ1992">
            <v>0</v>
          </cell>
          <cell r="AV1992">
            <v>32250000</v>
          </cell>
        </row>
        <row r="1993">
          <cell r="E1993" t="str">
            <v>D26001631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D26001632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D26001684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D26001732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B26001655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B26001669</v>
          </cell>
          <cell r="AP1998">
            <v>0</v>
          </cell>
          <cell r="AQ1998">
            <v>0</v>
          </cell>
          <cell r="AV1998">
            <v>46250000</v>
          </cell>
        </row>
        <row r="1999">
          <cell r="E1999" t="str">
            <v>B26001670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D26001858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D26001859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D26001902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B26001821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B26001822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B26001869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B26001870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D26002052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D26002053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B26000024</v>
          </cell>
          <cell r="AP2009">
            <v>0</v>
          </cell>
          <cell r="AQ2009">
            <v>0</v>
          </cell>
          <cell r="AV2009">
            <v>2255000</v>
          </cell>
        </row>
        <row r="2010">
          <cell r="E2010" t="str">
            <v>D26000047</v>
          </cell>
          <cell r="AP2010">
            <v>0</v>
          </cell>
          <cell r="AQ2010">
            <v>0</v>
          </cell>
          <cell r="AV2010">
            <v>1600000</v>
          </cell>
        </row>
        <row r="2011">
          <cell r="E2011" t="str">
            <v>B26000878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B26001725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B26001726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B26000025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B26000847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D26001361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D26001875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D26001969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D26001101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B26001374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D26001733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B26001753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D26001879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D25019617</v>
          </cell>
          <cell r="AP2024">
            <v>0</v>
          </cell>
          <cell r="AQ2024">
            <v>0</v>
          </cell>
          <cell r="AV2024">
            <v>7470000</v>
          </cell>
        </row>
        <row r="2025">
          <cell r="E2025" t="str">
            <v>D25019692</v>
          </cell>
          <cell r="AP2025">
            <v>0</v>
          </cell>
          <cell r="AQ2025">
            <v>0</v>
          </cell>
          <cell r="AV2025">
            <v>1350000</v>
          </cell>
        </row>
        <row r="2026">
          <cell r="E2026" t="str">
            <v>D25019694</v>
          </cell>
          <cell r="AP2026">
            <v>0</v>
          </cell>
          <cell r="AQ2026">
            <v>0</v>
          </cell>
          <cell r="AV2026">
            <v>7440000</v>
          </cell>
        </row>
        <row r="2027">
          <cell r="E2027" t="str">
            <v>D26000648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B26000637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B26000870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D26000924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D26001053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D26001062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B26001055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D26001319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B26001537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B26001550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D25018610</v>
          </cell>
          <cell r="AP2037">
            <v>0</v>
          </cell>
          <cell r="AQ2037">
            <v>0</v>
          </cell>
          <cell r="AV2037">
            <v>8500000</v>
          </cell>
        </row>
        <row r="2038">
          <cell r="E2038" t="str">
            <v>D25019233</v>
          </cell>
          <cell r="AP2038">
            <v>0</v>
          </cell>
          <cell r="AQ2038">
            <v>0</v>
          </cell>
          <cell r="AV2038">
            <v>13600000</v>
          </cell>
        </row>
        <row r="2039">
          <cell r="E2039" t="str">
            <v>D25019485</v>
          </cell>
          <cell r="AP2039">
            <v>0</v>
          </cell>
          <cell r="AQ2039">
            <v>0</v>
          </cell>
          <cell r="AV2039">
            <v>19500000</v>
          </cell>
        </row>
        <row r="2040">
          <cell r="E2040" t="str">
            <v>B26000108</v>
          </cell>
          <cell r="AP2040">
            <v>0</v>
          </cell>
          <cell r="AQ2040">
            <v>0</v>
          </cell>
          <cell r="AV2040">
            <v>5100000</v>
          </cell>
        </row>
        <row r="2041">
          <cell r="E2041" t="str">
            <v>B26000315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B26001243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D26001524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D26001596</v>
          </cell>
          <cell r="AP2044">
            <v>0</v>
          </cell>
          <cell r="AQ2044">
            <v>0</v>
          </cell>
          <cell r="AV2044">
            <v>13400000</v>
          </cell>
        </row>
        <row r="2045">
          <cell r="E2045" t="str">
            <v>B26001575</v>
          </cell>
          <cell r="AP2045">
            <v>0</v>
          </cell>
          <cell r="AQ2045">
            <v>0</v>
          </cell>
          <cell r="AV2045">
            <v>11350000</v>
          </cell>
        </row>
        <row r="2046">
          <cell r="E2046" t="str">
            <v>B26001576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B26001846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D26001982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D25016516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N25000063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B25016278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B26000678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B25014533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B25014549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D25017159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D25017524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B25015180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B25015962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D25018402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B25016026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D25019077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B26000050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B26000726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D26000942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D26001481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D26001580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B25014904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B25015817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B25016025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B26000049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B26001029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T26000092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T26000093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B25015882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D25018793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D25019576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D26000315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D26000316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B26000653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B26001059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D26001184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D26002063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Z25003159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Z25003176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Z25003193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Z25003205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Z25003261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Z25003267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Z25003314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Z25003333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Z25003346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Z25003348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Z25003358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Z25003375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Z26000012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Z26000029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Z26000094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Z26000102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Z26000130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Z26000153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Z26000177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Z26000220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Z26000279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B26001903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D25017662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D25017911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D25017932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D25017933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D25018001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D25018139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D25018229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B25015912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D25018287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D25018353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D25018429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D25018492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D25018617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B25016247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B25016267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B25016447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B25016509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B25016792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D25019469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B26000118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D26000102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B26000292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B26000293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B26000528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B26000572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B26000621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B26000671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B26000696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B26000829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B26000865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B26001201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B26001231</v>
          </cell>
          <cell r="AP2136">
            <v>0</v>
          </cell>
          <cell r="AQ2136">
            <v>0</v>
          </cell>
          <cell r="AV2136">
            <v>463500000</v>
          </cell>
        </row>
        <row r="2137">
          <cell r="E2137" t="str">
            <v>B26001233</v>
          </cell>
          <cell r="AP2137">
            <v>0</v>
          </cell>
          <cell r="AQ2137">
            <v>0</v>
          </cell>
          <cell r="AV2137">
            <v>51500000</v>
          </cell>
        </row>
        <row r="2138">
          <cell r="E2138" t="str">
            <v>B26001289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B26001340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B26001341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B26001348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B26001382</v>
          </cell>
          <cell r="AP2142">
            <v>0</v>
          </cell>
          <cell r="AQ2142">
            <v>0</v>
          </cell>
          <cell r="AV2142">
            <v>264000000</v>
          </cell>
        </row>
        <row r="2143">
          <cell r="E2143" t="str">
            <v>B26001383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B26001464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B26001466</v>
          </cell>
          <cell r="AP2145">
            <v>0</v>
          </cell>
          <cell r="AQ2145">
            <v>0</v>
          </cell>
          <cell r="AV2145">
            <v>221000000</v>
          </cell>
        </row>
        <row r="2146">
          <cell r="E2146" t="str">
            <v>B26001551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B26001552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B26001664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B26001665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B26001698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B26001774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B26001779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B26001782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D26001927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D26001928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D26001938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D26002002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D26002049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D26002050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D26002051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D26002094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B26000380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B25002140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B25016848</v>
          </cell>
          <cell r="AP2164">
            <v>0</v>
          </cell>
          <cell r="AQ2164">
            <v>0</v>
          </cell>
          <cell r="AV2164">
            <v>19800000</v>
          </cell>
        </row>
        <row r="2165">
          <cell r="E2165" t="str">
            <v>D25019429</v>
          </cell>
          <cell r="AP2165">
            <v>0</v>
          </cell>
          <cell r="AQ2165">
            <v>0</v>
          </cell>
          <cell r="AV2165">
            <v>2100000</v>
          </cell>
        </row>
        <row r="2166">
          <cell r="E2166" t="str">
            <v>B26000013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D26000461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B26000517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B26000690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D26001024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B26001581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Z25003195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Z25003204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Z25003286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Z25003297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Z26000140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Z26000160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B25016833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B25016892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D26000030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D25018540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D25018671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B25016259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D25019399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B25016922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B26001649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B26001714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C25000307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D24015365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D24015541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C25000192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C25000195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C25000196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C25000197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C25000198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C25000445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B25008299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B25008808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B25009712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M25000081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D25018593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D26002033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B26000145</v>
          </cell>
          <cell r="AP2203">
            <v>0</v>
          </cell>
          <cell r="AQ2203">
            <v>0</v>
          </cell>
          <cell r="AV2203">
            <v>2261000</v>
          </cell>
        </row>
        <row r="2204">
          <cell r="E2204" t="str">
            <v>B26000146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D26000177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D26001775</v>
          </cell>
          <cell r="AP2206">
            <v>0</v>
          </cell>
          <cell r="AQ2206">
            <v>0</v>
          </cell>
          <cell r="AV2206">
            <v>1800000</v>
          </cell>
        </row>
        <row r="2207">
          <cell r="E2207" t="str">
            <v>D26001416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D26001537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D26001621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D25018553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D26001327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T25001822</v>
          </cell>
          <cell r="AP2212">
            <v>0</v>
          </cell>
          <cell r="AQ2212">
            <v>0</v>
          </cell>
          <cell r="AV2212">
            <v>650000</v>
          </cell>
        </row>
        <row r="2213">
          <cell r="E2213" t="str">
            <v>B25016227</v>
          </cell>
          <cell r="AP2213">
            <v>0</v>
          </cell>
          <cell r="AQ2213">
            <v>0</v>
          </cell>
          <cell r="AV2213">
            <v>2660000</v>
          </cell>
        </row>
        <row r="2214">
          <cell r="E2214" t="str">
            <v>D25019423</v>
          </cell>
          <cell r="AP2214">
            <v>0</v>
          </cell>
          <cell r="AQ2214">
            <v>0</v>
          </cell>
          <cell r="AV2214">
            <v>1062500</v>
          </cell>
        </row>
        <row r="2215">
          <cell r="E2215" t="str">
            <v>B25016972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B25017133</v>
          </cell>
          <cell r="AP2216">
            <v>0</v>
          </cell>
          <cell r="AQ2216">
            <v>0</v>
          </cell>
          <cell r="AV2216">
            <v>2252000</v>
          </cell>
        </row>
        <row r="2217">
          <cell r="E2217" t="str">
            <v>B26000326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B26001041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B26001680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B26000030</v>
          </cell>
          <cell r="AP2220">
            <v>0</v>
          </cell>
          <cell r="AQ2220">
            <v>0</v>
          </cell>
          <cell r="AV2220">
            <v>1395000</v>
          </cell>
        </row>
        <row r="2221">
          <cell r="E2221" t="str">
            <v>B26000073</v>
          </cell>
          <cell r="AP2221">
            <v>0</v>
          </cell>
          <cell r="AQ2221">
            <v>0</v>
          </cell>
          <cell r="AV2221">
            <v>5340000</v>
          </cell>
        </row>
        <row r="2222">
          <cell r="E2222" t="str">
            <v>D26000190</v>
          </cell>
          <cell r="AP2222">
            <v>0</v>
          </cell>
          <cell r="AQ2222">
            <v>0</v>
          </cell>
          <cell r="AV2222">
            <v>1580000</v>
          </cell>
        </row>
        <row r="2223">
          <cell r="E2223" t="str">
            <v>D26000235</v>
          </cell>
          <cell r="AP2223">
            <v>0</v>
          </cell>
          <cell r="AQ2223">
            <v>0</v>
          </cell>
          <cell r="AV2223">
            <v>5300000</v>
          </cell>
        </row>
        <row r="2224">
          <cell r="E2224" t="str">
            <v>B26000281</v>
          </cell>
          <cell r="AP2224">
            <v>0</v>
          </cell>
          <cell r="AQ2224">
            <v>0</v>
          </cell>
          <cell r="AV2224">
            <v>4755000</v>
          </cell>
        </row>
        <row r="2225">
          <cell r="E2225" t="str">
            <v>B26000487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B26000556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B26000557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B26000730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B26000777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B26000781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D26001025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B26001246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D26001520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D26001769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B26001766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B26001767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T26000124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D26001924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D26001929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D25019707</v>
          </cell>
          <cell r="AP2240">
            <v>0</v>
          </cell>
          <cell r="AQ2240">
            <v>0</v>
          </cell>
          <cell r="AV2240">
            <v>45600000</v>
          </cell>
        </row>
        <row r="2241">
          <cell r="E2241" t="str">
            <v>D25019707</v>
          </cell>
          <cell r="AP2241">
            <v>0</v>
          </cell>
          <cell r="AQ2241">
            <v>0</v>
          </cell>
          <cell r="AV2241">
            <v>130000000</v>
          </cell>
        </row>
        <row r="2242">
          <cell r="E2242" t="str">
            <v>D25019707</v>
          </cell>
          <cell r="AP2242">
            <v>0</v>
          </cell>
          <cell r="AQ2242">
            <v>0</v>
          </cell>
          <cell r="AV2242">
            <v>10000000</v>
          </cell>
        </row>
        <row r="2243">
          <cell r="E2243" t="str">
            <v>B26000288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D26000547</v>
          </cell>
          <cell r="AP2244">
            <v>0</v>
          </cell>
          <cell r="AQ2244">
            <v>0</v>
          </cell>
          <cell r="AV2244">
            <v>64000000</v>
          </cell>
        </row>
        <row r="2245">
          <cell r="E2245" t="str">
            <v>D26000547</v>
          </cell>
          <cell r="AP2245">
            <v>0</v>
          </cell>
          <cell r="AQ2245">
            <v>0</v>
          </cell>
          <cell r="AV2245">
            <v>174800000</v>
          </cell>
        </row>
        <row r="2246">
          <cell r="E2246" t="str">
            <v>T26000034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D26000779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D26000780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D26000885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D26001196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D26001504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D26001571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D26001745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D26001800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D26001801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D26001817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B26001712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D26002019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B26001898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D26002042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B25016747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B25016748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B26000037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D26000089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D26001302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D26001303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B26001765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T26000122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D26000752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D26000093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B26000913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T25001849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T25001850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B26000357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D26000440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B25009894</v>
          </cell>
          <cell r="AP2276">
            <v>0</v>
          </cell>
          <cell r="AQ2276">
            <v>0</v>
          </cell>
          <cell r="AV2276">
            <v>525000000</v>
          </cell>
        </row>
        <row r="2277">
          <cell r="E2277" t="str">
            <v>D25014407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B26001733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D25019157</v>
          </cell>
          <cell r="AP2279">
            <v>0</v>
          </cell>
          <cell r="AQ2279">
            <v>0</v>
          </cell>
          <cell r="AV2279">
            <v>2260000</v>
          </cell>
        </row>
        <row r="2280">
          <cell r="E2280" t="str">
            <v>D26001468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D26001781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B26000171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D26001079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T25001881k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D25019605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T26000023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D26000738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B26001319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D26002055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B25016739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B25016739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B25016739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B25016740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B25016740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D25019250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D25019250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D25019250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B25016887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B25016947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D26001633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D25017428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B25016171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D25019645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D26000850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B26001089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B26001313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B26001585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D25016631</v>
          </cell>
          <cell r="AP2308">
            <v>0</v>
          </cell>
          <cell r="AQ2308">
            <v>0</v>
          </cell>
          <cell r="AV2308">
            <v>981000</v>
          </cell>
        </row>
        <row r="2309">
          <cell r="E2309" t="str">
            <v>T25001655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D25016872</v>
          </cell>
          <cell r="AP2310">
            <v>0</v>
          </cell>
          <cell r="AQ2310">
            <v>0</v>
          </cell>
          <cell r="AV2310">
            <v>1480000</v>
          </cell>
        </row>
        <row r="2311">
          <cell r="E2311" t="str">
            <v>D25016902</v>
          </cell>
          <cell r="AP2311">
            <v>0</v>
          </cell>
          <cell r="AQ2311">
            <v>0</v>
          </cell>
          <cell r="AV2311">
            <v>4800000</v>
          </cell>
        </row>
        <row r="2312">
          <cell r="E2312" t="str">
            <v>T25001703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B25015308</v>
          </cell>
          <cell r="AP2313">
            <v>0</v>
          </cell>
          <cell r="AQ2313">
            <v>0</v>
          </cell>
          <cell r="AV2313">
            <v>1800000</v>
          </cell>
        </row>
        <row r="2314">
          <cell r="E2314" t="str">
            <v>B25016198</v>
          </cell>
          <cell r="AP2314">
            <v>0</v>
          </cell>
          <cell r="AQ2314">
            <v>0</v>
          </cell>
          <cell r="AV2314">
            <v>2629000</v>
          </cell>
        </row>
        <row r="2315">
          <cell r="E2315" t="str">
            <v>B25016199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B25016200</v>
          </cell>
          <cell r="AP2316">
            <v>0</v>
          </cell>
          <cell r="AQ2316">
            <v>0</v>
          </cell>
          <cell r="AV2316">
            <v>3310000</v>
          </cell>
        </row>
        <row r="2317">
          <cell r="E2317" t="str">
            <v>D26000630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D26000631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T26000033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D26000911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B26001613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D25018823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D25019101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D25019298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B25016923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D25019463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D26000125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D26000501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D26000524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D26000525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D26000541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D26000542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B26001159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B26001164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D26001298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D26001313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D26001380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D26001382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D26001428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B26001435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D26001644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D26001645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D26001854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B26001851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D26002080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D26000259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D26000265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D26000384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B26000695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D26001111</v>
          </cell>
          <cell r="AP2350">
            <v>0</v>
          </cell>
          <cell r="AQ2350">
            <v>2750000</v>
          </cell>
          <cell r="AV2350">
            <v>0</v>
          </cell>
        </row>
        <row r="2351">
          <cell r="E2351" t="str">
            <v>B26001065</v>
          </cell>
          <cell r="AP2351">
            <v>0</v>
          </cell>
          <cell r="AQ2351">
            <v>17250000</v>
          </cell>
          <cell r="AV2351">
            <v>0</v>
          </cell>
        </row>
        <row r="2352">
          <cell r="E2352" t="str">
            <v>B26001065</v>
          </cell>
          <cell r="AP2352">
            <v>0</v>
          </cell>
          <cell r="AQ2352">
            <v>18301750</v>
          </cell>
          <cell r="AV2352">
            <v>0</v>
          </cell>
        </row>
        <row r="2353">
          <cell r="E2353" t="str">
            <v>D26001794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D26001811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B26001834</v>
          </cell>
          <cell r="AP2355">
            <v>0</v>
          </cell>
          <cell r="AQ2355">
            <v>0</v>
          </cell>
          <cell r="AV2355">
            <v>860000</v>
          </cell>
        </row>
        <row r="2356">
          <cell r="E2356" t="str">
            <v>D26002059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D26001917</v>
          </cell>
          <cell r="AP2357">
            <v>0</v>
          </cell>
          <cell r="AQ2357">
            <v>0</v>
          </cell>
          <cell r="AV2357">
            <v>18000000</v>
          </cell>
        </row>
        <row r="2358">
          <cell r="E2358" t="str">
            <v>D26000393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D26000431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B26000625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D26000901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D26000916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D26001146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B26001472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B26001555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B26001902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B26001855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B26001856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B26001857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D26001719</v>
          </cell>
          <cell r="AP2370">
            <v>0</v>
          </cell>
          <cell r="AQ2370">
            <v>0</v>
          </cell>
          <cell r="AV2370">
            <v>6300000</v>
          </cell>
        </row>
        <row r="2371">
          <cell r="E2371" t="str">
            <v>T25000698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T25000700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D25016721</v>
          </cell>
          <cell r="AP2373">
            <v>0</v>
          </cell>
          <cell r="AQ2373">
            <v>0</v>
          </cell>
          <cell r="AV2373">
            <v>4440000</v>
          </cell>
        </row>
        <row r="2374">
          <cell r="E2374" t="str">
            <v>B25014674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B25014675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D25017210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B25015697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D25018775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D25018776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D25019491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B25016962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D26001199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D25015491</v>
          </cell>
          <cell r="AP2383">
            <v>0</v>
          </cell>
          <cell r="AQ2383">
            <v>0</v>
          </cell>
          <cell r="AV2383">
            <v>50000000</v>
          </cell>
        </row>
        <row r="2384">
          <cell r="E2384" t="str">
            <v>D25015492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D25015518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D25015519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D25018010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D25018011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B26001039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D26001222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B25012709</v>
          </cell>
          <cell r="AP2391">
            <v>0</v>
          </cell>
          <cell r="AQ2391">
            <v>0</v>
          </cell>
          <cell r="AV2391">
            <v>32757750</v>
          </cell>
        </row>
        <row r="2392">
          <cell r="E2392" t="str">
            <v>B25012875</v>
          </cell>
          <cell r="AP2392">
            <v>0</v>
          </cell>
          <cell r="AQ2392">
            <v>0</v>
          </cell>
          <cell r="AV2392">
            <v>16887750</v>
          </cell>
        </row>
        <row r="2393">
          <cell r="E2393" t="str">
            <v>B25012876</v>
          </cell>
          <cell r="AP2393">
            <v>0</v>
          </cell>
          <cell r="AQ2393">
            <v>0</v>
          </cell>
          <cell r="AV2393">
            <v>57743200</v>
          </cell>
        </row>
        <row r="2394">
          <cell r="E2394" t="str">
            <v>B25012907</v>
          </cell>
          <cell r="AP2394">
            <v>0</v>
          </cell>
          <cell r="AQ2394">
            <v>0</v>
          </cell>
          <cell r="AV2394">
            <v>30119000</v>
          </cell>
        </row>
        <row r="2395">
          <cell r="E2395" t="str">
            <v>D25016022</v>
          </cell>
          <cell r="AP2395">
            <v>0</v>
          </cell>
          <cell r="AQ2395">
            <v>0</v>
          </cell>
          <cell r="AV2395">
            <v>120625000</v>
          </cell>
        </row>
        <row r="2396">
          <cell r="E2396" t="str">
            <v>D25016347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B25014255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B25014494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D25016931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D25016947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D25016948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B25014783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B25015004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B25015067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D25017412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B25015250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B25015395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D25017843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B25015533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D25017972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D25018032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B25015677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D25018648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D25018929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B25016629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D25019093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D25019171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B25016746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D25019258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B25017047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B25017107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B25017109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D26000485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D26000506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D26000575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D26000852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D26001446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D26001587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D26001625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D26001850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T22000046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T22000053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T22000087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T22000122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T22000134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T22000139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T22000141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T22000167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T22000207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T22000231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T22000254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T22000265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T22000282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T22000316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T22000338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T22000378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T22000394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T22000405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T22000425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T22000456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T22000472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T22000491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T22000520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T22000560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T22000561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T22000580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T22000604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T22000664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T22000725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T22000772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T22000799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T23000003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T23000012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T23000013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T23000057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T23000064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T23000087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T23000120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D23001207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T23000149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T23000180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T23000184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T23000187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T23000252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T23000257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T23000275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T23000285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T23000332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T23000355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T23000382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T23000419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T23000426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T23000485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T23000492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T23000504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T23000507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T23000508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T23000509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T23000522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T23000524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T23000577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T23000584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T23000594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T23000630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T23000644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T23000686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T23000695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T23000741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T23000742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T23000772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T23000781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T23000782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T23000809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T23000845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T23000846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T23000860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T23000881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T23000884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T23000911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T23000912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T23000914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T23000919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T23000924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T23000935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T23000936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T23000986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T23000989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T23000994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T23000998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T23000999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T23001024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T23001025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T23001026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T23001057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T23001090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T23001094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T23001095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T23001103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T24000001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T24000018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T24000040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T24000113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T24000118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T24000126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T24000149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T24000166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T24000175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T24000176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T24000250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T24000251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T24000260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T24000265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T24000279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T24000299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T24000376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T24000384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T24000391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T24000392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T24000419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T24000448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T24000488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T24000489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T24000495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T24000496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T24000497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T24000498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T24000499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T24000519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T24000527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T24000598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T24000600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T24000601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T24000602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T24000603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T24000612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T24000631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T24000635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T24000673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T24000717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T24000718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T24000719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T24000720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T24000726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T24000727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T24000754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T24000755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T24000787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T24000936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T24000937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T24000938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T24000939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T24000946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T24000983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T24000984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T24000985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T24001077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T24001078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T24001079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T24001085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T24001086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T24001087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T24001088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T24001108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T24001119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T24001120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T24001121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T24001210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T24001211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T24001215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T24001220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T24001241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T24001249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T24001250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T24001265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T24001359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T24001360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T24001361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T24001369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T24001372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T24001380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T24001423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T24001424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T24001446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T24001447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T24001638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T24001639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T24001651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T24001652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T24001653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T24001654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T24001655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T24001697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T24001717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T24001721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T24001842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T25000023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T25000025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T25000026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T25000027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T25000028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T25000029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T25000035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T25000036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T25000091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T25000142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T25000157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T25000158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T25000161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T25000171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T25000172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T25000178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T25000328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T25000329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T25000357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T25000363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T25000364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T25000365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T25000366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T25000367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T25000368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T25000372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T25000432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T25000523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T25000546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T25000547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T25000548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T25000558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T25000559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T25000563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T25000564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T25000578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T25000626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T25000685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T25000686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T25000702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T25000706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T25000707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T25000734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T25000735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T25000740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T25000764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T25000770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R25000015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T25000878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T25000886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T25000887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T25000888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T25000895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T25000902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T25000903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T25000912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T25000914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T25000915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C25000475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T25000936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T25000956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T25000957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T25000958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D25009205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T25000988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T25000997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T25000999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T25001020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T25001022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T25001023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T25001024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T25001025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T25001033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T25001062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T25001078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T25001110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T25001162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T25001165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T25001173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T25001189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T25001203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T25001207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T25001222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T25001269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T25001294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T25001317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T25001323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T25001329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T25001330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T25001336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T25001343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T25001395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T25001408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T25001452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T25001456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T25001457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T25001458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T25001459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T25001460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T25001463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T25001464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T25001485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T25001497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T25001546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T25001592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T25001593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T25001604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T25001608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T25001627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T25001628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T25001629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T25001630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T25001683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T25001712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T25001729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T25001741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T25001742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T25001746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T25001750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T25001751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T25001752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T25001756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T25001757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T25001764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T25001765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T25001766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T25001767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T25001768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T25001769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T25001807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T25001832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T25001896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T26000004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T26000005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T26000007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T26000011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T26000012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T26000015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T26000020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T26000048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T26000069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T26000080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T26000084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C26000100</v>
          </cell>
          <cell r="AP2769">
            <v>0</v>
          </cell>
          <cell r="AQ2769">
            <v>0</v>
          </cell>
          <cell r="AV2769">
            <v>189500</v>
          </cell>
        </row>
        <row r="2770">
          <cell r="E2770" t="str">
            <v>T26000112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T26000113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T26000119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Z26000323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T26000130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T26000131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Z26000332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T26000137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T26000138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B26001858</v>
          </cell>
          <cell r="AP2779">
            <v>0</v>
          </cell>
          <cell r="AQ2779">
            <v>0</v>
          </cell>
          <cell r="AV2779">
            <v>2654955</v>
          </cell>
        </row>
        <row r="2780">
          <cell r="E2780" t="str">
            <v>T26000141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C26000114</v>
          </cell>
          <cell r="AP2781">
            <v>0</v>
          </cell>
          <cell r="AQ2781">
            <v>0</v>
          </cell>
          <cell r="AV2781">
            <v>690000</v>
          </cell>
        </row>
        <row r="2782">
          <cell r="E2782" t="str">
            <v>D25016874</v>
          </cell>
          <cell r="AP2782">
            <v>0</v>
          </cell>
          <cell r="AQ2782">
            <v>0</v>
          </cell>
          <cell r="AV2782">
            <v>2060000</v>
          </cell>
        </row>
        <row r="2783">
          <cell r="E2783" t="str">
            <v>D25016915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B25016903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D25019699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T26000001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M26000024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M26000026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M26000027</v>
          </cell>
          <cell r="AP2789">
            <v>0</v>
          </cell>
          <cell r="AQ2789">
            <v>0</v>
          </cell>
          <cell r="AV2789">
            <v>51502.51</v>
          </cell>
        </row>
        <row r="2790">
          <cell r="E2790" t="str">
            <v>M26000028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M26000029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M26000030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N26000018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B26000953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Z26000115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Z26000316</v>
          </cell>
          <cell r="AP2796">
            <v>0</v>
          </cell>
          <cell r="AQ2796">
            <v>0</v>
          </cell>
          <cell r="AV2796">
            <v>2940000</v>
          </cell>
        </row>
        <row r="2797">
          <cell r="E2797" t="str">
            <v>Z26000358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D26001975</v>
          </cell>
          <cell r="AP2798">
            <v>0</v>
          </cell>
          <cell r="AQ2798">
            <v>0</v>
          </cell>
          <cell r="AV2798">
            <v>3110000</v>
          </cell>
        </row>
        <row r="2799">
          <cell r="E2799" t="str">
            <v>B25016592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B25016593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B25016626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B25016686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D25019320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B25016987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B25016996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B25016997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B26000162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D26000376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D26000585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D26000586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D26000864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D26000929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D26001042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B26001102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D26001825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D26001826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B26001830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T25001845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B26000289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B26001305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Z25003207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Z26000041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Z26000045</v>
          </cell>
          <cell r="AP2823">
            <v>0</v>
          </cell>
          <cell r="AQ2823">
            <v>0</v>
          </cell>
          <cell r="AV2823">
            <v>9000000</v>
          </cell>
        </row>
        <row r="2824">
          <cell r="E2824" t="str">
            <v>Z26000288</v>
          </cell>
          <cell r="AP2824">
            <v>0</v>
          </cell>
          <cell r="AQ2824">
            <v>0</v>
          </cell>
          <cell r="AV2824">
            <v>39330000</v>
          </cell>
        </row>
        <row r="2825">
          <cell r="E2825" t="str">
            <v>Z26000292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T26000125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B26001144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B26001241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B26001406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B26001415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D26001810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B25016070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D25018774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T25001898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D25016578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B26000464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B26001015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B26001016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T25001826</v>
          </cell>
          <cell r="AP2839">
            <v>0</v>
          </cell>
          <cell r="AQ2839">
            <v>0</v>
          </cell>
          <cell r="AV2839">
            <v>6562500</v>
          </cell>
        </row>
        <row r="2840">
          <cell r="E2840" t="str">
            <v>D26000017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B26001154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B26001167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B26001222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B26001223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B26001686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D26001901</v>
          </cell>
          <cell r="AP2846">
            <v>0</v>
          </cell>
          <cell r="AQ2846">
            <v>0</v>
          </cell>
          <cell r="AV2846">
            <v>52000000</v>
          </cell>
        </row>
        <row r="2847">
          <cell r="E2847" t="str">
            <v>B26000048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D25018564</v>
          </cell>
          <cell r="AP2848">
            <v>0</v>
          </cell>
          <cell r="AQ2848">
            <v>0</v>
          </cell>
          <cell r="AV2848">
            <v>43275000</v>
          </cell>
        </row>
        <row r="2849">
          <cell r="E2849" t="str">
            <v>B25016409</v>
          </cell>
          <cell r="AP2849">
            <v>0</v>
          </cell>
          <cell r="AQ2849">
            <v>0</v>
          </cell>
          <cell r="AV2849">
            <v>156187500</v>
          </cell>
        </row>
        <row r="2850">
          <cell r="E2850" t="str">
            <v>B25016414</v>
          </cell>
          <cell r="AP2850">
            <v>0</v>
          </cell>
          <cell r="AQ2850">
            <v>0</v>
          </cell>
          <cell r="AV2850">
            <v>18600000</v>
          </cell>
        </row>
        <row r="2851">
          <cell r="E2851" t="str">
            <v>B25016421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B25016438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D26000472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D26000473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T26000028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B26000832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D26002037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D26002038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B25016762</v>
          </cell>
          <cell r="AP2859">
            <v>0</v>
          </cell>
          <cell r="AQ2859">
            <v>0</v>
          </cell>
          <cell r="AV2859">
            <v>113000</v>
          </cell>
        </row>
        <row r="2860">
          <cell r="E2860" t="str">
            <v>B26000183</v>
          </cell>
          <cell r="AP2860">
            <v>0</v>
          </cell>
          <cell r="AQ2860">
            <v>0</v>
          </cell>
          <cell r="AV2860">
            <v>72225000</v>
          </cell>
        </row>
        <row r="2861">
          <cell r="E2861" t="str">
            <v>D26000634</v>
          </cell>
          <cell r="AP2861">
            <v>0</v>
          </cell>
          <cell r="AQ2861">
            <v>0</v>
          </cell>
          <cell r="AV2861">
            <v>27662000</v>
          </cell>
        </row>
        <row r="2862">
          <cell r="E2862" t="str">
            <v>D26000797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B26001194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D26001311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D26000188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B26000211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B25015599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D25018078</v>
          </cell>
          <cell r="AP2868">
            <v>0</v>
          </cell>
          <cell r="AQ2868">
            <v>0</v>
          </cell>
          <cell r="AV2868">
            <v>5575000</v>
          </cell>
        </row>
        <row r="2869">
          <cell r="E2869" t="str">
            <v>D25019361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B26000354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D26000448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B26000835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D26000920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B26000897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D26000963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B26001369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D26001450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D26001453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D26001482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D26001492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B26001296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D26001432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D26000072</v>
          </cell>
          <cell r="AP2883">
            <v>0</v>
          </cell>
          <cell r="AQ2883">
            <v>0</v>
          </cell>
          <cell r="AV2883">
            <v>17000000</v>
          </cell>
        </row>
        <row r="2884">
          <cell r="E2884" t="str">
            <v>B26001645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D25019244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D26001058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D26001059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D25016207</v>
          </cell>
          <cell r="AP2888">
            <v>0</v>
          </cell>
          <cell r="AQ2888">
            <v>0</v>
          </cell>
          <cell r="AV2888">
            <v>12000000</v>
          </cell>
        </row>
        <row r="2889">
          <cell r="E2889" t="str">
            <v>D25016208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D26000628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D26000641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B26001101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T26000077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B26001913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B26001914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B26001864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B26001864</v>
          </cell>
          <cell r="AP2897">
            <v>0</v>
          </cell>
          <cell r="AQ2897">
            <v>0</v>
          </cell>
          <cell r="AV2897">
            <v>28935000</v>
          </cell>
        </row>
        <row r="2898">
          <cell r="E2898" t="str">
            <v>B26001331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B26001620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B26001807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Z26000046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Z26000118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Z26000147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Z26000325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D26001951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B26000769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D26000872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D26000888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D26000889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D26000890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B26001075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D26001352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D26001353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D26001487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D26001518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D26001995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T25001634K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T25001713K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T26000058K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B26001692</v>
          </cell>
          <cell r="AP2920">
            <v>0</v>
          </cell>
          <cell r="AQ2920">
            <v>0</v>
          </cell>
          <cell r="AV2920">
            <v>1650000</v>
          </cell>
        </row>
        <row r="2921">
          <cell r="E2921" t="str">
            <v>B26001628</v>
          </cell>
          <cell r="AP2921">
            <v>0</v>
          </cell>
          <cell r="AQ2921">
            <v>0</v>
          </cell>
          <cell r="AV2921">
            <v>4720000</v>
          </cell>
        </row>
        <row r="2922">
          <cell r="E2922" t="str">
            <v>D26001763</v>
          </cell>
          <cell r="AP2922">
            <v>0</v>
          </cell>
          <cell r="AQ2922">
            <v>0</v>
          </cell>
          <cell r="AV2922">
            <v>7050500</v>
          </cell>
        </row>
        <row r="2923">
          <cell r="E2923" t="str">
            <v>D26001031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D26001032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B25016367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B25016369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T25001240K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D25018578</v>
          </cell>
          <cell r="AP2928">
            <v>0</v>
          </cell>
          <cell r="AQ2928">
            <v>0</v>
          </cell>
          <cell r="AV2928">
            <v>2000000</v>
          </cell>
        </row>
        <row r="2929">
          <cell r="E2929" t="str">
            <v>T25001802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T25001804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B25016613</v>
          </cell>
          <cell r="AP2931">
            <v>0</v>
          </cell>
          <cell r="AQ2931">
            <v>0</v>
          </cell>
          <cell r="AV2931">
            <v>26900000</v>
          </cell>
        </row>
        <row r="2932">
          <cell r="E2932" t="str">
            <v>B25016673</v>
          </cell>
          <cell r="AP2932">
            <v>0</v>
          </cell>
          <cell r="AQ2932">
            <v>0</v>
          </cell>
          <cell r="AV2932">
            <v>16300000</v>
          </cell>
        </row>
        <row r="2933">
          <cell r="E2933" t="str">
            <v>B25017077</v>
          </cell>
          <cell r="AP2933">
            <v>0</v>
          </cell>
          <cell r="AQ2933">
            <v>0</v>
          </cell>
          <cell r="AV2933">
            <v>26180000</v>
          </cell>
        </row>
        <row r="2934">
          <cell r="E2934" t="str">
            <v>D25019708</v>
          </cell>
          <cell r="AP2934">
            <v>0</v>
          </cell>
          <cell r="AQ2934">
            <v>0</v>
          </cell>
          <cell r="AV2934">
            <v>11600000</v>
          </cell>
        </row>
        <row r="2935">
          <cell r="E2935" t="str">
            <v>B26000538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D26000556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T26000031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D26000863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D26000868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D26000876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T26000049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T26000056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B26001091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B26001121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B26001122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B26001127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D26001370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D26001592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B26001587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T26000126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B26001938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D26002043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D26002069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D26002083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D25017349</v>
          </cell>
          <cell r="AP2955">
            <v>0</v>
          </cell>
          <cell r="AQ2955">
            <v>0</v>
          </cell>
          <cell r="AV2955">
            <v>13400000</v>
          </cell>
        </row>
        <row r="2956">
          <cell r="E2956" t="str">
            <v>B26000144</v>
          </cell>
          <cell r="AP2956">
            <v>0</v>
          </cell>
          <cell r="AQ2956">
            <v>0</v>
          </cell>
          <cell r="AV2956">
            <v>9275000</v>
          </cell>
        </row>
        <row r="2957">
          <cell r="E2957" t="str">
            <v>D26000192</v>
          </cell>
          <cell r="AP2957">
            <v>0</v>
          </cell>
          <cell r="AQ2957">
            <v>0</v>
          </cell>
          <cell r="AV2957">
            <v>12530000</v>
          </cell>
        </row>
        <row r="2958">
          <cell r="E2958" t="str">
            <v>D26000588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D26000589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D26000800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D26000823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B26001342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B26001343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B26001522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B26001852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B26001853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T26000134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D26001740</v>
          </cell>
          <cell r="AP2968">
            <v>0</v>
          </cell>
          <cell r="AQ2968">
            <v>0</v>
          </cell>
          <cell r="AV2968">
            <v>2200000</v>
          </cell>
        </row>
        <row r="2969">
          <cell r="E2969" t="str">
            <v>D26002045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B25015214</v>
          </cell>
          <cell r="AP2970">
            <v>0</v>
          </cell>
          <cell r="AQ2970">
            <v>0</v>
          </cell>
          <cell r="AV2970">
            <v>110000000</v>
          </cell>
        </row>
        <row r="2971">
          <cell r="E2971" t="str">
            <v>B25015214</v>
          </cell>
          <cell r="AP2971">
            <v>0</v>
          </cell>
          <cell r="AQ2971">
            <v>0</v>
          </cell>
          <cell r="AV2971">
            <v>4735000</v>
          </cell>
        </row>
        <row r="2972">
          <cell r="E2972" t="str">
            <v>B25015215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D25017683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B25015403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B25015712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B25015714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B25015862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B25015863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B25016045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B25016365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B25016370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D25018821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B25016386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B25016466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B25016695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B25016696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B25017117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B25017118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B26000110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B26000111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D26000050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D26000159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D26000160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T26000010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B26000174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D26000481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B26000547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B26000548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B26000549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B26000820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D26000934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D26001000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D26001001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D26001252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D26001253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D26001397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D26001406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B26001746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B26001747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B26001748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B26001749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B26001827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B26001828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B25016758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D25019709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D26000706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T26000081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D26001293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D26001649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T26000107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B26001915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D25019163</v>
          </cell>
          <cell r="AP3022">
            <v>0</v>
          </cell>
          <cell r="AQ3022">
            <v>0</v>
          </cell>
          <cell r="AV3022">
            <v>39800000</v>
          </cell>
        </row>
        <row r="3023">
          <cell r="E3023" t="str">
            <v>B25016853</v>
          </cell>
          <cell r="AP3023">
            <v>0</v>
          </cell>
          <cell r="AQ3023">
            <v>0</v>
          </cell>
          <cell r="AV3023">
            <v>3300000</v>
          </cell>
        </row>
        <row r="3024">
          <cell r="E3024" t="str">
            <v>D26000411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D26000748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D26000966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B26001804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D25018954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B26001208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B26001209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B25016542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B26001414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D26000532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D26001348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D26001964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Z26000290</v>
          </cell>
          <cell r="AP3036">
            <v>0</v>
          </cell>
          <cell r="AQ3036">
            <v>0</v>
          </cell>
          <cell r="AV3036">
            <v>8280000</v>
          </cell>
        </row>
        <row r="3037">
          <cell r="E3037" t="str">
            <v>Z26000293</v>
          </cell>
          <cell r="AP3037">
            <v>0</v>
          </cell>
          <cell r="AQ3037">
            <v>0</v>
          </cell>
          <cell r="AV3037">
            <v>18300000</v>
          </cell>
        </row>
        <row r="3038">
          <cell r="E3038" t="str">
            <v>Z26000296</v>
          </cell>
          <cell r="AP3038">
            <v>0</v>
          </cell>
          <cell r="AQ3038">
            <v>0</v>
          </cell>
          <cell r="AV3038">
            <v>53300000</v>
          </cell>
        </row>
        <row r="3039">
          <cell r="E3039" t="str">
            <v>Z26000297</v>
          </cell>
          <cell r="AP3039">
            <v>0</v>
          </cell>
          <cell r="AQ3039">
            <v>0</v>
          </cell>
          <cell r="AV3039">
            <v>5820000</v>
          </cell>
        </row>
        <row r="3040">
          <cell r="E3040" t="str">
            <v>Z26000299</v>
          </cell>
          <cell r="AP3040">
            <v>0</v>
          </cell>
          <cell r="AQ3040">
            <v>0</v>
          </cell>
          <cell r="AV3040">
            <v>3500000</v>
          </cell>
        </row>
        <row r="3041">
          <cell r="E3041" t="str">
            <v>D26001805</v>
          </cell>
          <cell r="AP3041">
            <v>0</v>
          </cell>
          <cell r="AQ3041">
            <v>0</v>
          </cell>
          <cell r="AV3041">
            <v>8280000</v>
          </cell>
        </row>
        <row r="3042">
          <cell r="E3042" t="str">
            <v>Z26000308</v>
          </cell>
          <cell r="AP3042">
            <v>0</v>
          </cell>
          <cell r="AQ3042">
            <v>0</v>
          </cell>
          <cell r="AV3042">
            <v>570000</v>
          </cell>
        </row>
        <row r="3043">
          <cell r="E3043" t="str">
            <v>Z26000311</v>
          </cell>
          <cell r="AP3043">
            <v>0</v>
          </cell>
          <cell r="AQ3043">
            <v>0</v>
          </cell>
          <cell r="AV3043">
            <v>7968000</v>
          </cell>
        </row>
        <row r="3044">
          <cell r="E3044" t="str">
            <v>Z26000314</v>
          </cell>
          <cell r="AP3044">
            <v>0</v>
          </cell>
          <cell r="AQ3044">
            <v>0</v>
          </cell>
          <cell r="AV3044">
            <v>2420000</v>
          </cell>
        </row>
        <row r="3045">
          <cell r="E3045" t="str">
            <v>Z26000315</v>
          </cell>
          <cell r="AP3045">
            <v>0</v>
          </cell>
          <cell r="AQ3045">
            <v>0</v>
          </cell>
          <cell r="AV3045">
            <v>5520000</v>
          </cell>
        </row>
        <row r="3046">
          <cell r="E3046" t="str">
            <v>Z26000334</v>
          </cell>
          <cell r="AP3046">
            <v>0</v>
          </cell>
          <cell r="AQ3046">
            <v>0</v>
          </cell>
          <cell r="AV3046">
            <v>14200000</v>
          </cell>
        </row>
        <row r="3047">
          <cell r="E3047" t="str">
            <v>Z26000339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Z26000340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Z26000341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Z26000342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B26001848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Z26000346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Z26000347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Z26000350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Z26000351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Z26000353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Z26000355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Z26000356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Z26000360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Z26000361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Z26000362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Z26000363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Z26000364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Z26000365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B25014986</v>
          </cell>
          <cell r="AP3065">
            <v>0</v>
          </cell>
          <cell r="AQ3065">
            <v>0</v>
          </cell>
          <cell r="AV3065">
            <v>100000000</v>
          </cell>
        </row>
        <row r="3066">
          <cell r="E3066" t="str">
            <v>D25019317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D25019601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D26000157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D26000158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B26000947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B26000948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B26000966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B26001118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B26001119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B26001249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B26001250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B26001475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B26001478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B26001642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B26001643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D26001961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D26001962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D25015134</v>
          </cell>
          <cell r="AP3083">
            <v>0</v>
          </cell>
          <cell r="AQ3083">
            <v>0</v>
          </cell>
          <cell r="AV3083">
            <v>12582500</v>
          </cell>
        </row>
        <row r="3084">
          <cell r="E3084" t="str">
            <v>D25015237</v>
          </cell>
          <cell r="AP3084">
            <v>0</v>
          </cell>
          <cell r="AQ3084">
            <v>0</v>
          </cell>
          <cell r="AV3084">
            <v>5360000</v>
          </cell>
        </row>
        <row r="3085">
          <cell r="E3085" t="str">
            <v>B25012977</v>
          </cell>
          <cell r="AP3085">
            <v>0</v>
          </cell>
          <cell r="AQ3085">
            <v>0</v>
          </cell>
          <cell r="AV3085">
            <v>2057500</v>
          </cell>
        </row>
        <row r="3086">
          <cell r="E3086" t="str">
            <v>B25012977</v>
          </cell>
          <cell r="AP3086">
            <v>0</v>
          </cell>
          <cell r="AQ3086">
            <v>0</v>
          </cell>
          <cell r="AV3086">
            <v>1442500</v>
          </cell>
        </row>
        <row r="3087">
          <cell r="E3087" t="str">
            <v>D25015318</v>
          </cell>
          <cell r="AP3087">
            <v>0</v>
          </cell>
          <cell r="AQ3087">
            <v>0</v>
          </cell>
          <cell r="AV3087">
            <v>3557500</v>
          </cell>
        </row>
        <row r="3088">
          <cell r="E3088" t="str">
            <v>T25001535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T25001567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D25016827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D25017607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D25017620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D25017774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D25018154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B25016005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D25018740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B25016651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D25019319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D25019704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B26000642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D26000695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B26000765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D26001107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D26001255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D26001507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B26001502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T25001562k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B25016773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B25016778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B26000578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B26000657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D26000766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B26001187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D26001270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D26001401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D26001431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B26000978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T26000067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T25001828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T25001833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B26000222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B26001178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B26001179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D26001703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T25001654</v>
          </cell>
          <cell r="AP3125">
            <v>0</v>
          </cell>
          <cell r="AQ3125">
            <v>0</v>
          </cell>
          <cell r="AV3125">
            <v>2792500</v>
          </cell>
        </row>
        <row r="3126">
          <cell r="E3126" t="str">
            <v>T25001690</v>
          </cell>
          <cell r="AP3126">
            <v>0</v>
          </cell>
          <cell r="AQ3126">
            <v>0</v>
          </cell>
          <cell r="AV3126">
            <v>1040000</v>
          </cell>
        </row>
        <row r="3127">
          <cell r="E3127" t="str">
            <v>T25001745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B25015470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>
            <v>250207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B25017090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B26000159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D26000121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T26000008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D26000439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D26000742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T26000037K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T26000087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D26001362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T26000111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B25014948</v>
          </cell>
          <cell r="AP3140">
            <v>0</v>
          </cell>
          <cell r="AQ3140">
            <v>0</v>
          </cell>
          <cell r="AV3140">
            <v>362340000</v>
          </cell>
        </row>
        <row r="3141">
          <cell r="E3141" t="str">
            <v>D25018257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B25015870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B25016191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B25016709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D26000546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D26000623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D26001522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R26000001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T25001576</v>
          </cell>
          <cell r="AP3149">
            <v>0</v>
          </cell>
          <cell r="AQ3149">
            <v>0</v>
          </cell>
          <cell r="AV3149">
            <v>2500000</v>
          </cell>
        </row>
        <row r="3150">
          <cell r="E3150" t="str">
            <v>B25014771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B25015904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D25019221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T26000072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T26000075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B26001333</v>
          </cell>
          <cell r="AP3155">
            <v>0</v>
          </cell>
          <cell r="AQ3155">
            <v>0</v>
          </cell>
          <cell r="AV3155">
            <v>5720000</v>
          </cell>
        </row>
        <row r="3156">
          <cell r="E3156" t="str">
            <v>B26001682</v>
          </cell>
          <cell r="AP3156">
            <v>0</v>
          </cell>
          <cell r="AQ3156">
            <v>0</v>
          </cell>
          <cell r="AV3156">
            <v>350000</v>
          </cell>
        </row>
        <row r="3157">
          <cell r="E3157" t="str">
            <v>D26000750</v>
          </cell>
          <cell r="AP3157">
            <v>0</v>
          </cell>
          <cell r="AQ3157">
            <v>0</v>
          </cell>
          <cell r="AV3157">
            <v>4919475</v>
          </cell>
        </row>
        <row r="3158">
          <cell r="E3158" t="str">
            <v>D26000851</v>
          </cell>
          <cell r="AP3158">
            <v>0</v>
          </cell>
          <cell r="AQ3158">
            <v>0</v>
          </cell>
          <cell r="AV3158">
            <v>10412500</v>
          </cell>
        </row>
        <row r="3159">
          <cell r="E3159" t="str">
            <v>D26001010</v>
          </cell>
          <cell r="AP3159">
            <v>0</v>
          </cell>
          <cell r="AQ3159">
            <v>0</v>
          </cell>
          <cell r="AV3159">
            <v>14668025</v>
          </cell>
        </row>
        <row r="3160">
          <cell r="E3160" t="str">
            <v>D26001589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Z25003250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D25015849</v>
          </cell>
          <cell r="AP3162">
            <v>0</v>
          </cell>
          <cell r="AQ3162">
            <v>0</v>
          </cell>
          <cell r="AV3162">
            <v>6916800</v>
          </cell>
        </row>
        <row r="3163">
          <cell r="E3163">
            <v>250144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>
            <v>250149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B25014405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B25015908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D25018315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D25018762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D25018851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B25016978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B25017020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D25019626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B26000278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B26000628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B26000074</v>
          </cell>
          <cell r="AP3175">
            <v>0</v>
          </cell>
          <cell r="AQ3175">
            <v>0</v>
          </cell>
          <cell r="AV3175">
            <v>1179500</v>
          </cell>
        </row>
        <row r="3176">
          <cell r="E3176" t="str">
            <v>B26000533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D26001597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D25017597</v>
          </cell>
          <cell r="AP3178">
            <v>0</v>
          </cell>
          <cell r="AQ3178">
            <v>0</v>
          </cell>
          <cell r="AV3178">
            <v>15440000</v>
          </cell>
        </row>
        <row r="3179">
          <cell r="E3179" t="str">
            <v>D25019506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B26001471</v>
          </cell>
          <cell r="AP3180">
            <v>0</v>
          </cell>
          <cell r="AQ3180">
            <v>0</v>
          </cell>
          <cell r="AV3180">
            <v>42000000</v>
          </cell>
        </row>
        <row r="3181">
          <cell r="E3181" t="str">
            <v>B26001703</v>
          </cell>
          <cell r="AP3181">
            <v>0</v>
          </cell>
          <cell r="AQ3181">
            <v>0</v>
          </cell>
          <cell r="AV3181">
            <v>10000000</v>
          </cell>
        </row>
        <row r="3182">
          <cell r="E3182" t="str">
            <v>B26001703</v>
          </cell>
          <cell r="AP3182">
            <v>0</v>
          </cell>
          <cell r="AQ3182">
            <v>0</v>
          </cell>
          <cell r="AV3182">
            <v>8000000</v>
          </cell>
        </row>
        <row r="3183">
          <cell r="E3183" t="str">
            <v>T25001473</v>
          </cell>
          <cell r="AP3183">
            <v>0</v>
          </cell>
          <cell r="AQ3183">
            <v>0</v>
          </cell>
          <cell r="AV3183">
            <v>1700000</v>
          </cell>
        </row>
        <row r="3184">
          <cell r="E3184" t="str">
            <v>T25001831</v>
          </cell>
          <cell r="AP3184">
            <v>0</v>
          </cell>
          <cell r="AQ3184">
            <v>0</v>
          </cell>
          <cell r="AV3184">
            <v>2575000</v>
          </cell>
        </row>
        <row r="3185">
          <cell r="E3185" t="str">
            <v>D25019065</v>
          </cell>
          <cell r="AP3185">
            <v>0</v>
          </cell>
          <cell r="AQ3185">
            <v>0</v>
          </cell>
          <cell r="AV3185">
            <v>2700000</v>
          </cell>
        </row>
        <row r="3186">
          <cell r="E3186" t="str">
            <v>D25019213</v>
          </cell>
          <cell r="AP3186">
            <v>0</v>
          </cell>
          <cell r="AQ3186">
            <v>0</v>
          </cell>
          <cell r="AV3186">
            <v>1900000</v>
          </cell>
        </row>
        <row r="3187">
          <cell r="E3187" t="str">
            <v>D25019332</v>
          </cell>
          <cell r="AP3187">
            <v>0</v>
          </cell>
          <cell r="AQ3187">
            <v>0</v>
          </cell>
          <cell r="AV3187">
            <v>9800000</v>
          </cell>
        </row>
        <row r="3188">
          <cell r="E3188" t="str">
            <v>D25019445</v>
          </cell>
          <cell r="AP3188">
            <v>0</v>
          </cell>
          <cell r="AQ3188">
            <v>0</v>
          </cell>
          <cell r="AV3188">
            <v>5925000</v>
          </cell>
        </row>
        <row r="3189">
          <cell r="E3189" t="str">
            <v>D25019683</v>
          </cell>
          <cell r="AP3189">
            <v>0</v>
          </cell>
          <cell r="AQ3189">
            <v>0</v>
          </cell>
          <cell r="AV3189">
            <v>5400000</v>
          </cell>
        </row>
        <row r="3190">
          <cell r="E3190" t="str">
            <v>D26000422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B26000426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B26000457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B26000596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D26000936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D26001127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D26001360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B26001653</v>
          </cell>
          <cell r="AP3197">
            <v>0</v>
          </cell>
          <cell r="AQ3197">
            <v>0</v>
          </cell>
          <cell r="AV3197">
            <v>12000000</v>
          </cell>
        </row>
        <row r="3198">
          <cell r="E3198" t="str">
            <v>T25001873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D25019628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D25019721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B26000452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D26001889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B26001908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T25001857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D26002005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B25016933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D26000881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D26000954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D26000956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B26001363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B26000488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D26001734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D26001735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B25016727</v>
          </cell>
          <cell r="AP3214">
            <v>0</v>
          </cell>
          <cell r="AQ3214">
            <v>0</v>
          </cell>
          <cell r="AV3214">
            <v>3960000</v>
          </cell>
        </row>
        <row r="3215">
          <cell r="E3215" t="str">
            <v>B26000129</v>
          </cell>
          <cell r="AP3215">
            <v>0</v>
          </cell>
          <cell r="AQ3215">
            <v>0</v>
          </cell>
          <cell r="AV3215">
            <v>2160000</v>
          </cell>
        </row>
        <row r="3216">
          <cell r="E3216" t="str">
            <v>B26000158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D26000198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D26000503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D26000716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D26000724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B26001025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D26001525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D26001590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B26001732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B26001832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B26000447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D26001937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B26001877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B26001919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B25016334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B25016529</v>
          </cell>
          <cell r="AP3231">
            <v>0</v>
          </cell>
          <cell r="AQ3231">
            <v>0</v>
          </cell>
          <cell r="AV3231">
            <v>10000000</v>
          </cell>
        </row>
        <row r="3232">
          <cell r="E3232" t="str">
            <v>B26000414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B26001424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B26001671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D25018644</v>
          </cell>
          <cell r="AP3235">
            <v>0</v>
          </cell>
          <cell r="AQ3235">
            <v>0</v>
          </cell>
          <cell r="AV3235">
            <v>10000000</v>
          </cell>
        </row>
        <row r="3236">
          <cell r="E3236" t="str">
            <v>D25019241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B25017119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D26000410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B26001140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B26001505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D25016662</v>
          </cell>
          <cell r="AP3241">
            <v>0</v>
          </cell>
          <cell r="AQ3241">
            <v>0</v>
          </cell>
          <cell r="AV3241">
            <v>1125000</v>
          </cell>
        </row>
        <row r="3242">
          <cell r="E3242" t="str">
            <v>B25014446</v>
          </cell>
          <cell r="AP3242">
            <v>0</v>
          </cell>
          <cell r="AQ3242">
            <v>0</v>
          </cell>
          <cell r="AV3242">
            <v>4510000</v>
          </cell>
        </row>
        <row r="3243">
          <cell r="E3243" t="str">
            <v>B25014447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D25019693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D26000787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B26001474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B26000338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B26000339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B26000340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B26001085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B26001133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D26000958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D26000959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D26001641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D26001997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D25019256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B25016895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D26000225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D26001335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D26000248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D25017916</v>
          </cell>
          <cell r="AP3261">
            <v>0</v>
          </cell>
          <cell r="AQ3261">
            <v>0</v>
          </cell>
          <cell r="AV3261">
            <v>2125000</v>
          </cell>
        </row>
        <row r="3262">
          <cell r="E3262" t="str">
            <v>T25001762</v>
          </cell>
          <cell r="AP3262">
            <v>500</v>
          </cell>
          <cell r="AQ3262">
            <v>0</v>
          </cell>
          <cell r="AV3262">
            <v>823000</v>
          </cell>
        </row>
        <row r="3263">
          <cell r="E3263" t="str">
            <v>B25016635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T25001862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T26000045k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D26001958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D26001959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D21000994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D25015293</v>
          </cell>
          <cell r="AP3269">
            <v>0</v>
          </cell>
          <cell r="AQ3269">
            <v>0</v>
          </cell>
          <cell r="AV3269">
            <v>47000000</v>
          </cell>
        </row>
        <row r="3270">
          <cell r="E3270" t="str">
            <v>D25015583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D25016141</v>
          </cell>
          <cell r="AP3271">
            <v>0</v>
          </cell>
          <cell r="AQ3271">
            <v>0</v>
          </cell>
          <cell r="AV3271">
            <v>4000000</v>
          </cell>
        </row>
        <row r="3272">
          <cell r="E3272" t="str">
            <v>T25001595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B25014837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B25015409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B25016067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D25018472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D25018888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B25016767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B25016768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B25016769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T25001878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D25019426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D25019525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B26000135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D26000138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D26000258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D26000379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D26000443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T26000091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D26001793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D26001799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D26001260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B26001673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D26001812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B26000210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D26000907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D25019115</v>
          </cell>
          <cell r="AP3297">
            <v>0</v>
          </cell>
          <cell r="AQ3297">
            <v>0</v>
          </cell>
          <cell r="AV3297">
            <v>5520000</v>
          </cell>
        </row>
        <row r="3298">
          <cell r="E3298" t="str">
            <v>D25019212</v>
          </cell>
          <cell r="AP3298">
            <v>0</v>
          </cell>
          <cell r="AQ3298">
            <v>0</v>
          </cell>
          <cell r="AV3298">
            <v>63480000</v>
          </cell>
        </row>
        <row r="3299">
          <cell r="E3299" t="str">
            <v>B26000007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B26000094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B26000232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D26000652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B26000855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D26001047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B26001565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D25016822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D25016823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D25016917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B25014748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D25017496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D25017925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B25015850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B25015851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B25016043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B25016050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B25016074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B25016744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T25001872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D26000340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B26000589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B26000664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D26000767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D26001109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D26001346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B26001518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B26001871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T25001684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Z25003200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Z25003359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Z25003386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Z25003387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Z25003396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Z26000002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Z26000015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Z26000028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Z26000032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Z26000059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Z26000064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Z26000067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Z26000075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Z26000076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Z26000090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Z26000099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Z26000107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Z26000113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Z26000114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Z26000134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Z26000141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Z26000156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Z26000171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Z26000179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Z26000183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Z26000184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Z26000185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Z26000187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Z26000190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Z26000196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Z26000223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Z26000224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Z26000248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Z26000251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Z26000253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Z26000254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Z26000289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Z26000294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Z26000301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Z260006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Z26000327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Z26000328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Z26000336</v>
          </cell>
          <cell r="AP3370">
            <v>0</v>
          </cell>
          <cell r="AQ3370">
            <v>0</v>
          </cell>
          <cell r="AV3370">
            <v>10375000</v>
          </cell>
        </row>
        <row r="3371">
          <cell r="E3371" t="str">
            <v>Z26000344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Z26000354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B26000613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B26001035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D26001531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B26001523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B26000797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B26001396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D26000187</v>
          </cell>
          <cell r="AP3379">
            <v>0</v>
          </cell>
          <cell r="AQ3379">
            <v>0</v>
          </cell>
          <cell r="AV3379">
            <v>38000000</v>
          </cell>
        </row>
        <row r="3380">
          <cell r="E3380" t="str">
            <v>D26001166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D26001903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D26000368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B26001617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D25017927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B26001933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B26001934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D25018875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B26000196</v>
          </cell>
          <cell r="AP3388">
            <v>0</v>
          </cell>
          <cell r="AQ3388">
            <v>0</v>
          </cell>
          <cell r="AV3388">
            <v>2675000</v>
          </cell>
        </row>
        <row r="3389">
          <cell r="E3389" t="str">
            <v>B26000236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B26001165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D25019027</v>
          </cell>
          <cell r="AP3391">
            <v>0</v>
          </cell>
          <cell r="AQ3391">
            <v>0</v>
          </cell>
          <cell r="AV3391">
            <v>14110000</v>
          </cell>
        </row>
        <row r="3392">
          <cell r="E3392" t="str">
            <v>D25019224</v>
          </cell>
          <cell r="AP3392">
            <v>0</v>
          </cell>
          <cell r="AQ3392">
            <v>0</v>
          </cell>
          <cell r="AV3392">
            <v>2625000</v>
          </cell>
        </row>
        <row r="3393">
          <cell r="E3393" t="str">
            <v>B25016888</v>
          </cell>
          <cell r="AP3393">
            <v>0</v>
          </cell>
          <cell r="AQ3393">
            <v>0</v>
          </cell>
          <cell r="AV3393">
            <v>3920000</v>
          </cell>
        </row>
        <row r="3394">
          <cell r="E3394" t="str">
            <v>B25016889</v>
          </cell>
          <cell r="AP3394">
            <v>0</v>
          </cell>
          <cell r="AQ3394">
            <v>0</v>
          </cell>
          <cell r="AV3394">
            <v>4957500</v>
          </cell>
        </row>
        <row r="3395">
          <cell r="E3395" t="str">
            <v>B25016891</v>
          </cell>
          <cell r="AP3395">
            <v>0</v>
          </cell>
          <cell r="AQ3395">
            <v>0</v>
          </cell>
          <cell r="AV3395">
            <v>10532000</v>
          </cell>
        </row>
        <row r="3396">
          <cell r="E3396" t="str">
            <v>B25016893</v>
          </cell>
          <cell r="AP3396">
            <v>0</v>
          </cell>
          <cell r="AQ3396">
            <v>0</v>
          </cell>
          <cell r="AV3396">
            <v>1355000</v>
          </cell>
        </row>
        <row r="3397">
          <cell r="E3397" t="str">
            <v>B25016900</v>
          </cell>
          <cell r="AP3397">
            <v>0</v>
          </cell>
          <cell r="AQ3397">
            <v>0</v>
          </cell>
          <cell r="AV3397">
            <v>408000</v>
          </cell>
        </row>
        <row r="3398">
          <cell r="E3398" t="str">
            <v>B26000098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B26000099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B26000100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B26000282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B26000283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B26000749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B26000750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B26000751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B26000752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B26000753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B26000988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D26001423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D26001424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B26001393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D26001847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D26001871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D26001906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D26001915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T25001704</v>
          </cell>
          <cell r="AP3416">
            <v>0</v>
          </cell>
          <cell r="AQ3416">
            <v>0</v>
          </cell>
          <cell r="AV3416">
            <v>1000000</v>
          </cell>
        </row>
        <row r="3417">
          <cell r="E3417" t="str">
            <v>T25001810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T25001813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T26000127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T26000128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Z25003043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Z25003090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Z25003155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Z25003160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Z25003231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Z26000132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Z26000165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Z26000295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B25017064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B25017065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D25019700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D26000005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D26001014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B26001940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D25017673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B26001151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B26001152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B26000491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B26001583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B26001701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T26000039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B26000251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D25017355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D25017877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T25001788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B26000020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D26000163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B26000199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B26000279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D26000286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D26000287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D26000295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B26000368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B26000477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B26000506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D26000803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D26000856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B26000936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D26001023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D26001089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D26001213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D26001282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B26001392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D26001449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B26001503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D26001783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D26001784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D26001992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D26001707</v>
          </cell>
          <cell r="AP3469">
            <v>0</v>
          </cell>
          <cell r="AQ3469">
            <v>0</v>
          </cell>
          <cell r="AV3469">
            <v>1480000</v>
          </cell>
        </row>
        <row r="3470">
          <cell r="E3470" t="str">
            <v>B26000256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B26000257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D26000318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D26000480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B26000619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D26000685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D26000693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Z26000252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D25015709</v>
          </cell>
          <cell r="AP3478">
            <v>0</v>
          </cell>
          <cell r="AQ3478">
            <v>0</v>
          </cell>
          <cell r="AV3478">
            <v>10000000</v>
          </cell>
        </row>
        <row r="3479">
          <cell r="E3479" t="str">
            <v>B25014743</v>
          </cell>
          <cell r="AP3479">
            <v>0</v>
          </cell>
          <cell r="AQ3479">
            <v>0</v>
          </cell>
          <cell r="AV3479">
            <v>13060000</v>
          </cell>
        </row>
        <row r="3480">
          <cell r="E3480" t="str">
            <v>D25017479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D25018020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D25018021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D25018022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B25015872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B25015919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B25015920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B25015979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B25016020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B25016321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B25016322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B25016356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B25016719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T25001870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B25016949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D25019456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B25017120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D25019687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D26000526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D26000793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D26000794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B26000762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B26000763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B26000789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B26001310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B26001316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D26001513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B26001625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B26001648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D26001764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D26001893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D26002056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T26000085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D26001736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T25001809</v>
          </cell>
          <cell r="AP3514">
            <v>0</v>
          </cell>
          <cell r="AQ3514">
            <v>0</v>
          </cell>
          <cell r="AV3514">
            <v>5100000</v>
          </cell>
        </row>
        <row r="3515">
          <cell r="E3515" t="str">
            <v>D25018352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B26000071</v>
          </cell>
          <cell r="AP3516">
            <v>0</v>
          </cell>
          <cell r="AQ3516">
            <v>0</v>
          </cell>
          <cell r="AV3516">
            <v>8700000</v>
          </cell>
        </row>
        <row r="3517">
          <cell r="E3517" t="str">
            <v>D26000107</v>
          </cell>
          <cell r="AP3517">
            <v>0</v>
          </cell>
          <cell r="AQ3517">
            <v>0</v>
          </cell>
          <cell r="AV3517">
            <v>5700000</v>
          </cell>
        </row>
        <row r="3518">
          <cell r="E3518" t="str">
            <v>B26000208</v>
          </cell>
          <cell r="AP3518">
            <v>0</v>
          </cell>
          <cell r="AQ3518">
            <v>0</v>
          </cell>
          <cell r="AV3518">
            <v>30230000</v>
          </cell>
        </row>
        <row r="3519">
          <cell r="E3519" t="str">
            <v>D26000269</v>
          </cell>
          <cell r="AP3519">
            <v>0</v>
          </cell>
          <cell r="AQ3519">
            <v>0</v>
          </cell>
          <cell r="AV3519">
            <v>137500000</v>
          </cell>
        </row>
        <row r="3520">
          <cell r="E3520" t="str">
            <v>D26000433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D26000434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D26000478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D26000479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D26000530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D26000576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B26000654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D26000717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D26000720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D26000740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D26000967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D26000968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B26001048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D26001069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B26001108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D26001173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B26001171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D26001725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D26001726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D26001728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B26001713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D26001891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B26001884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D26000001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B26000904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D25018828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D25018922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B25017069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D26000058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B26000793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D26000841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D25016708</v>
          </cell>
          <cell r="AP3551">
            <v>0</v>
          </cell>
          <cell r="AQ3551">
            <v>0</v>
          </cell>
          <cell r="AV3551">
            <v>19000000</v>
          </cell>
        </row>
        <row r="3552">
          <cell r="E3552" t="str">
            <v>D25016757</v>
          </cell>
          <cell r="AP3552">
            <v>0</v>
          </cell>
          <cell r="AQ3552">
            <v>0</v>
          </cell>
          <cell r="AV3552">
            <v>21820000</v>
          </cell>
        </row>
        <row r="3553">
          <cell r="E3553" t="str">
            <v>D25016775</v>
          </cell>
          <cell r="AP3553">
            <v>0</v>
          </cell>
          <cell r="AQ3553">
            <v>0</v>
          </cell>
          <cell r="AV3553">
            <v>33750000</v>
          </cell>
        </row>
        <row r="3554">
          <cell r="E3554" t="str">
            <v>D25016810</v>
          </cell>
          <cell r="AP3554">
            <v>0</v>
          </cell>
          <cell r="AQ3554">
            <v>0</v>
          </cell>
          <cell r="AV3554">
            <v>63432000</v>
          </cell>
        </row>
        <row r="3555">
          <cell r="E3555" t="str">
            <v>D25017225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D25017226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B25015513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B25015514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B25015515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D25018069</v>
          </cell>
          <cell r="AP3560">
            <v>0</v>
          </cell>
          <cell r="AQ3560">
            <v>0</v>
          </cell>
          <cell r="AV3560">
            <v>11964000</v>
          </cell>
        </row>
        <row r="3561">
          <cell r="E3561" t="str">
            <v>B25015835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B25016212</v>
          </cell>
          <cell r="AP3562">
            <v>0</v>
          </cell>
          <cell r="AQ3562">
            <v>0</v>
          </cell>
          <cell r="AV3562">
            <v>21614000</v>
          </cell>
        </row>
        <row r="3563">
          <cell r="E3563" t="str">
            <v>B25016213</v>
          </cell>
          <cell r="AP3563">
            <v>0</v>
          </cell>
          <cell r="AQ3563">
            <v>0</v>
          </cell>
          <cell r="AV3563">
            <v>49260000</v>
          </cell>
        </row>
        <row r="3564">
          <cell r="E3564" t="str">
            <v>B25016214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D25018682</v>
          </cell>
          <cell r="AP3565">
            <v>0</v>
          </cell>
          <cell r="AQ3565">
            <v>0</v>
          </cell>
          <cell r="AV3565">
            <v>29160000</v>
          </cell>
        </row>
        <row r="3566">
          <cell r="E3566" t="str">
            <v>D25018981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D25018982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B25016652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D25019404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D25019412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B25016948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B26000518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B26001491</v>
          </cell>
          <cell r="AP3573">
            <v>0</v>
          </cell>
          <cell r="AQ3573">
            <v>0</v>
          </cell>
          <cell r="AV3573">
            <v>55500000</v>
          </cell>
        </row>
        <row r="3574">
          <cell r="E3574" t="str">
            <v>B26001513</v>
          </cell>
          <cell r="AP3574">
            <v>0</v>
          </cell>
          <cell r="AQ3574">
            <v>0</v>
          </cell>
          <cell r="AV3574">
            <v>55860000</v>
          </cell>
        </row>
        <row r="3575">
          <cell r="E3575" t="str">
            <v>D26001987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D26000290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D26000359</v>
          </cell>
          <cell r="AP3577">
            <v>0</v>
          </cell>
          <cell r="AQ3577">
            <v>0</v>
          </cell>
          <cell r="AV3577">
            <v>5571000</v>
          </cell>
        </row>
        <row r="3578">
          <cell r="E3578" t="str">
            <v>T26000051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D26001215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Z25002766</v>
          </cell>
          <cell r="AP3580">
            <v>0</v>
          </cell>
          <cell r="AQ3580">
            <v>0</v>
          </cell>
          <cell r="AV3580">
            <v>38916887</v>
          </cell>
        </row>
        <row r="3581">
          <cell r="E3581" t="str">
            <v>Z25002766</v>
          </cell>
          <cell r="AP3581">
            <v>16083113</v>
          </cell>
          <cell r="AQ3581">
            <v>0</v>
          </cell>
          <cell r="AV3581">
            <v>0</v>
          </cell>
        </row>
        <row r="3582">
          <cell r="E3582" t="str">
            <v>Z25002859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T25001721k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T25001773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Z25003134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Z25003135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Z25003187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Z25003220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Z25003223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Z25003225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Z25003233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Z25003234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Z25003308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Z25003317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Z25003335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Z25003373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Z25003389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Z25003390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Z25003391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Z26000120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Z26000255</v>
          </cell>
          <cell r="AP3601">
            <v>0</v>
          </cell>
          <cell r="AQ3601">
            <v>0</v>
          </cell>
          <cell r="AV3601">
            <v>131000000</v>
          </cell>
        </row>
        <row r="3602">
          <cell r="E3602" t="str">
            <v>Z26000271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Z26000310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Z26000319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Z26000326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Z26000330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D25019524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D26000308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D26000335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D26000356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B26000542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D26000567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D26000580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B26000785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D26000902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D26000903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D26001077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D26001170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B26001441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B26001442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D26001593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D26001729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B26001739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D26002046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D26002068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D26000294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D25007848</v>
          </cell>
          <cell r="AP3627">
            <v>13754000</v>
          </cell>
          <cell r="AQ3627">
            <v>0</v>
          </cell>
          <cell r="AV3627">
            <v>0</v>
          </cell>
        </row>
        <row r="3628">
          <cell r="E3628" t="str">
            <v>D25018088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D25018089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D25018111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D25018518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D26001840</v>
          </cell>
          <cell r="AP3632">
            <v>0</v>
          </cell>
          <cell r="AQ3632">
            <v>0</v>
          </cell>
          <cell r="AV3632">
            <v>4200000</v>
          </cell>
        </row>
        <row r="3633">
          <cell r="E3633" t="str">
            <v>D25018397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B25016387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B25016784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B26000121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T26000009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B26001639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C26000094</v>
          </cell>
          <cell r="AP3639">
            <v>0</v>
          </cell>
          <cell r="AQ3639">
            <v>0</v>
          </cell>
          <cell r="AV3639">
            <v>490000</v>
          </cell>
        </row>
        <row r="3640">
          <cell r="E3640" t="str">
            <v>C26000110</v>
          </cell>
          <cell r="AP3640">
            <v>0</v>
          </cell>
          <cell r="AQ3640">
            <v>0</v>
          </cell>
          <cell r="AV3640">
            <v>10000</v>
          </cell>
        </row>
        <row r="3641">
          <cell r="E3641" t="str">
            <v>C26000107</v>
          </cell>
          <cell r="AP3641">
            <v>0</v>
          </cell>
          <cell r="AQ3641">
            <v>0</v>
          </cell>
          <cell r="AV3641">
            <v>375000</v>
          </cell>
        </row>
        <row r="3642">
          <cell r="E3642" t="str">
            <v>C26000104</v>
          </cell>
          <cell r="AP3642">
            <v>0</v>
          </cell>
          <cell r="AQ3642">
            <v>0</v>
          </cell>
          <cell r="AV3642">
            <v>183500</v>
          </cell>
        </row>
        <row r="3643">
          <cell r="E3643" t="str">
            <v>C26000112</v>
          </cell>
          <cell r="AP3643">
            <v>0</v>
          </cell>
          <cell r="AQ3643">
            <v>0</v>
          </cell>
          <cell r="AV3643">
            <v>36000</v>
          </cell>
        </row>
        <row r="3644">
          <cell r="E3644" t="str">
            <v>C26000101</v>
          </cell>
          <cell r="AP3644">
            <v>0</v>
          </cell>
          <cell r="AQ3644">
            <v>0</v>
          </cell>
          <cell r="AV3644">
            <v>120000</v>
          </cell>
        </row>
        <row r="3645">
          <cell r="E3645" t="str">
            <v>C26000097</v>
          </cell>
          <cell r="AP3645">
            <v>0</v>
          </cell>
          <cell r="AQ3645">
            <v>0</v>
          </cell>
          <cell r="AV3645">
            <v>107000</v>
          </cell>
        </row>
        <row r="3646">
          <cell r="E3646" t="str">
            <v>D26001905</v>
          </cell>
          <cell r="AP3646">
            <v>0</v>
          </cell>
          <cell r="AQ3646">
            <v>0</v>
          </cell>
          <cell r="AV3646">
            <v>65000</v>
          </cell>
        </row>
        <row r="3647">
          <cell r="E3647" t="str">
            <v>C26000099</v>
          </cell>
          <cell r="AP3647">
            <v>0</v>
          </cell>
          <cell r="AQ3647">
            <v>0</v>
          </cell>
          <cell r="AV3647">
            <v>300000</v>
          </cell>
        </row>
        <row r="3648">
          <cell r="E3648" t="str">
            <v>Z25001658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D25016592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D25016592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D25016593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B25014498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D25016986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B25014854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B25014854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B25014854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B25015007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B25015128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B25015128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D25017390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D25017390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D25017390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D25017390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D25017390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D25017390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D25017390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D25017390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D25017391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D25017398</v>
          </cell>
          <cell r="AP3669">
            <v>0</v>
          </cell>
          <cell r="AQ3669">
            <v>0</v>
          </cell>
          <cell r="AV3669">
            <v>0</v>
          </cell>
        </row>
        <row r="3670">
          <cell r="E3670" t="str">
            <v>D25017735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D25017735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D25017735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D25017752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D25017752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B25015422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B25015422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B25015422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B25015422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B25015422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B25015422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B25015561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D25018029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D25018029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D25018029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D25018065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D25018103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D25018268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D25018268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D25018268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D25018268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D25018268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B25015876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B25016042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B25016058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B25016058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B25016073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B25016323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B25016323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B25016323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B25016323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B25016368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B25016611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D25019062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D25019062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D25019062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D25019153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D25019210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D25019264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D25019264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D25019264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D25019268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D25019268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D25019269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D25019356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D25019356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D25019394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D25019394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D25019517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D25019517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D25019595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D25019595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D25019595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D25019596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D25019596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D25019596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D25019596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B25017086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B25017135</v>
          </cell>
          <cell r="AP3728">
            <v>0</v>
          </cell>
          <cell r="AQ3728">
            <v>15445000</v>
          </cell>
          <cell r="AV3728">
            <v>0</v>
          </cell>
        </row>
        <row r="3729">
          <cell r="E3729" t="str">
            <v>D26000080</v>
          </cell>
          <cell r="AP3729">
            <v>0</v>
          </cell>
          <cell r="AQ3729">
            <v>25125000</v>
          </cell>
          <cell r="AV3729">
            <v>0</v>
          </cell>
        </row>
        <row r="3730">
          <cell r="E3730" t="str">
            <v>D26000080</v>
          </cell>
          <cell r="AP3730">
            <v>0</v>
          </cell>
          <cell r="AQ3730">
            <v>100000000</v>
          </cell>
          <cell r="AV3730">
            <v>0</v>
          </cell>
        </row>
        <row r="3731">
          <cell r="E3731" t="str">
            <v>D26000080</v>
          </cell>
          <cell r="AP3731">
            <v>0</v>
          </cell>
          <cell r="AQ3731">
            <v>100000000</v>
          </cell>
          <cell r="AV3731">
            <v>0</v>
          </cell>
        </row>
        <row r="3732">
          <cell r="E3732" t="str">
            <v>D26000080</v>
          </cell>
          <cell r="AP3732">
            <v>0</v>
          </cell>
          <cell r="AQ3732">
            <v>150000000</v>
          </cell>
          <cell r="AV3732">
            <v>0</v>
          </cell>
        </row>
        <row r="3733">
          <cell r="E3733" t="str">
            <v>D26000080</v>
          </cell>
          <cell r="AP3733">
            <v>0</v>
          </cell>
          <cell r="AQ3733">
            <v>250000000</v>
          </cell>
          <cell r="AV3733">
            <v>0</v>
          </cell>
        </row>
        <row r="3734">
          <cell r="E3734" t="str">
            <v>D26000080</v>
          </cell>
          <cell r="AP3734">
            <v>0</v>
          </cell>
          <cell r="AQ3734">
            <v>74950000</v>
          </cell>
          <cell r="AV3734">
            <v>0</v>
          </cell>
        </row>
        <row r="3735">
          <cell r="E3735" t="str">
            <v>D26000081</v>
          </cell>
          <cell r="AP3735">
            <v>0</v>
          </cell>
          <cell r="AQ3735">
            <v>125050000</v>
          </cell>
          <cell r="AV3735">
            <v>0</v>
          </cell>
        </row>
        <row r="3736">
          <cell r="E3736" t="str">
            <v>D26000081</v>
          </cell>
          <cell r="AP3736">
            <v>0</v>
          </cell>
          <cell r="AQ3736">
            <v>93625000</v>
          </cell>
          <cell r="AV3736">
            <v>0</v>
          </cell>
        </row>
        <row r="3737">
          <cell r="E3737" t="str">
            <v>D26000083</v>
          </cell>
          <cell r="AP3737">
            <v>0</v>
          </cell>
          <cell r="AQ3737">
            <v>56375000</v>
          </cell>
          <cell r="AV3737">
            <v>0</v>
          </cell>
        </row>
        <row r="3738">
          <cell r="E3738" t="str">
            <v>D26000083</v>
          </cell>
          <cell r="AP3738">
            <v>0</v>
          </cell>
          <cell r="AQ3738">
            <v>55305000</v>
          </cell>
          <cell r="AV3738">
            <v>0</v>
          </cell>
        </row>
        <row r="3739">
          <cell r="E3739" t="str">
            <v>D26000536</v>
          </cell>
          <cell r="AP3739">
            <v>0</v>
          </cell>
          <cell r="AQ3739">
            <v>92400000</v>
          </cell>
          <cell r="AV3739">
            <v>0</v>
          </cell>
        </row>
        <row r="3740">
          <cell r="E3740" t="str">
            <v>D26000583</v>
          </cell>
          <cell r="AP3740">
            <v>0</v>
          </cell>
          <cell r="AQ3740">
            <v>94695000</v>
          </cell>
          <cell r="AV3740">
            <v>0</v>
          </cell>
        </row>
        <row r="3741">
          <cell r="E3741" t="str">
            <v>D26001285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D26001475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D26001494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D26001508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D26001675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D26001676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D26001730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D26001770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D26001802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D26002025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D25007908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D25015340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D25010159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B26001143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B26001906</v>
          </cell>
          <cell r="AP3755">
            <v>0</v>
          </cell>
          <cell r="AQ3755">
            <v>0</v>
          </cell>
          <cell r="AV3755">
            <v>1032000</v>
          </cell>
        </row>
        <row r="3756">
          <cell r="E3756" t="str">
            <v>D26001791</v>
          </cell>
          <cell r="AP3756">
            <v>0</v>
          </cell>
          <cell r="AQ3756">
            <v>0</v>
          </cell>
          <cell r="AV3756">
            <v>17500000</v>
          </cell>
        </row>
        <row r="3757">
          <cell r="E3757" t="str">
            <v>D26001792</v>
          </cell>
          <cell r="AP3757">
            <v>0</v>
          </cell>
          <cell r="AQ3757">
            <v>0</v>
          </cell>
          <cell r="AV3757">
            <v>73300000</v>
          </cell>
        </row>
        <row r="3758">
          <cell r="E3758" t="str">
            <v>T26000123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T26000135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T26000136k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B26001586</v>
          </cell>
          <cell r="AP3761">
            <v>0</v>
          </cell>
          <cell r="AQ3761">
            <v>0</v>
          </cell>
          <cell r="AV3761">
            <v>1000000</v>
          </cell>
        </row>
        <row r="3762">
          <cell r="E3762" t="str">
            <v>B26001586</v>
          </cell>
          <cell r="AP3762">
            <v>0</v>
          </cell>
          <cell r="AQ3762">
            <v>0</v>
          </cell>
          <cell r="AV3762">
            <v>1000000</v>
          </cell>
        </row>
        <row r="3763">
          <cell r="E3763" t="str">
            <v>D24016641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B26001691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A26000136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A26000158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A26000161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A26000162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A26000164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A26000167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A26000171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A26000172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A26000173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A26000174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A26000176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A26000177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A26000178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A26000179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A26000180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A26000181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A26000182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A26000185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A26000186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A26000187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A26000189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A26000190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A26000191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A26000192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A26000193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A26000199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A26000200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A26000201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A26000202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A26000203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A26000204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A26000205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A26000206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A26000207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A26000209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A26000210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A26000213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A26000214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A26000215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A26000216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A26000217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A26000218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A26000219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A26000220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A26000221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A26000222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A25002320</v>
          </cell>
          <cell r="AP3811">
            <v>54000</v>
          </cell>
          <cell r="AQ3811">
            <v>0</v>
          </cell>
          <cell r="AV3811">
            <v>0</v>
          </cell>
        </row>
        <row r="3812">
          <cell r="E3812" t="str">
            <v>A26000014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A26000060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A26000118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A26000143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A26000175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A26000183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A26000184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A26000188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A26000194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A26000195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A26000196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A26000197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A26000198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A26000208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A26000211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A26000212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D26000155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B26000336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B26000155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B25015869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B25016602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D26000826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T26000090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B26001266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T25001846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B26000627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B26001731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D26001894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D25019021</v>
          </cell>
          <cell r="AP3840">
            <v>0</v>
          </cell>
          <cell r="AQ3840">
            <v>0</v>
          </cell>
          <cell r="AV3840">
            <v>9000000</v>
          </cell>
        </row>
        <row r="3841">
          <cell r="E3841" t="str">
            <v>D25016703</v>
          </cell>
          <cell r="AP3841">
            <v>0</v>
          </cell>
          <cell r="AQ3841">
            <v>0</v>
          </cell>
          <cell r="AV3841">
            <v>285218900</v>
          </cell>
        </row>
        <row r="3842">
          <cell r="E3842" t="str">
            <v>B25016707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B25016708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B26000051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D26000324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D26000607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D26001548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D26002084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D26002093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B25015031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D25017570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D25017851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B25015708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D25018202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D25018246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D25018677</v>
          </cell>
          <cell r="AP3856">
            <v>0</v>
          </cell>
          <cell r="AQ3856">
            <v>111650000</v>
          </cell>
          <cell r="AV3856">
            <v>0</v>
          </cell>
        </row>
        <row r="3857">
          <cell r="E3857" t="str">
            <v>D25018814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D25018815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D25018817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D25019193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D25019219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D26000116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B26000296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D26001342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D26001717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D26001786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D26001823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D26001842</v>
          </cell>
          <cell r="AP3868">
            <v>0</v>
          </cell>
          <cell r="AQ3868">
            <v>0</v>
          </cell>
          <cell r="AV3868">
            <v>6750000</v>
          </cell>
        </row>
        <row r="3869">
          <cell r="E3869" t="str">
            <v>D26001909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D26001974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B26001928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D26002040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D26002044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D25013126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D25018753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D25018896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D25018897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D25018897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D25019002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B25016680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D25019416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D25019602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D25019602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D25019603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B26000026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B26000026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D26000082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B26001378</v>
          </cell>
          <cell r="AP3888">
            <v>0</v>
          </cell>
          <cell r="AQ3888">
            <v>0</v>
          </cell>
          <cell r="AV3888">
            <v>133000000</v>
          </cell>
        </row>
        <row r="3889">
          <cell r="E3889" t="str">
            <v>D26001502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B26001421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B26001422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B26001426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D26001606</v>
          </cell>
          <cell r="AP3893">
            <v>0</v>
          </cell>
          <cell r="AQ3893">
            <v>0</v>
          </cell>
          <cell r="AV3893">
            <v>156000000</v>
          </cell>
        </row>
        <row r="3894">
          <cell r="E3894" t="str">
            <v>D26001722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D26001761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D26001814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D26001898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D26001950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D26001991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B26000217</v>
          </cell>
          <cell r="AP3900">
            <v>0</v>
          </cell>
          <cell r="AQ3900">
            <v>0</v>
          </cell>
          <cell r="AV3900">
            <v>3985000</v>
          </cell>
        </row>
        <row r="3901">
          <cell r="E3901" t="str">
            <v>B26000603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D26000728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D26001022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T26000070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B26001697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T26000120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T26000121k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T25001688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B25016829</v>
          </cell>
          <cell r="AP3909">
            <v>0</v>
          </cell>
          <cell r="AQ3909">
            <v>0</v>
          </cell>
          <cell r="AV3909">
            <v>8690000</v>
          </cell>
        </row>
        <row r="3910">
          <cell r="E3910" t="str">
            <v>B25016830</v>
          </cell>
          <cell r="AP3910">
            <v>0</v>
          </cell>
          <cell r="AQ3910">
            <v>0</v>
          </cell>
          <cell r="AV3910">
            <v>2760000</v>
          </cell>
        </row>
        <row r="3911">
          <cell r="E3911" t="str">
            <v>D25019556</v>
          </cell>
          <cell r="AP3911">
            <v>0</v>
          </cell>
          <cell r="AQ3911">
            <v>0</v>
          </cell>
          <cell r="AV3911">
            <v>3400000</v>
          </cell>
        </row>
        <row r="3912">
          <cell r="E3912" t="str">
            <v>D25019558</v>
          </cell>
          <cell r="AP3912">
            <v>0</v>
          </cell>
          <cell r="AQ3912">
            <v>0</v>
          </cell>
          <cell r="AV3912">
            <v>8545000</v>
          </cell>
        </row>
        <row r="3913">
          <cell r="E3913" t="str">
            <v>D25019566</v>
          </cell>
          <cell r="AP3913">
            <v>0</v>
          </cell>
          <cell r="AQ3913">
            <v>0</v>
          </cell>
          <cell r="AV3913">
            <v>855000</v>
          </cell>
        </row>
        <row r="3914">
          <cell r="E3914" t="str">
            <v>D25019571</v>
          </cell>
          <cell r="AP3914">
            <v>0</v>
          </cell>
          <cell r="AQ3914">
            <v>0</v>
          </cell>
          <cell r="AV3914">
            <v>3300000</v>
          </cell>
        </row>
        <row r="3915">
          <cell r="E3915" t="str">
            <v>D25019672</v>
          </cell>
          <cell r="AP3915">
            <v>0</v>
          </cell>
          <cell r="AQ3915">
            <v>0</v>
          </cell>
          <cell r="AV3915">
            <v>3500000</v>
          </cell>
        </row>
        <row r="3916">
          <cell r="E3916" t="str">
            <v>D25019688</v>
          </cell>
          <cell r="AP3916">
            <v>0</v>
          </cell>
          <cell r="AQ3916">
            <v>0</v>
          </cell>
          <cell r="AV3916">
            <v>5535000</v>
          </cell>
        </row>
        <row r="3917">
          <cell r="E3917" t="str">
            <v>B26000656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B26000673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B26000674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B26000675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B26000692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B26001193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B26001719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B26001720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B26001721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B26001823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B25016204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B25016569</v>
          </cell>
          <cell r="AP3928">
            <v>0</v>
          </cell>
          <cell r="AQ3928">
            <v>0</v>
          </cell>
          <cell r="AV3928">
            <v>11685000</v>
          </cell>
        </row>
        <row r="3929">
          <cell r="E3929" t="str">
            <v>B25016864</v>
          </cell>
          <cell r="AP3929">
            <v>0</v>
          </cell>
          <cell r="AQ3929">
            <v>0</v>
          </cell>
          <cell r="AV3929">
            <v>7315000</v>
          </cell>
        </row>
        <row r="3930">
          <cell r="E3930" t="str">
            <v>B25016879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D26000118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D26000455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D26000456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D26000605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D26000834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D26001066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D26001545</v>
          </cell>
          <cell r="AP3937">
            <v>0</v>
          </cell>
          <cell r="AQ3937">
            <v>0</v>
          </cell>
          <cell r="AV3937">
            <v>4200000</v>
          </cell>
        </row>
        <row r="3938">
          <cell r="E3938" t="str">
            <v>B26001756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D26001848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T25001572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D26000847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D26001198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B26001883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B25016111</v>
          </cell>
          <cell r="AP3944">
            <v>0</v>
          </cell>
          <cell r="AQ3944">
            <v>0</v>
          </cell>
          <cell r="AV3944">
            <v>3100000</v>
          </cell>
        </row>
        <row r="3945">
          <cell r="E3945" t="str">
            <v>B25016220</v>
          </cell>
          <cell r="AP3945">
            <v>0</v>
          </cell>
          <cell r="AQ3945">
            <v>0</v>
          </cell>
          <cell r="AV3945">
            <v>2150000</v>
          </cell>
        </row>
        <row r="3946">
          <cell r="E3946" t="str">
            <v>B25016230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D25018668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T25001414</v>
          </cell>
          <cell r="AP3948">
            <v>1316250</v>
          </cell>
          <cell r="AQ3948">
            <v>0</v>
          </cell>
          <cell r="AV3948">
            <v>0</v>
          </cell>
        </row>
        <row r="3949">
          <cell r="E3949" t="str">
            <v>T25001414</v>
          </cell>
          <cell r="AP3949">
            <v>0</v>
          </cell>
          <cell r="AQ3949">
            <v>0</v>
          </cell>
          <cell r="AV3949">
            <v>383750</v>
          </cell>
        </row>
        <row r="3950">
          <cell r="E3950" t="str">
            <v>D25014916</v>
          </cell>
          <cell r="AP3950">
            <v>5695000</v>
          </cell>
          <cell r="AQ3950">
            <v>0</v>
          </cell>
          <cell r="AV3950">
            <v>0</v>
          </cell>
        </row>
        <row r="3951">
          <cell r="E3951" t="str">
            <v>D25014916</v>
          </cell>
          <cell r="AP3951">
            <v>0</v>
          </cell>
          <cell r="AQ3951">
            <v>0</v>
          </cell>
          <cell r="AV3951">
            <v>1105000</v>
          </cell>
        </row>
        <row r="3952">
          <cell r="E3952" t="str">
            <v>B26001420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B25016555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D26000024</v>
          </cell>
          <cell r="AP3954">
            <v>0</v>
          </cell>
          <cell r="AQ3954">
            <v>0</v>
          </cell>
          <cell r="AV3954">
            <v>4000000</v>
          </cell>
        </row>
        <row r="3955">
          <cell r="E3955" t="str">
            <v>B26000460</v>
          </cell>
          <cell r="AP3955">
            <v>0</v>
          </cell>
          <cell r="AQ3955">
            <v>0</v>
          </cell>
          <cell r="AV3955">
            <v>20800000</v>
          </cell>
        </row>
        <row r="3956">
          <cell r="E3956" t="str">
            <v>B26000469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B26000484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D26000736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D26000807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D26000979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D26001218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B26001254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D26001412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B26001544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B26001771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B25015299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L25000055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B25016854</v>
          </cell>
          <cell r="AP3968">
            <v>0</v>
          </cell>
          <cell r="AQ3968">
            <v>0</v>
          </cell>
          <cell r="AV3968">
            <v>1700000</v>
          </cell>
        </row>
        <row r="3969">
          <cell r="E3969" t="str">
            <v>D25019472</v>
          </cell>
          <cell r="AP3969">
            <v>0</v>
          </cell>
          <cell r="AQ3969">
            <v>0</v>
          </cell>
          <cell r="AV3969">
            <v>1240000</v>
          </cell>
        </row>
        <row r="3970">
          <cell r="E3970" t="str">
            <v>D26000075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D26000140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B26000899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B26000935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B26000128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D26000267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B26001353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D26001460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D26001461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B26000669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B26001598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D25016298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D25016299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D25016434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B25014206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D25016491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D25016604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D25016638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D25016644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D25016648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D25016717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B25014496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B25014496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B25014521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B25014584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B25014584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B25014662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B25014786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B25014786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B25014787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B25014840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B25014879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B25014883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B25014884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D25017290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D25017291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B25015055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B25015056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B25015062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D25017388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D25017569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D25017569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D25017576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D25017578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B25015257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B25015259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B25015354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D25017763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D25017810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D25017866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D25017867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D25017990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B25015598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D25018031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D25018033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D25018260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D25018263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B25015923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B25016082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B25016108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B25016108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B25016109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B25016109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B25016109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B25016135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D25018533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D25018535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D25018566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D25018589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D25018600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D25018624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D25018624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D25018652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B25016253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B25016254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B25016329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B25016366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B25016462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B25016463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B25016463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B25016463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B25016463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B25016467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D25018945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B25016583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D25019041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D25019047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D25019074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D25019354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B25016951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B25016968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B25016976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B25017051</v>
          </cell>
          <cell r="AP4062">
            <v>0</v>
          </cell>
          <cell r="AQ4062">
            <v>91800000</v>
          </cell>
          <cell r="AV4062">
            <v>0</v>
          </cell>
        </row>
        <row r="4063">
          <cell r="E4063" t="str">
            <v>D25019669</v>
          </cell>
          <cell r="AP4063">
            <v>0</v>
          </cell>
          <cell r="AQ4063">
            <v>15500000</v>
          </cell>
          <cell r="AV4063">
            <v>0</v>
          </cell>
        </row>
        <row r="4064">
          <cell r="E4064" t="str">
            <v>B25017144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B26000011</v>
          </cell>
          <cell r="AP4065">
            <v>0</v>
          </cell>
          <cell r="AQ4065">
            <v>20345000</v>
          </cell>
          <cell r="AV4065">
            <v>0</v>
          </cell>
        </row>
        <row r="4066">
          <cell r="E4066" t="str">
            <v>D26000003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D26000004</v>
          </cell>
          <cell r="AP4067">
            <v>0</v>
          </cell>
          <cell r="AQ4067">
            <v>29250000</v>
          </cell>
          <cell r="AV4067">
            <v>0</v>
          </cell>
        </row>
        <row r="4068">
          <cell r="E4068" t="str">
            <v>D26000038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D26000043</v>
          </cell>
          <cell r="AP4069">
            <v>0</v>
          </cell>
          <cell r="AQ4069">
            <v>3150000</v>
          </cell>
          <cell r="AV4069">
            <v>0</v>
          </cell>
        </row>
        <row r="4070">
          <cell r="E4070" t="str">
            <v>B26000223</v>
          </cell>
          <cell r="AP4070">
            <v>0</v>
          </cell>
          <cell r="AQ4070">
            <v>39315000</v>
          </cell>
          <cell r="AV4070">
            <v>0</v>
          </cell>
        </row>
        <row r="4071">
          <cell r="E4071" t="str">
            <v>D26000251</v>
          </cell>
          <cell r="AP4071">
            <v>0</v>
          </cell>
          <cell r="AQ4071">
            <v>48100000</v>
          </cell>
          <cell r="AV4071">
            <v>0</v>
          </cell>
        </row>
        <row r="4072">
          <cell r="E4072" t="str">
            <v>D26000296</v>
          </cell>
          <cell r="AP4072">
            <v>0</v>
          </cell>
          <cell r="AQ4072">
            <v>98000000</v>
          </cell>
          <cell r="AV4072">
            <v>0</v>
          </cell>
        </row>
        <row r="4073">
          <cell r="E4073" t="str">
            <v>D26000305</v>
          </cell>
          <cell r="AP4073">
            <v>0</v>
          </cell>
          <cell r="AQ4073">
            <v>72000000</v>
          </cell>
          <cell r="AV4073">
            <v>0</v>
          </cell>
        </row>
        <row r="4074">
          <cell r="E4074" t="str">
            <v>D26000307</v>
          </cell>
          <cell r="AP4074">
            <v>0</v>
          </cell>
          <cell r="AQ4074">
            <v>164322000</v>
          </cell>
          <cell r="AV4074">
            <v>0</v>
          </cell>
        </row>
        <row r="4075">
          <cell r="E4075" t="str">
            <v>D26000320</v>
          </cell>
          <cell r="AP4075">
            <v>0</v>
          </cell>
          <cell r="AQ4075">
            <v>28300000</v>
          </cell>
          <cell r="AV4075">
            <v>0</v>
          </cell>
        </row>
        <row r="4076">
          <cell r="E4076" t="str">
            <v>D26000328</v>
          </cell>
          <cell r="AP4076">
            <v>0</v>
          </cell>
          <cell r="AQ4076">
            <v>29540000</v>
          </cell>
          <cell r="AV4076">
            <v>0</v>
          </cell>
        </row>
        <row r="4077">
          <cell r="E4077" t="str">
            <v>D26000458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D26000465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D26000468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B26000576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B26000577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D26000677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D26000726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D26000727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D26000777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B26000792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D26000871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D26000986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B26001097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D26001331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B26001276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B26001349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B26001401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D26001429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D26001430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D26001447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D26001485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D26001493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D26001512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B26001493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D26001600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D26001604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D26001623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D26001635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B26001573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D26001672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B26001616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D26001798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D26001809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B26001711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B26001716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D26001860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D26002016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D26002021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B26001758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T26000132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B25016062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D26000533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B26000504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D26000915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D26001269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B25016000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D25019017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B26001286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B26001659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B26001681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T25001791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T25001792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D25019371</v>
          </cell>
          <cell r="AP4129">
            <v>0</v>
          </cell>
          <cell r="AQ4129">
            <v>0</v>
          </cell>
          <cell r="AV4129">
            <v>16800000</v>
          </cell>
        </row>
        <row r="4130">
          <cell r="E4130" t="str">
            <v>B26000361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B26000362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B26000836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B26000839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B26000854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B26000877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B26001354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D25018432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D25018496</v>
          </cell>
          <cell r="AP4138">
            <v>0</v>
          </cell>
          <cell r="AQ4138">
            <v>0</v>
          </cell>
          <cell r="AV4138">
            <v>236400000</v>
          </cell>
        </row>
        <row r="4139">
          <cell r="E4139" t="str">
            <v>B25016226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D25019206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D26000264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T26000018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D26000694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D26000809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D26001112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D26001375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D26001541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B26001476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D26001642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D26001720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D26001760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D26001973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B25016849</v>
          </cell>
          <cell r="AP4153">
            <v>0</v>
          </cell>
          <cell r="AQ4153">
            <v>0</v>
          </cell>
          <cell r="AV4153">
            <v>27860000</v>
          </cell>
        </row>
        <row r="4154">
          <cell r="E4154" t="str">
            <v>B25016967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B25016969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B26000544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D26000948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D26001106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B26001700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D25019098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B26000599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D26000627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D25018704</v>
          </cell>
          <cell r="AP4163">
            <v>0</v>
          </cell>
          <cell r="AQ4163">
            <v>0</v>
          </cell>
          <cell r="AV4163">
            <v>6000000</v>
          </cell>
        </row>
        <row r="4164">
          <cell r="E4164" t="str">
            <v>D25018755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D25018858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D25019061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D25019278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D25019454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D25019594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D25019702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D26000214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D26000467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D26000635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D26000799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D26000943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D26000944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D26000964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D26001117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B26001287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B26001508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B26001757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B25015633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T25001860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D25019154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D25016913</v>
          </cell>
          <cell r="AP4185">
            <v>0</v>
          </cell>
          <cell r="AQ4185">
            <v>0</v>
          </cell>
          <cell r="AV4185">
            <v>7660000</v>
          </cell>
        </row>
        <row r="4186">
          <cell r="E4186" t="str">
            <v>D25019342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B25016964</v>
          </cell>
          <cell r="AP4187">
            <v>0</v>
          </cell>
          <cell r="AQ4187">
            <v>0</v>
          </cell>
          <cell r="AV4187">
            <v>2195000</v>
          </cell>
        </row>
        <row r="4188">
          <cell r="E4188" t="str">
            <v>D26000178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D26000333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D26000883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B26001109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B26001281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B26001456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D26001907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B25016656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B26001695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D26000164</v>
          </cell>
          <cell r="AP4197">
            <v>0</v>
          </cell>
          <cell r="AQ4197">
            <v>0</v>
          </cell>
          <cell r="AV4197">
            <v>1640000</v>
          </cell>
        </row>
        <row r="4198">
          <cell r="E4198" t="str">
            <v>B26000788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D26001696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B26001688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B25016398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D26000838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D26000845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D26001389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B26001366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B26001400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B26001764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D26001886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B26001947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D25019562</v>
          </cell>
          <cell r="AP4210">
            <v>0</v>
          </cell>
          <cell r="AQ4210">
            <v>0</v>
          </cell>
          <cell r="AV4210">
            <v>5000000</v>
          </cell>
        </row>
        <row r="4211">
          <cell r="E4211" t="str">
            <v>D26001926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D25016614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B25016902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B26000061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B26001376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T25001374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B26001362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D25017742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B26001076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D26001567</v>
          </cell>
          <cell r="AP4220">
            <v>0</v>
          </cell>
          <cell r="AQ4220">
            <v>0</v>
          </cell>
          <cell r="AV4220">
            <v>15000000</v>
          </cell>
        </row>
        <row r="4221">
          <cell r="E4221" t="str">
            <v>B26001592</v>
          </cell>
          <cell r="AP4221">
            <v>0</v>
          </cell>
          <cell r="AQ4221">
            <v>0</v>
          </cell>
          <cell r="AV4221">
            <v>4840000</v>
          </cell>
        </row>
        <row r="4222">
          <cell r="E4222" t="str">
            <v>B26001593</v>
          </cell>
          <cell r="AP4222">
            <v>0</v>
          </cell>
          <cell r="AQ4222">
            <v>0</v>
          </cell>
          <cell r="AV4222">
            <v>906500</v>
          </cell>
        </row>
        <row r="4223">
          <cell r="E4223" t="str">
            <v>B26000310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D26001175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D26001615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B25017060</v>
          </cell>
          <cell r="AP4226">
            <v>0</v>
          </cell>
          <cell r="AQ4226">
            <v>0</v>
          </cell>
          <cell r="AV4226">
            <v>17520000</v>
          </cell>
        </row>
        <row r="4227">
          <cell r="E4227" t="str">
            <v>D26001639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D26001476</v>
          </cell>
          <cell r="AP4228">
            <v>0</v>
          </cell>
          <cell r="AQ4228">
            <v>0</v>
          </cell>
          <cell r="AV4228">
            <v>382450000</v>
          </cell>
        </row>
        <row r="4229">
          <cell r="E4229" t="str">
            <v>D26001558</v>
          </cell>
          <cell r="AP4229">
            <v>0</v>
          </cell>
          <cell r="AQ4229">
            <v>0</v>
          </cell>
          <cell r="AV4229">
            <v>117550000</v>
          </cell>
        </row>
        <row r="4230">
          <cell r="E4230" t="str">
            <v>D26001558</v>
          </cell>
          <cell r="AP4230">
            <v>0</v>
          </cell>
          <cell r="AQ4230">
            <v>0</v>
          </cell>
          <cell r="AV4230">
            <v>150000000</v>
          </cell>
        </row>
        <row r="4231">
          <cell r="E4231" t="str">
            <v>D26001558</v>
          </cell>
          <cell r="AP4231">
            <v>0</v>
          </cell>
          <cell r="AQ4231">
            <v>0</v>
          </cell>
          <cell r="AV4231">
            <v>158000000</v>
          </cell>
        </row>
        <row r="4232">
          <cell r="E4232" t="str">
            <v>D26001970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D26002001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Z25003229</v>
          </cell>
          <cell r="AP4234">
            <v>0</v>
          </cell>
          <cell r="AQ4234">
            <v>0</v>
          </cell>
          <cell r="AV4234">
            <v>6400000</v>
          </cell>
        </row>
        <row r="4235">
          <cell r="E4235" t="str">
            <v>Z25003285</v>
          </cell>
          <cell r="AP4235">
            <v>0</v>
          </cell>
          <cell r="AQ4235">
            <v>0</v>
          </cell>
          <cell r="AV4235">
            <v>2076000</v>
          </cell>
        </row>
        <row r="4236">
          <cell r="E4236" t="str">
            <v>Z25003370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Z26000191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Z26000193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Z26000275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Z26000300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Z26000303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D25016711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T25001656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D26001941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D26001942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D26000260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D26001820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B25016661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B25016985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B26001785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B25016543</v>
          </cell>
          <cell r="AP4251">
            <v>0</v>
          </cell>
          <cell r="AQ4251">
            <v>0</v>
          </cell>
          <cell r="AV4251">
            <v>7625000</v>
          </cell>
        </row>
        <row r="4252">
          <cell r="E4252" t="str">
            <v>D25019191</v>
          </cell>
          <cell r="AP4252">
            <v>0</v>
          </cell>
          <cell r="AQ4252">
            <v>0</v>
          </cell>
          <cell r="AV4252">
            <v>64680000</v>
          </cell>
        </row>
        <row r="4253">
          <cell r="E4253" t="str">
            <v>B25016735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D26000512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D26001892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B26001672</v>
          </cell>
          <cell r="AP4256">
            <v>0</v>
          </cell>
          <cell r="AQ4256">
            <v>0</v>
          </cell>
          <cell r="AV4256">
            <v>3000000</v>
          </cell>
        </row>
        <row r="4257">
          <cell r="E4257" t="str">
            <v>D26000141</v>
          </cell>
          <cell r="AP4257">
            <v>0</v>
          </cell>
          <cell r="AQ4257">
            <v>0</v>
          </cell>
          <cell r="AV4257">
            <v>5312500</v>
          </cell>
        </row>
        <row r="4258">
          <cell r="E4258" t="str">
            <v>D26000195</v>
          </cell>
          <cell r="AP4258">
            <v>0</v>
          </cell>
          <cell r="AQ4258">
            <v>0</v>
          </cell>
          <cell r="AV4258">
            <v>5312500</v>
          </cell>
        </row>
        <row r="4259">
          <cell r="E4259">
            <v>250199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B25016627</v>
          </cell>
          <cell r="AP4260">
            <v>0</v>
          </cell>
          <cell r="AQ4260">
            <v>0</v>
          </cell>
          <cell r="AV4260">
            <v>136770000</v>
          </cell>
        </row>
        <row r="4261">
          <cell r="E4261" t="str">
            <v>B25016628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D26000424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D26000425</v>
          </cell>
          <cell r="AP4263">
            <v>0</v>
          </cell>
          <cell r="AQ4263">
            <v>0</v>
          </cell>
          <cell r="AV4263">
            <v>0</v>
          </cell>
        </row>
        <row r="4264">
          <cell r="E4264" t="str">
            <v>D26000426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B26000562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D26000644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D26000658</v>
          </cell>
          <cell r="AP4267">
            <v>0</v>
          </cell>
          <cell r="AQ4267">
            <v>0</v>
          </cell>
          <cell r="AV4267">
            <v>79000000</v>
          </cell>
        </row>
        <row r="4268">
          <cell r="E4268" t="str">
            <v>D26000659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D26000668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D26000829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D26001193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D26001204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D26001295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D26001479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D26002013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T25001836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T25001236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D26001993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T25000648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R25000130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B25016710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B25016919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>
            <v>260002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D26000076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D26000108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B26000201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D26000836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B26000929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D26001388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B25017113</v>
          </cell>
          <cell r="AP4290">
            <v>0</v>
          </cell>
          <cell r="AQ4290">
            <v>0</v>
          </cell>
          <cell r="AV4290">
            <v>1100000</v>
          </cell>
        </row>
        <row r="4291">
          <cell r="E4291" t="str">
            <v>D26000059</v>
          </cell>
          <cell r="AP4291">
            <v>0</v>
          </cell>
          <cell r="AQ4291">
            <v>0</v>
          </cell>
          <cell r="AV4291">
            <v>1600000</v>
          </cell>
        </row>
        <row r="4292">
          <cell r="E4292" t="str">
            <v>D26001185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D26001186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D26001693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B26001742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T25001640</v>
          </cell>
          <cell r="AP4296">
            <v>0</v>
          </cell>
          <cell r="AQ4296">
            <v>0</v>
          </cell>
          <cell r="AV4296">
            <v>2500000</v>
          </cell>
        </row>
        <row r="4297">
          <cell r="E4297" t="str">
            <v>D25019122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D26000103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B26000774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T26000047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T26000109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D26000714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D26000715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T26000036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B26000960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B26001297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T25001726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T25001727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T25001891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T25001499k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D25016324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B25014290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T25001642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B25014665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D25017559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D25017560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T25001743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B25015759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B25015760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B25016494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B25016495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B26000065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B26000407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B26000801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B26000802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T26000052k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T26000053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B26000919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B26001531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B26001532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B26001539</v>
          </cell>
          <cell r="AP4331">
            <v>0</v>
          </cell>
          <cell r="AQ4331">
            <v>0</v>
          </cell>
          <cell r="AV4331">
            <v>1350000</v>
          </cell>
        </row>
        <row r="4332">
          <cell r="E4332" t="str">
            <v>B26001543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B25016130</v>
          </cell>
          <cell r="AP4333">
            <v>0</v>
          </cell>
          <cell r="AQ4333">
            <v>0</v>
          </cell>
          <cell r="AV4333">
            <v>2597800</v>
          </cell>
        </row>
        <row r="4334">
          <cell r="E4334" t="str">
            <v>D25019283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D26001180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B26001811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B26001868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B26001920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D25015072</v>
          </cell>
          <cell r="AP4339">
            <v>0</v>
          </cell>
          <cell r="AQ4339">
            <v>0</v>
          </cell>
          <cell r="AV4339">
            <v>3680000</v>
          </cell>
        </row>
        <row r="4340">
          <cell r="E4340" t="str">
            <v>T25001501</v>
          </cell>
          <cell r="AP4340">
            <v>0</v>
          </cell>
          <cell r="AQ4340">
            <v>0</v>
          </cell>
          <cell r="AV4340">
            <v>1320000</v>
          </cell>
        </row>
        <row r="4341">
          <cell r="E4341" t="str">
            <v>B25015134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D25017600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B25015240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D25018399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B25016041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D25018626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D25018819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D25018822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B25016573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D25019089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D25019270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D25019287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D25019324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B25017028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B25017059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D25019673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D25019680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D26000202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D26000682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B26000700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D26000778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B26000791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B26001170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B26001181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B26001220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D26001819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D26001838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D26001897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B26001899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B26000546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D26000254</v>
          </cell>
          <cell r="AP4371">
            <v>0</v>
          </cell>
          <cell r="AQ4371">
            <v>0</v>
          </cell>
          <cell r="AV4371">
            <v>1725000</v>
          </cell>
        </row>
        <row r="4372">
          <cell r="E4372" t="str">
            <v>D26000255</v>
          </cell>
          <cell r="AP4372">
            <v>0</v>
          </cell>
          <cell r="AQ4372">
            <v>0</v>
          </cell>
          <cell r="AV4372">
            <v>900000</v>
          </cell>
        </row>
        <row r="4373">
          <cell r="E4373" t="str">
            <v>D26000398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D26000983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B26001256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D26000511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D26000510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B26000601</v>
          </cell>
          <cell r="AP4378">
            <v>0</v>
          </cell>
          <cell r="AQ4378">
            <v>0</v>
          </cell>
          <cell r="AV4378">
            <v>6212000</v>
          </cell>
        </row>
        <row r="4379">
          <cell r="E4379" t="str">
            <v>B26000601</v>
          </cell>
          <cell r="AP4379">
            <v>0</v>
          </cell>
          <cell r="AQ4379">
            <v>0</v>
          </cell>
          <cell r="AV4379">
            <v>500</v>
          </cell>
        </row>
        <row r="4380">
          <cell r="E4380" t="str">
            <v>D26000753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B26001215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B26001432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B26001602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T25001747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T25001819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D25019551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D25016451</v>
          </cell>
          <cell r="AP4387">
            <v>0</v>
          </cell>
          <cell r="AQ4387">
            <v>0</v>
          </cell>
          <cell r="AV4387">
            <v>10000000</v>
          </cell>
        </row>
        <row r="4388">
          <cell r="E4388" t="str">
            <v>D25016452</v>
          </cell>
          <cell r="AP4388">
            <v>0</v>
          </cell>
          <cell r="AQ4388">
            <v>0</v>
          </cell>
          <cell r="AV4388">
            <v>30000000</v>
          </cell>
        </row>
        <row r="4389">
          <cell r="E4389" t="str">
            <v>B25014976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B25015475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B25015792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B25015921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D25018359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D25018773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D25018786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D25018825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B25016551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B25016634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D25019495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D25019498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D25019501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B26000318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B26000392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B26000453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D26000518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D26000923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B26001212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B26001213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D26001294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D26001396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B26001431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B26001451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D26001721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B26001878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B26001879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D26001980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D26002007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D26002008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D26002009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B26001921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D25015935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D25015936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D25016102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D25016279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D25016279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D25016337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D25016338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D25016835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D25016835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D25016876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D25016876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D25016896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D25016896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D25016967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D25016967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D25016970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D25017010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D25017050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D25017050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D25017174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D25017174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D25017175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D25017175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D25017274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D25017274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D25017375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D25017375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D25017431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D25017432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D25017461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D25017566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D25017566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D25017567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D25017567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D25017731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D25017731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B25015348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B25015349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B25015350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D25018068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D25018081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D25018081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D25018082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D25018082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D25018134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D25018134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D25018377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D25018377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D25018418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D25018428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B25016088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B25016088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B25016088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D25018512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D25018512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D25018512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D25018513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D25018574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B25016181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B25016181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B25016194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B25016194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D25018679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D25018679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D25018679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D25018700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D25018700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B25016422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B25016422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B25016422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T25001856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B25016444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D25019031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D25019031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D25019031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D25019031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D25019032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D25019113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D25019125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D25019125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D25019125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D25019136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D25019232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D25019232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D25019232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D25019232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D25019232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D25019464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D25019542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D25019542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D25019542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D25019543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D25019589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D25019589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D25019590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D25019590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D25019591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D25019591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D25019591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D25019600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D25019608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D25019608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D26000006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D26000068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T26000024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D26000463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D26000494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D26000523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D26000523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D26000523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D26000523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D26000616</v>
          </cell>
          <cell r="AP4532">
            <v>0</v>
          </cell>
          <cell r="AQ4532">
            <v>449225000</v>
          </cell>
          <cell r="AV4532">
            <v>0</v>
          </cell>
        </row>
        <row r="4533">
          <cell r="E4533" t="str">
            <v>D26000617</v>
          </cell>
          <cell r="AP4533">
            <v>0</v>
          </cell>
          <cell r="AQ4533">
            <v>449225000</v>
          </cell>
          <cell r="AV4533">
            <v>0</v>
          </cell>
        </row>
        <row r="4534">
          <cell r="E4534" t="str">
            <v>D26000618</v>
          </cell>
          <cell r="AP4534">
            <v>0</v>
          </cell>
          <cell r="AQ4534">
            <v>422800000</v>
          </cell>
          <cell r="AV4534">
            <v>0</v>
          </cell>
        </row>
        <row r="4535">
          <cell r="E4535" t="str">
            <v>D26000746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B26000786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B26000787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D26000842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D26000995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D26000996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D26001094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D26001095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D26001096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B26001106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B26001107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D26001336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D26001372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D26001495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D26001496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D26001517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D26001542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D26001618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D26001619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D26001688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D26001689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D26001718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D26001743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D26001744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B26001717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D26001888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D26001899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B26001866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D26001983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D26002034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D26002035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B25016794</v>
          </cell>
          <cell r="AP4566">
            <v>0</v>
          </cell>
          <cell r="AQ4566">
            <v>0</v>
          </cell>
          <cell r="AV4566">
            <v>2900000</v>
          </cell>
        </row>
        <row r="4567">
          <cell r="E4567" t="str">
            <v>D26000007</v>
          </cell>
          <cell r="AP4567">
            <v>0</v>
          </cell>
          <cell r="AQ4567">
            <v>0</v>
          </cell>
          <cell r="AV4567">
            <v>2800000</v>
          </cell>
        </row>
        <row r="4568">
          <cell r="E4568" t="str">
            <v>D26001145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T26000071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B26001314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B26001315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T25001879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D26000261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B26001237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T26000042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D26001211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D26001976</v>
          </cell>
          <cell r="AP4577">
            <v>0</v>
          </cell>
          <cell r="AQ4577">
            <v>0</v>
          </cell>
          <cell r="AV4577">
            <v>1730000</v>
          </cell>
        </row>
        <row r="4578">
          <cell r="E4578" t="str">
            <v>D26001553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B26001652</v>
          </cell>
          <cell r="AP4579">
            <v>0</v>
          </cell>
          <cell r="AQ4579">
            <v>0</v>
          </cell>
          <cell r="AV4579">
            <v>1300000</v>
          </cell>
        </row>
        <row r="4580">
          <cell r="E4580" t="str">
            <v>B26000286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B26000287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D26001189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B26001457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B26000473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D26001005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B26001395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B26001556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B26001678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D26001834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B26001826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D26002065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D26000582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B26000779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D23006230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N25000011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B26001332</v>
          </cell>
          <cell r="AP4596">
            <v>4680000</v>
          </cell>
          <cell r="AQ4596">
            <v>0</v>
          </cell>
          <cell r="AV4596">
            <v>0</v>
          </cell>
        </row>
        <row r="4597">
          <cell r="E4597" t="str">
            <v>B26001727</v>
          </cell>
          <cell r="AP4597">
            <v>0</v>
          </cell>
          <cell r="AQ4597">
            <v>0</v>
          </cell>
          <cell r="AV4597">
            <v>14100000</v>
          </cell>
        </row>
        <row r="4598">
          <cell r="E4598" t="str">
            <v>D26001425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D26001918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D26001948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D25016305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D25016859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D25016929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D25017131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D25017131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D25017316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D25017317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B25015252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D25017823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D25018074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D25018188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D25018562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D25018905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D25019034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D25019035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D25019085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B25016745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D25019216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D25019236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D25019237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D25019267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D25019347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D25019451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D25019451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D25019452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D25019483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D25019486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D25019487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B26000130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D26000445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D26000474</v>
          </cell>
          <cell r="AP4631">
            <v>0</v>
          </cell>
          <cell r="AQ4631">
            <v>81000000</v>
          </cell>
          <cell r="AV4631">
            <v>0</v>
          </cell>
        </row>
        <row r="4632">
          <cell r="E4632" t="str">
            <v>D26000498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D26000499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D26000519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B26000598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D26000741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D26001098</v>
          </cell>
          <cell r="AP4637">
            <v>0</v>
          </cell>
          <cell r="AQ4637">
            <v>93140000</v>
          </cell>
          <cell r="AV4637">
            <v>0</v>
          </cell>
        </row>
        <row r="4638">
          <cell r="E4638" t="str">
            <v>D26001099</v>
          </cell>
          <cell r="AP4638">
            <v>0</v>
          </cell>
          <cell r="AQ4638">
            <v>119625000</v>
          </cell>
          <cell r="AV4638">
            <v>0</v>
          </cell>
        </row>
        <row r="4639">
          <cell r="E4639" t="str">
            <v>D26001116</v>
          </cell>
          <cell r="AP4639">
            <v>0</v>
          </cell>
          <cell r="AQ4639">
            <v>7500000</v>
          </cell>
          <cell r="AV4639">
            <v>0</v>
          </cell>
        </row>
        <row r="4640">
          <cell r="E4640" t="str">
            <v>B26001236</v>
          </cell>
          <cell r="AP4640">
            <v>0</v>
          </cell>
          <cell r="AQ4640">
            <v>140000000</v>
          </cell>
          <cell r="AV4640">
            <v>0</v>
          </cell>
        </row>
        <row r="4641">
          <cell r="E4641" t="str">
            <v>D26001366</v>
          </cell>
          <cell r="AP4641">
            <v>0</v>
          </cell>
          <cell r="AQ4641">
            <v>29040000</v>
          </cell>
          <cell r="AV4641">
            <v>0</v>
          </cell>
        </row>
        <row r="4642">
          <cell r="E4642" t="str">
            <v>T26000097</v>
          </cell>
          <cell r="AP4642">
            <v>0</v>
          </cell>
          <cell r="AQ4642">
            <v>11750000</v>
          </cell>
          <cell r="AV4642">
            <v>0</v>
          </cell>
        </row>
        <row r="4643">
          <cell r="E4643" t="str">
            <v>D26001501</v>
          </cell>
          <cell r="AP4643">
            <v>0</v>
          </cell>
          <cell r="AQ4643">
            <v>90125000</v>
          </cell>
          <cell r="AV4643">
            <v>0</v>
          </cell>
        </row>
        <row r="4644">
          <cell r="E4644" t="str">
            <v>D26001501</v>
          </cell>
          <cell r="AP4644">
            <v>0</v>
          </cell>
          <cell r="AQ4644">
            <v>11750000</v>
          </cell>
          <cell r="AV4644">
            <v>0</v>
          </cell>
        </row>
        <row r="4645">
          <cell r="E4645" t="str">
            <v>B26001449</v>
          </cell>
          <cell r="AP4645">
            <v>0</v>
          </cell>
          <cell r="AQ4645">
            <v>45600000</v>
          </cell>
          <cell r="AV4645">
            <v>0</v>
          </cell>
        </row>
        <row r="4646">
          <cell r="E4646" t="str">
            <v>D26001526</v>
          </cell>
          <cell r="AP4646">
            <v>0</v>
          </cell>
          <cell r="AQ4646">
            <v>121800000</v>
          </cell>
          <cell r="AV4646">
            <v>0</v>
          </cell>
        </row>
        <row r="4647">
          <cell r="E4647" t="str">
            <v>D26001591</v>
          </cell>
          <cell r="AP4647">
            <v>0</v>
          </cell>
          <cell r="AQ4647">
            <v>81600000</v>
          </cell>
          <cell r="AV4647">
            <v>0</v>
          </cell>
        </row>
        <row r="4648">
          <cell r="E4648" t="str">
            <v>D26001815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D26001863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B26001824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B26001816</v>
          </cell>
          <cell r="AP4651">
            <v>0</v>
          </cell>
          <cell r="AQ4651">
            <v>0</v>
          </cell>
          <cell r="AV4651">
            <v>2502500</v>
          </cell>
        </row>
        <row r="4652">
          <cell r="E4652" t="str">
            <v>B26001817</v>
          </cell>
          <cell r="AP4652">
            <v>0</v>
          </cell>
          <cell r="AQ4652">
            <v>0</v>
          </cell>
          <cell r="AV4652">
            <v>3620000</v>
          </cell>
        </row>
        <row r="4653">
          <cell r="E4653" t="str">
            <v>B26001818</v>
          </cell>
          <cell r="AP4653">
            <v>0</v>
          </cell>
          <cell r="AQ4653">
            <v>0</v>
          </cell>
          <cell r="AV4653">
            <v>540000</v>
          </cell>
        </row>
        <row r="4654">
          <cell r="E4654" t="str">
            <v>D26001833</v>
          </cell>
          <cell r="AP4654">
            <v>0</v>
          </cell>
          <cell r="AQ4654">
            <v>0</v>
          </cell>
          <cell r="AV4654">
            <v>31834000</v>
          </cell>
        </row>
        <row r="4655">
          <cell r="E4655" t="str">
            <v>D25017323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D25017324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B25015963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D25018569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B25017002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B25017003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B25017004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B25017041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B25017046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D26001049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D26001050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B26001138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Z25002988</v>
          </cell>
          <cell r="AP4667">
            <v>0</v>
          </cell>
          <cell r="AQ4667">
            <v>0</v>
          </cell>
          <cell r="AV4667">
            <v>200000000</v>
          </cell>
        </row>
        <row r="4668">
          <cell r="E4668" t="str">
            <v>Z25002988</v>
          </cell>
          <cell r="AP4668">
            <v>0</v>
          </cell>
          <cell r="AQ4668">
            <v>0</v>
          </cell>
          <cell r="AV4668">
            <v>156250000</v>
          </cell>
        </row>
        <row r="4669">
          <cell r="E4669" t="str">
            <v>Z25002989</v>
          </cell>
          <cell r="AP4669">
            <v>0</v>
          </cell>
          <cell r="AQ4669">
            <v>0</v>
          </cell>
          <cell r="AV4669">
            <v>43750000</v>
          </cell>
        </row>
        <row r="4670">
          <cell r="E4670" t="str">
            <v>Z25002989</v>
          </cell>
          <cell r="AP4670">
            <v>0</v>
          </cell>
          <cell r="AQ4670">
            <v>0</v>
          </cell>
          <cell r="AV4670">
            <v>65540000</v>
          </cell>
        </row>
        <row r="4671">
          <cell r="E4671" t="str">
            <v>T25001736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Z25003036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T25001770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Z25003067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Z25003068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Z25003076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Z25003078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Z25003080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Z25003085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Z25003119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Z25003173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Z25003188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Z25003189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Z25003270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Z25003281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Z25003330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Z25003350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Z25003351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Z26000022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Z26000166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Z26000168</v>
          </cell>
          <cell r="AP4691">
            <v>0</v>
          </cell>
          <cell r="AQ4691">
            <v>0</v>
          </cell>
          <cell r="AV4691">
            <v>262934000</v>
          </cell>
        </row>
        <row r="4692">
          <cell r="E4692" t="str">
            <v>Z26000195</v>
          </cell>
          <cell r="AP4692">
            <v>0</v>
          </cell>
          <cell r="AQ4692">
            <v>0</v>
          </cell>
          <cell r="AV4692">
            <v>111526000</v>
          </cell>
        </row>
        <row r="4693">
          <cell r="E4693" t="str">
            <v>Z26000195</v>
          </cell>
          <cell r="AP4693">
            <v>0</v>
          </cell>
          <cell r="AQ4693">
            <v>0</v>
          </cell>
          <cell r="AV4693">
            <v>422474000</v>
          </cell>
        </row>
        <row r="4694">
          <cell r="E4694" t="str">
            <v>Z26000212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Z26000213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Z26000221</v>
          </cell>
          <cell r="AP4696">
            <v>0</v>
          </cell>
          <cell r="AQ4696">
            <v>0</v>
          </cell>
          <cell r="AV4696">
            <v>237526000</v>
          </cell>
        </row>
        <row r="4697">
          <cell r="E4697" t="str">
            <v>Z26000221</v>
          </cell>
          <cell r="AP4697">
            <v>0</v>
          </cell>
          <cell r="AQ4697">
            <v>0</v>
          </cell>
          <cell r="AV4697">
            <v>350000000</v>
          </cell>
        </row>
        <row r="4698">
          <cell r="E4698" t="str">
            <v>Z26000222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Z26000242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Z26000245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Z26000273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Z26000306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Z26000317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Z26000318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Z26000321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Z26000348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B26000712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B26000742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D26001315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D26001316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B26001819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T25001740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D25019087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T25001790</v>
          </cell>
          <cell r="AP4714">
            <v>0</v>
          </cell>
          <cell r="AQ4714">
            <v>0</v>
          </cell>
          <cell r="AV4714">
            <v>1440000</v>
          </cell>
        </row>
        <row r="4715">
          <cell r="E4715" t="str">
            <v>T25001884</v>
          </cell>
          <cell r="AP4715">
            <v>0</v>
          </cell>
          <cell r="AQ4715">
            <v>0</v>
          </cell>
          <cell r="AV4715">
            <v>900000</v>
          </cell>
        </row>
        <row r="4716">
          <cell r="E4716" t="str">
            <v>B25017000</v>
          </cell>
          <cell r="AP4716">
            <v>0</v>
          </cell>
          <cell r="AQ4716">
            <v>0</v>
          </cell>
          <cell r="AV4716">
            <v>1560000</v>
          </cell>
        </row>
        <row r="4717">
          <cell r="E4717" t="str">
            <v>D26000418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D26000444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D26000446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B26001667</v>
          </cell>
          <cell r="AP4720">
            <v>0</v>
          </cell>
          <cell r="AQ4720">
            <v>0</v>
          </cell>
          <cell r="AV4720">
            <v>2460000</v>
          </cell>
        </row>
        <row r="4721">
          <cell r="E4721" t="str">
            <v>B26001185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D26001515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B26001685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B26001773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B26001793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B25016264</v>
          </cell>
          <cell r="AP4726">
            <v>0</v>
          </cell>
          <cell r="AQ4726">
            <v>0</v>
          </cell>
          <cell r="AV4726">
            <v>12984000</v>
          </cell>
        </row>
        <row r="4727">
          <cell r="E4727" t="str">
            <v>D25019138</v>
          </cell>
          <cell r="AP4727">
            <v>0</v>
          </cell>
          <cell r="AQ4727">
            <v>0</v>
          </cell>
          <cell r="AV4727">
            <v>2016000</v>
          </cell>
        </row>
        <row r="4728">
          <cell r="E4728" t="str">
            <v>B25016971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B26000358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D26000464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B26001357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B26001358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B26001360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B26001403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D26000348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B26001074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B26001833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B26001835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B25015653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D26001506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D25019337</v>
          </cell>
          <cell r="AP4741">
            <v>0</v>
          </cell>
          <cell r="AQ4741">
            <v>0</v>
          </cell>
          <cell r="AV4741">
            <v>9700000</v>
          </cell>
        </row>
        <row r="4742">
          <cell r="E4742" t="str">
            <v>D25019338</v>
          </cell>
          <cell r="AP4742">
            <v>0</v>
          </cell>
          <cell r="AQ4742">
            <v>0</v>
          </cell>
          <cell r="AV4742">
            <v>2415000</v>
          </cell>
        </row>
        <row r="4743">
          <cell r="E4743" t="str">
            <v>B25016943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B25017062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B25017083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D26001261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D26001329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B26001269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B26001809</v>
          </cell>
          <cell r="AP4749">
            <v>0</v>
          </cell>
          <cell r="AQ4749">
            <v>0</v>
          </cell>
          <cell r="AV4749">
            <v>1525000</v>
          </cell>
        </row>
        <row r="4750">
          <cell r="E4750" t="str">
            <v>B26001810</v>
          </cell>
          <cell r="AP4750">
            <v>0</v>
          </cell>
          <cell r="AQ4750">
            <v>0</v>
          </cell>
          <cell r="AV4750">
            <v>3275000</v>
          </cell>
        </row>
        <row r="4751">
          <cell r="E4751" t="str">
            <v>D26001954</v>
          </cell>
          <cell r="AP4751">
            <v>0</v>
          </cell>
          <cell r="AQ4751">
            <v>0</v>
          </cell>
          <cell r="AV4751">
            <v>1835000</v>
          </cell>
        </row>
        <row r="4752">
          <cell r="E4752" t="str">
            <v>D26001637</v>
          </cell>
          <cell r="AP4752">
            <v>0</v>
          </cell>
          <cell r="AQ4752">
            <v>0</v>
          </cell>
          <cell r="AV4752">
            <v>21628800</v>
          </cell>
        </row>
        <row r="4753">
          <cell r="E4753" t="str">
            <v>D26001638</v>
          </cell>
          <cell r="AP4753">
            <v>0</v>
          </cell>
          <cell r="AQ4753">
            <v>0</v>
          </cell>
          <cell r="AV4753">
            <v>8026000</v>
          </cell>
        </row>
        <row r="4754">
          <cell r="E4754" t="str">
            <v>D26001661</v>
          </cell>
          <cell r="AP4754">
            <v>0</v>
          </cell>
          <cell r="AQ4754">
            <v>0</v>
          </cell>
          <cell r="AV4754">
            <v>4424000</v>
          </cell>
        </row>
        <row r="4755">
          <cell r="E4755" t="str">
            <v>D26001662</v>
          </cell>
          <cell r="AP4755">
            <v>0</v>
          </cell>
          <cell r="AQ4755">
            <v>0</v>
          </cell>
          <cell r="AV4755">
            <v>1960000</v>
          </cell>
        </row>
        <row r="4756">
          <cell r="E4756" t="str">
            <v>D26001827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D26001828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D26001829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D26001830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D26001830</v>
          </cell>
          <cell r="AP4760">
            <v>0</v>
          </cell>
          <cell r="AQ4760">
            <v>0</v>
          </cell>
          <cell r="AV4760">
            <v>2688000</v>
          </cell>
        </row>
        <row r="4761">
          <cell r="E4761" t="str">
            <v>D26002011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B26001895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D26000097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B26000169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B26000708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B26000709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B26000710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B26000711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D26000965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B26001160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D26001236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D26001569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B26001606</v>
          </cell>
          <cell r="AP4773">
            <v>0</v>
          </cell>
          <cell r="AQ4773">
            <v>0</v>
          </cell>
          <cell r="AV4773">
            <v>7720000</v>
          </cell>
        </row>
        <row r="4774">
          <cell r="E4774" t="str">
            <v>D26001724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B26001845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D26002070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D26002071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>
            <v>250204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D26000039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D26000561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D26001910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B26001618</v>
          </cell>
          <cell r="AP4782">
            <v>0</v>
          </cell>
          <cell r="AQ4782">
            <v>0</v>
          </cell>
          <cell r="AV4782">
            <v>4380000</v>
          </cell>
        </row>
        <row r="4783">
          <cell r="E4783" t="str">
            <v>D26000280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D25016938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D25017234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D25019460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D26000110</v>
          </cell>
          <cell r="AP4787">
            <v>0</v>
          </cell>
          <cell r="AQ4787">
            <v>0</v>
          </cell>
          <cell r="AV4787">
            <v>23400000</v>
          </cell>
        </row>
        <row r="4788">
          <cell r="E4788" t="str">
            <v>D26000405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B26001893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D25018958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B26000514</v>
          </cell>
          <cell r="AP4791">
            <v>0</v>
          </cell>
          <cell r="AQ4791">
            <v>0</v>
          </cell>
          <cell r="AV4791">
            <v>2366000</v>
          </cell>
        </row>
        <row r="4792">
          <cell r="E4792" t="str">
            <v>B26000981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B26001490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D26001622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D26001651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B26001873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Z25003238</v>
          </cell>
          <cell r="AP4797">
            <v>0</v>
          </cell>
          <cell r="AQ4797">
            <v>0</v>
          </cell>
          <cell r="AV4797">
            <v>30000000</v>
          </cell>
        </row>
        <row r="4798">
          <cell r="E4798" t="str">
            <v>Z25003293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Z25003299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Z25003361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Z25003362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Z25003367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Z26000048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B26000300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D26000454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D26000686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D26000688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B25017125</v>
          </cell>
          <cell r="AP4808">
            <v>0</v>
          </cell>
          <cell r="AQ4808">
            <v>0</v>
          </cell>
          <cell r="AV4808">
            <v>1350000</v>
          </cell>
        </row>
        <row r="4809">
          <cell r="E4809" t="str">
            <v>B26000086</v>
          </cell>
          <cell r="AP4809">
            <v>0</v>
          </cell>
          <cell r="AQ4809">
            <v>0</v>
          </cell>
          <cell r="AV4809">
            <v>1680000</v>
          </cell>
        </row>
        <row r="4810">
          <cell r="E4810" t="str">
            <v>D26000063</v>
          </cell>
          <cell r="AP4810">
            <v>0</v>
          </cell>
          <cell r="AQ4810">
            <v>0</v>
          </cell>
          <cell r="AV4810">
            <v>2016000</v>
          </cell>
        </row>
        <row r="4811">
          <cell r="E4811" t="str">
            <v>D26000077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D26000274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B26000399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D26000415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B26000470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D26000645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D26000927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D26000940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D26000976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B26000992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D26001052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B26001050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N26000011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D26001235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D26001612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D26001663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D26001664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D26001789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D26001790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T26000117</v>
          </cell>
          <cell r="AP4830">
            <v>0</v>
          </cell>
          <cell r="AQ4830">
            <v>0</v>
          </cell>
          <cell r="AV4830">
            <v>5200000</v>
          </cell>
        </row>
        <row r="4831">
          <cell r="E4831" t="str">
            <v>T26000118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D26000021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D26000378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D26000397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D26000406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B26000416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D26000599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D26000600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D26000656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D26000731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D26000781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D26000782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D26000817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B26000975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D26001060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B26001069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D26001263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D26001654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B26001674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D26001998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Z26000053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Z26000056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Z26000124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T26000043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Z26000135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Z26000161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Z26000200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Z26000205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Z26000282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T25001673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T26000103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B26001499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T26000142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B25016958</v>
          </cell>
          <cell r="AP4864">
            <v>0</v>
          </cell>
          <cell r="AQ4864">
            <v>0</v>
          </cell>
          <cell r="AV4864">
            <v>490000</v>
          </cell>
        </row>
        <row r="4865">
          <cell r="E4865" t="str">
            <v>D25019518</v>
          </cell>
          <cell r="AP4865">
            <v>0</v>
          </cell>
          <cell r="AQ4865">
            <v>0</v>
          </cell>
          <cell r="AV4865">
            <v>5272000</v>
          </cell>
        </row>
        <row r="4866">
          <cell r="E4866" t="str">
            <v>D25013643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T26000057K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D25018530</v>
          </cell>
          <cell r="AP4868">
            <v>0</v>
          </cell>
          <cell r="AQ4868">
            <v>0</v>
          </cell>
          <cell r="AV4868">
            <v>136975000</v>
          </cell>
        </row>
        <row r="4869">
          <cell r="E4869" t="str">
            <v>B25016279</v>
          </cell>
          <cell r="AP4869">
            <v>0</v>
          </cell>
          <cell r="AQ4869">
            <v>0</v>
          </cell>
          <cell r="AV4869">
            <v>3200000</v>
          </cell>
        </row>
        <row r="4870">
          <cell r="E4870" t="str">
            <v>B25016808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B25016809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B25016868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B25016886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D26000185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D26000550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D26001076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D26001626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D26001627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D26001931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B25017103</v>
          </cell>
          <cell r="AP4880">
            <v>0</v>
          </cell>
          <cell r="AQ4880">
            <v>0</v>
          </cell>
          <cell r="AV4880">
            <v>9900000</v>
          </cell>
        </row>
        <row r="4881">
          <cell r="E4881" t="str">
            <v>B26000302</v>
          </cell>
          <cell r="AP4881">
            <v>0</v>
          </cell>
          <cell r="AQ4881">
            <v>0</v>
          </cell>
          <cell r="AV4881">
            <v>1850000</v>
          </cell>
        </row>
        <row r="4882">
          <cell r="E4882">
            <v>260004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B26000343</v>
          </cell>
          <cell r="AP4883">
            <v>0</v>
          </cell>
          <cell r="AQ4883">
            <v>0</v>
          </cell>
          <cell r="AV4883">
            <v>4200000</v>
          </cell>
        </row>
        <row r="4884">
          <cell r="E4884" t="str">
            <v>B26000349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B26000609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D26000820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B26000770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B26000771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B26000939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B26000942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B26001166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D26001234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D26001345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B26001512</v>
          </cell>
          <cell r="AP4894">
            <v>0</v>
          </cell>
          <cell r="AQ4894">
            <v>0</v>
          </cell>
          <cell r="AV4894">
            <v>0</v>
          </cell>
        </row>
        <row r="4895">
          <cell r="E4895" t="str">
            <v>B26001558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D26001701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B26001708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D26001767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D26000581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D26001070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D26001700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B26001922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D26000482</v>
          </cell>
          <cell r="AP4903">
            <v>0</v>
          </cell>
          <cell r="AQ4903">
            <v>0</v>
          </cell>
          <cell r="AV4903">
            <v>1350000</v>
          </cell>
        </row>
        <row r="4904">
          <cell r="E4904" t="str">
            <v>D26000495</v>
          </cell>
          <cell r="AP4904">
            <v>0</v>
          </cell>
          <cell r="AQ4904">
            <v>0</v>
          </cell>
          <cell r="AV4904">
            <v>2100000</v>
          </cell>
        </row>
        <row r="4905">
          <cell r="E4905" t="str">
            <v>B26000552</v>
          </cell>
          <cell r="AP4905">
            <v>0</v>
          </cell>
          <cell r="AQ4905">
            <v>0</v>
          </cell>
          <cell r="AV4905">
            <v>1710000</v>
          </cell>
        </row>
        <row r="4906">
          <cell r="E4906" t="str">
            <v>B26000592</v>
          </cell>
          <cell r="AP4906">
            <v>0</v>
          </cell>
          <cell r="AQ4906">
            <v>0</v>
          </cell>
          <cell r="AV4906">
            <v>2640000</v>
          </cell>
        </row>
        <row r="4907">
          <cell r="E4907" t="str">
            <v>B26000672</v>
          </cell>
          <cell r="AP4907">
            <v>0</v>
          </cell>
          <cell r="AQ4907">
            <v>0</v>
          </cell>
          <cell r="AV4907">
            <v>537500</v>
          </cell>
        </row>
        <row r="4908">
          <cell r="E4908" t="str">
            <v>D26000703</v>
          </cell>
          <cell r="AP4908">
            <v>0</v>
          </cell>
          <cell r="AQ4908">
            <v>0</v>
          </cell>
          <cell r="AV4908">
            <v>14140000</v>
          </cell>
        </row>
        <row r="4909">
          <cell r="E4909" t="str">
            <v>B26000873</v>
          </cell>
          <cell r="AP4909">
            <v>0</v>
          </cell>
          <cell r="AQ4909">
            <v>0</v>
          </cell>
          <cell r="AV4909">
            <v>1800000</v>
          </cell>
        </row>
        <row r="4910">
          <cell r="E4910" t="str">
            <v>D26001176</v>
          </cell>
          <cell r="AP4910">
            <v>0</v>
          </cell>
          <cell r="AQ4910">
            <v>0</v>
          </cell>
          <cell r="AV4910">
            <v>2000000</v>
          </cell>
        </row>
        <row r="4911">
          <cell r="E4911" t="str">
            <v>B26001293</v>
          </cell>
          <cell r="AP4911">
            <v>0</v>
          </cell>
          <cell r="AQ4911">
            <v>0</v>
          </cell>
          <cell r="AV4911">
            <v>11899000</v>
          </cell>
        </row>
        <row r="4912">
          <cell r="E4912" t="str">
            <v>B26001321</v>
          </cell>
          <cell r="AP4912">
            <v>0</v>
          </cell>
          <cell r="AQ4912">
            <v>0</v>
          </cell>
          <cell r="AV4912">
            <v>1416000</v>
          </cell>
        </row>
        <row r="4913">
          <cell r="E4913" t="str">
            <v>D26001398</v>
          </cell>
          <cell r="AP4913">
            <v>0</v>
          </cell>
          <cell r="AQ4913">
            <v>0</v>
          </cell>
          <cell r="AV4913">
            <v>2700000</v>
          </cell>
        </row>
        <row r="4914">
          <cell r="E4914" t="str">
            <v>D26001785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D26001914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D26002015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D26002054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D25015100</v>
          </cell>
          <cell r="AP4918">
            <v>0</v>
          </cell>
          <cell r="AQ4918">
            <v>0</v>
          </cell>
          <cell r="AV4918">
            <v>57000000</v>
          </cell>
        </row>
        <row r="4919">
          <cell r="E4919" t="str">
            <v>D25016428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D25016444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B25014380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B25014914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B25014915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B25014916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B25014917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B25014921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D25017196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B25016405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B25016539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B25016540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D25019392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D25019402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B26000529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B26000530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B26000643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D26000729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D26001356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D25017901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D25017901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D25017902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B25015794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B25015795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D25018558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D25018559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D25018559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D25018583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D25019033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D25019033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D25019048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D25019050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D25019084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D25019084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B25016734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D25019255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B25016980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B25016990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B25016991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B25016991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B25017032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D25019592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D25019597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B26000133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B26000462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D26000538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D26000723</v>
          </cell>
          <cell r="AP4965">
            <v>0</v>
          </cell>
          <cell r="AQ4965">
            <v>73888000</v>
          </cell>
          <cell r="AV4965">
            <v>0</v>
          </cell>
        </row>
        <row r="4966">
          <cell r="E4966" t="str">
            <v>D26000739</v>
          </cell>
          <cell r="AP4966">
            <v>0</v>
          </cell>
          <cell r="AQ4966">
            <v>6112000</v>
          </cell>
          <cell r="AV4966">
            <v>0</v>
          </cell>
        </row>
        <row r="4967">
          <cell r="E4967" t="str">
            <v>D26000739</v>
          </cell>
          <cell r="AP4967">
            <v>0</v>
          </cell>
          <cell r="AQ4967">
            <v>29588000</v>
          </cell>
          <cell r="AV4967">
            <v>0</v>
          </cell>
        </row>
        <row r="4968">
          <cell r="E4968" t="str">
            <v>B26000959</v>
          </cell>
          <cell r="AP4968">
            <v>0</v>
          </cell>
          <cell r="AQ4968">
            <v>50460000</v>
          </cell>
          <cell r="AV4968">
            <v>0</v>
          </cell>
        </row>
        <row r="4969">
          <cell r="E4969" t="str">
            <v>B26001021</v>
          </cell>
          <cell r="AP4969">
            <v>0</v>
          </cell>
          <cell r="AQ4969">
            <v>4952000</v>
          </cell>
          <cell r="AV4969">
            <v>0</v>
          </cell>
        </row>
        <row r="4970">
          <cell r="E4970" t="str">
            <v>B26001021</v>
          </cell>
          <cell r="AP4970">
            <v>0</v>
          </cell>
          <cell r="AQ4970">
            <v>25160000</v>
          </cell>
          <cell r="AV4970">
            <v>0</v>
          </cell>
        </row>
        <row r="4971">
          <cell r="E4971" t="str">
            <v>D26001118</v>
          </cell>
          <cell r="AP4971">
            <v>0</v>
          </cell>
          <cell r="AQ4971">
            <v>5800000</v>
          </cell>
          <cell r="AV4971">
            <v>0</v>
          </cell>
        </row>
        <row r="4972">
          <cell r="E4972" t="str">
            <v>D26001135</v>
          </cell>
          <cell r="AP4972">
            <v>0</v>
          </cell>
          <cell r="AQ4972">
            <v>25057000</v>
          </cell>
          <cell r="AV4972">
            <v>0</v>
          </cell>
        </row>
        <row r="4973">
          <cell r="E4973" t="str">
            <v>D26001136</v>
          </cell>
          <cell r="AP4973">
            <v>0</v>
          </cell>
          <cell r="AQ4973">
            <v>18983000</v>
          </cell>
          <cell r="AV4973">
            <v>0</v>
          </cell>
        </row>
        <row r="4974">
          <cell r="E4974" t="str">
            <v>D26001136</v>
          </cell>
          <cell r="AP4974">
            <v>0</v>
          </cell>
          <cell r="AQ4974">
            <v>27617000</v>
          </cell>
          <cell r="AV4974">
            <v>0</v>
          </cell>
        </row>
        <row r="4975">
          <cell r="E4975" t="str">
            <v>D26001241</v>
          </cell>
          <cell r="AP4975">
            <v>0</v>
          </cell>
          <cell r="AQ4975">
            <v>12825000</v>
          </cell>
          <cell r="AV4975">
            <v>0</v>
          </cell>
        </row>
        <row r="4976">
          <cell r="E4976" t="str">
            <v>B26001419</v>
          </cell>
          <cell r="AP4976">
            <v>0</v>
          </cell>
          <cell r="AQ4976">
            <v>45440000</v>
          </cell>
          <cell r="AV4976">
            <v>0</v>
          </cell>
        </row>
        <row r="4977">
          <cell r="E4977" t="str">
            <v>D26001572</v>
          </cell>
          <cell r="AP4977">
            <v>0</v>
          </cell>
          <cell r="AQ4977">
            <v>1440000</v>
          </cell>
          <cell r="AV4977">
            <v>0</v>
          </cell>
        </row>
        <row r="4978">
          <cell r="E4978" t="str">
            <v>D26001922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D26001923</v>
          </cell>
          <cell r="AP4979">
            <v>0</v>
          </cell>
          <cell r="AQ4979">
            <v>0</v>
          </cell>
          <cell r="AV4979">
            <v>6720000</v>
          </cell>
        </row>
        <row r="4980">
          <cell r="E4980" t="str">
            <v>D26001955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D26001956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B25016162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D25019352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B26000741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D26000835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D26001063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D26001561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B26001477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Z26000034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Z26000035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Z26000233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T25001440</v>
          </cell>
          <cell r="AP4992">
            <v>0</v>
          </cell>
          <cell r="AQ4992">
            <v>0</v>
          </cell>
          <cell r="AV4992">
            <v>1000000</v>
          </cell>
        </row>
        <row r="4993">
          <cell r="E4993" t="str">
            <v>D25015258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D26001097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B26001740</v>
          </cell>
          <cell r="AP4995">
            <v>0</v>
          </cell>
          <cell r="AQ4995">
            <v>0</v>
          </cell>
          <cell r="AV4995">
            <v>25000000</v>
          </cell>
        </row>
        <row r="4996">
          <cell r="E4996" t="str">
            <v>D25018019</v>
          </cell>
          <cell r="AP4996">
            <v>0</v>
          </cell>
          <cell r="AQ4996">
            <v>0</v>
          </cell>
          <cell r="AV4996">
            <v>1605000</v>
          </cell>
        </row>
        <row r="4997">
          <cell r="E4997" t="str">
            <v>D26000073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T26000014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D26000577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D26000578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D25016645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B26000353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D26000430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T25001626K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T25001835k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T25001866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D26000548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D26001402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D26000176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T25001548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D26001668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B26001683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B26001684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B26001942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B26001416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B26001417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B25016307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B26001192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D26000909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D26001243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D26001714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B26001657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D26001835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B26001907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D25016353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D26002077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B26001849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B26000376</v>
          </cell>
          <cell r="AP5028">
            <v>0</v>
          </cell>
          <cell r="AQ5028">
            <v>0</v>
          </cell>
          <cell r="AV5028">
            <v>4400000</v>
          </cell>
        </row>
        <row r="5029">
          <cell r="E5029" t="str">
            <v>B26000378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D26001960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T26000133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D26002078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B26001626</v>
          </cell>
          <cell r="AP5033">
            <v>0</v>
          </cell>
          <cell r="AQ5033">
            <v>0</v>
          </cell>
          <cell r="AV5033">
            <v>22927500</v>
          </cell>
        </row>
        <row r="5034">
          <cell r="E5034" t="str">
            <v>B25017061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D25019695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B26000088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B26000142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B26000148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D26000796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B26001064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N26000014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B26001528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B26001529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D26001681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D26001813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B25014251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D25018333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D25018347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B25016257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D25018742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D25018743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D26000026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D26000027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D26000216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D26000217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D26000218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B26000559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B26000560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B26000569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B26000570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D26001528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D26001240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D26001246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D25016746</v>
          </cell>
          <cell r="AP5064">
            <v>0</v>
          </cell>
          <cell r="AQ5064">
            <v>82122000</v>
          </cell>
          <cell r="AV5064">
            <v>0</v>
          </cell>
        </row>
        <row r="5065">
          <cell r="E5065" t="str">
            <v>B25015472</v>
          </cell>
          <cell r="AP5065">
            <v>0</v>
          </cell>
          <cell r="AQ5065">
            <v>35100000</v>
          </cell>
          <cell r="AV5065">
            <v>0</v>
          </cell>
        </row>
        <row r="5066">
          <cell r="E5066" t="str">
            <v>D25018132</v>
          </cell>
          <cell r="AP5066">
            <v>0</v>
          </cell>
          <cell r="AQ5066">
            <v>140325000</v>
          </cell>
          <cell r="AV5066">
            <v>0</v>
          </cell>
        </row>
        <row r="5067">
          <cell r="E5067" t="str">
            <v>D25018308</v>
          </cell>
          <cell r="AP5067">
            <v>0</v>
          </cell>
          <cell r="AQ5067">
            <v>54000000</v>
          </cell>
          <cell r="AV5067">
            <v>0</v>
          </cell>
        </row>
        <row r="5068">
          <cell r="E5068" t="str">
            <v>B25016700</v>
          </cell>
          <cell r="AP5068">
            <v>0</v>
          </cell>
          <cell r="AQ5068">
            <v>163000000</v>
          </cell>
          <cell r="AV5068">
            <v>0</v>
          </cell>
        </row>
        <row r="5069">
          <cell r="E5069" t="str">
            <v>B26000038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B26000298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B26000593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D26000625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B26001110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B26001139</v>
          </cell>
          <cell r="AP5074">
            <v>0</v>
          </cell>
          <cell r="AQ5074">
            <v>0</v>
          </cell>
          <cell r="AV5074">
            <v>46200000</v>
          </cell>
        </row>
        <row r="5075">
          <cell r="E5075" t="str">
            <v>B26001693</v>
          </cell>
          <cell r="AP5075">
            <v>0</v>
          </cell>
          <cell r="AQ5075">
            <v>0</v>
          </cell>
          <cell r="AV5075">
            <v>218000000</v>
          </cell>
        </row>
        <row r="5076">
          <cell r="E5076" t="str">
            <v>B26001694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D26001787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D26002030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D26002041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D26001616</v>
          </cell>
          <cell r="AP5080">
            <v>0</v>
          </cell>
          <cell r="AQ5080">
            <v>0</v>
          </cell>
          <cell r="AV5080">
            <v>840000</v>
          </cell>
        </row>
        <row r="5081">
          <cell r="E5081" t="str">
            <v>B25013470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B25013470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B25013470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B25013565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D25016726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D26001851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D26001852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D26001885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B26001338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D26001400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D26001407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B26001661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B26000014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D26000120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B26000227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D26000343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D26000597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D26000646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D26000663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B26000631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D26000774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B26000805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B26000817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B26000921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D26001125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B26001300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B26001312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D26001536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D26001656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D26001657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D26001659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>
            <v>260010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B26001679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B26001769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B26001770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B26001776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B26001941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D26002075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D26002076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B25015944</v>
          </cell>
          <cell r="AP5120">
            <v>0</v>
          </cell>
          <cell r="AQ5120">
            <v>0</v>
          </cell>
          <cell r="AV5120">
            <v>600000</v>
          </cell>
        </row>
        <row r="5121">
          <cell r="E5121" t="str">
            <v>D25018649</v>
          </cell>
          <cell r="AP5121">
            <v>0</v>
          </cell>
          <cell r="AQ5121">
            <v>0</v>
          </cell>
          <cell r="AV5121">
            <v>4900000</v>
          </cell>
        </row>
        <row r="5122">
          <cell r="E5122" t="str">
            <v>D25018860</v>
          </cell>
          <cell r="AP5122">
            <v>0</v>
          </cell>
          <cell r="AQ5122">
            <v>0</v>
          </cell>
          <cell r="AV5122">
            <v>1050000</v>
          </cell>
        </row>
        <row r="5123">
          <cell r="E5123" t="str">
            <v>D25018944</v>
          </cell>
          <cell r="AP5123">
            <v>0</v>
          </cell>
          <cell r="AQ5123">
            <v>0</v>
          </cell>
          <cell r="AV5123">
            <v>102000000</v>
          </cell>
        </row>
        <row r="5124">
          <cell r="E5124" t="str">
            <v>B26000235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D26000347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B26000494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D26001795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Z26000004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Z26000047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Z26000216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Z26000304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Z26000305</v>
          </cell>
          <cell r="AP5132">
            <v>0</v>
          </cell>
          <cell r="AQ5132">
            <v>0</v>
          </cell>
          <cell r="AV5132">
            <v>4950000</v>
          </cell>
        </row>
        <row r="5133">
          <cell r="E5133" t="str">
            <v>Z26000322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Z26000345</v>
          </cell>
          <cell r="AP5134">
            <v>0</v>
          </cell>
          <cell r="AQ5134">
            <v>0</v>
          </cell>
          <cell r="AV5134">
            <v>66000000</v>
          </cell>
        </row>
        <row r="5135">
          <cell r="E5135" t="str">
            <v>Z26000352</v>
          </cell>
          <cell r="AP5135">
            <v>0</v>
          </cell>
          <cell r="AQ5135">
            <v>0</v>
          </cell>
          <cell r="AV5135">
            <v>66000000</v>
          </cell>
        </row>
        <row r="5136">
          <cell r="E5136" t="str">
            <v>B25015036</v>
          </cell>
          <cell r="AP5136">
            <v>0</v>
          </cell>
          <cell r="AQ5136">
            <v>0</v>
          </cell>
          <cell r="AV5136">
            <v>61295000</v>
          </cell>
        </row>
        <row r="5137">
          <cell r="E5137" t="str">
            <v>B25016263</v>
          </cell>
          <cell r="AP5137">
            <v>0</v>
          </cell>
          <cell r="AQ5137">
            <v>0</v>
          </cell>
          <cell r="AV5137">
            <v>9984000</v>
          </cell>
        </row>
        <row r="5138">
          <cell r="E5138" t="str">
            <v>D25018727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D25019314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B26000352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D26000420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D26000897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D26000972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D26000997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N26000008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B26001351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B26001352</v>
          </cell>
          <cell r="AP5147">
            <v>0</v>
          </cell>
          <cell r="AQ5147">
            <v>0</v>
          </cell>
          <cell r="AV5147">
            <v>9900000</v>
          </cell>
        </row>
        <row r="5148">
          <cell r="E5148" t="str">
            <v>B26001387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D26001456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D26001008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D26001441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D26001442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B25015874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D25018812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D25018857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B25016481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D25018898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D25018899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D25019102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B25016867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B25016939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B25017058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D25019659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D26000131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D26000206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D26000263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D26000283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D26000297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D26000394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D26000407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D26000450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B26000616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D26000636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D26000821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T26000041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B26000970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B26000998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B26001226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D26001330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B26001270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B26001405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D26001530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B26001696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D26001919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D26001921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D25017964</v>
          </cell>
          <cell r="AP5186">
            <v>0</v>
          </cell>
          <cell r="AQ5186">
            <v>0</v>
          </cell>
          <cell r="AV5186">
            <v>775450</v>
          </cell>
        </row>
        <row r="5187">
          <cell r="E5187" t="str">
            <v>B25015793</v>
          </cell>
          <cell r="AP5187">
            <v>0</v>
          </cell>
          <cell r="AQ5187">
            <v>0</v>
          </cell>
          <cell r="AV5187">
            <v>824550</v>
          </cell>
        </row>
        <row r="5188">
          <cell r="E5188" t="str">
            <v>B25015793</v>
          </cell>
          <cell r="AP5188">
            <v>0</v>
          </cell>
          <cell r="AQ5188">
            <v>0</v>
          </cell>
          <cell r="AV5188">
            <v>1000000</v>
          </cell>
        </row>
        <row r="5189">
          <cell r="E5189" t="str">
            <v>B25015793</v>
          </cell>
          <cell r="AP5189">
            <v>0</v>
          </cell>
          <cell r="AQ5189">
            <v>0</v>
          </cell>
          <cell r="AV5189">
            <v>1600000</v>
          </cell>
        </row>
        <row r="5190">
          <cell r="E5190" t="str">
            <v>D25018854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D25019145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D25019146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D25019147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B26000081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B26000082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B26000083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D26000675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D26001080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D26001081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D26001123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D25019432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D25019433</v>
          </cell>
          <cell r="AP5202">
            <v>0</v>
          </cell>
          <cell r="AQ5202">
            <v>0</v>
          </cell>
          <cell r="AV5202">
            <v>5000000</v>
          </cell>
        </row>
        <row r="5203">
          <cell r="E5203" t="str">
            <v>D25019434</v>
          </cell>
          <cell r="AP5203">
            <v>0</v>
          </cell>
          <cell r="AQ5203">
            <v>0</v>
          </cell>
          <cell r="AV5203">
            <v>8000000</v>
          </cell>
        </row>
        <row r="5204">
          <cell r="E5204" t="str">
            <v>D25019435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D25019436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D25019437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N25000086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D26001162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C26000102</v>
          </cell>
          <cell r="AP5209">
            <v>0</v>
          </cell>
          <cell r="AQ5209">
            <v>0</v>
          </cell>
          <cell r="AV5209">
            <v>430000</v>
          </cell>
        </row>
        <row r="5210">
          <cell r="E5210" t="str">
            <v>D25019441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D26001723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B26001157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T25001816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T25001874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D25019329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B25016559</v>
          </cell>
          <cell r="AP5216">
            <v>0</v>
          </cell>
          <cell r="AQ5216">
            <v>0</v>
          </cell>
          <cell r="AV5216">
            <v>15019400</v>
          </cell>
        </row>
        <row r="5217">
          <cell r="E5217" t="str">
            <v>B25016560</v>
          </cell>
          <cell r="AP5217">
            <v>0</v>
          </cell>
          <cell r="AQ5217">
            <v>0</v>
          </cell>
          <cell r="AV5217">
            <v>8100000</v>
          </cell>
        </row>
        <row r="5218">
          <cell r="E5218" t="str">
            <v>D25019022</v>
          </cell>
          <cell r="AP5218">
            <v>0</v>
          </cell>
          <cell r="AQ5218">
            <v>0</v>
          </cell>
          <cell r="AV5218">
            <v>6880600</v>
          </cell>
        </row>
        <row r="5219">
          <cell r="E5219" t="str">
            <v>D25019023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B25017023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B25017024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B25017025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B25017030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B26000120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D26000204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D26000205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D26000213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D26000598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D26000610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B26000874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D26000932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B26000954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B26000991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B26001002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D26001576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D26001577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D26001578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D25018241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T25001801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D25018357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D25018506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D25018510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D25018591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D25018731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D25018924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B25016525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B25016620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B25016759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D25019439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B25016915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B25016952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D25019470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D25019473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D25019553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D25019584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D25019681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B26000160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D26000049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D26000128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D26000313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D26000329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D26000360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D26000409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D26000453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B26000420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B26000458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B26000480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B26000481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B26000493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D26000483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D26000487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B26000629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B26000834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B26000898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D26001267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B26001257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D26001332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D26001391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B26001487</v>
          </cell>
          <cell r="AP5279">
            <v>0</v>
          </cell>
          <cell r="AQ5279">
            <v>8400000</v>
          </cell>
          <cell r="AV5279">
            <v>0</v>
          </cell>
        </row>
        <row r="5280">
          <cell r="E5280" t="str">
            <v>D26001598</v>
          </cell>
          <cell r="AP5280">
            <v>0</v>
          </cell>
          <cell r="AQ5280">
            <v>10773000</v>
          </cell>
          <cell r="AV5280">
            <v>0</v>
          </cell>
        </row>
        <row r="5281">
          <cell r="E5281" t="str">
            <v>D26001599</v>
          </cell>
          <cell r="AP5281">
            <v>0</v>
          </cell>
          <cell r="AQ5281">
            <v>13250000</v>
          </cell>
          <cell r="AV5281">
            <v>0</v>
          </cell>
        </row>
        <row r="5282">
          <cell r="E5282" t="str">
            <v>D26001697</v>
          </cell>
          <cell r="AP5282">
            <v>0</v>
          </cell>
          <cell r="AQ5282">
            <v>10575000</v>
          </cell>
          <cell r="AV5282">
            <v>0</v>
          </cell>
        </row>
        <row r="5283">
          <cell r="E5283" t="str">
            <v>B26001612</v>
          </cell>
          <cell r="AP5283">
            <v>0</v>
          </cell>
          <cell r="AQ5283">
            <v>10080000</v>
          </cell>
          <cell r="AV5283">
            <v>0</v>
          </cell>
        </row>
        <row r="5284">
          <cell r="E5284" t="str">
            <v>D26001821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D26001821</v>
          </cell>
          <cell r="AP5285">
            <v>0</v>
          </cell>
          <cell r="AQ5285">
            <v>16290000</v>
          </cell>
          <cell r="AV5285">
            <v>0</v>
          </cell>
        </row>
        <row r="5286">
          <cell r="E5286" t="str">
            <v>B26001911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D26002027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D26002092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B26000360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D26000441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T25001880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B26000964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B26000965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B26001570</v>
          </cell>
          <cell r="AP5294">
            <v>0</v>
          </cell>
          <cell r="AQ5294">
            <v>0</v>
          </cell>
          <cell r="AV5294">
            <v>5400000</v>
          </cell>
        </row>
        <row r="5295">
          <cell r="E5295" t="str">
            <v>B26001932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T26000145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B26001149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D26001262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D26001395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D26001803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D26001804</v>
          </cell>
          <cell r="AP5301">
            <v>0</v>
          </cell>
          <cell r="AQ5301">
            <v>0</v>
          </cell>
          <cell r="AV5301">
            <v>4387500</v>
          </cell>
        </row>
        <row r="5302">
          <cell r="E5302" t="str">
            <v>D26001979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B26001600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B26001601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B26000703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B26001737</v>
          </cell>
          <cell r="AP5306">
            <v>0</v>
          </cell>
          <cell r="AQ5306">
            <v>0</v>
          </cell>
          <cell r="AV5306">
            <v>2000000</v>
          </cell>
        </row>
        <row r="5307">
          <cell r="E5307" t="str">
            <v>B25012562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D25018138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D26000414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D26000734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D26000978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D26001284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B25012496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B25014117</v>
          </cell>
          <cell r="AP5314">
            <v>0</v>
          </cell>
          <cell r="AQ5314">
            <v>0</v>
          </cell>
          <cell r="AV5314">
            <v>6500000</v>
          </cell>
        </row>
        <row r="5315">
          <cell r="E5315" t="str">
            <v>B25015370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D25017825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B25015450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D25017977</v>
          </cell>
          <cell r="AP5318">
            <v>0</v>
          </cell>
          <cell r="AQ5318">
            <v>0</v>
          </cell>
          <cell r="AV5318">
            <v>5600000</v>
          </cell>
        </row>
        <row r="5319">
          <cell r="E5319" t="str">
            <v>D25018108</v>
          </cell>
          <cell r="AP5319">
            <v>0</v>
          </cell>
          <cell r="AQ5319">
            <v>0</v>
          </cell>
          <cell r="AV5319">
            <v>3600000</v>
          </cell>
        </row>
        <row r="5320">
          <cell r="E5320" t="str">
            <v>D25018601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B25016277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B25016377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D25018972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D25019208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B25016844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B25017048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B26000009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D26000119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B26000200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D26000281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D26000374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D26000759</v>
          </cell>
          <cell r="AP5332">
            <v>0</v>
          </cell>
          <cell r="AQ5332">
            <v>0</v>
          </cell>
          <cell r="AV5332">
            <v>0</v>
          </cell>
        </row>
        <row r="5333">
          <cell r="E5333" t="str">
            <v>D26000773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D26000980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B26001098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B26001931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D26002026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D26002064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D25015979</v>
          </cell>
          <cell r="AP5339">
            <v>0</v>
          </cell>
          <cell r="AQ5339">
            <v>0</v>
          </cell>
          <cell r="AV5339">
            <v>6000000</v>
          </cell>
        </row>
        <row r="5340">
          <cell r="E5340" t="str">
            <v>B26000375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B26000622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B26000775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B26001262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T26000105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D25016981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D25016983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D25017237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D25017247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B25015169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D25018067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D25018084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B25016237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D25019227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D25019279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D26001292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D26001420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D26001523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D26001981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D26002085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D25018655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B26000006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B26001702</v>
          </cell>
          <cell r="AP5362">
            <v>0</v>
          </cell>
          <cell r="AQ5362">
            <v>0</v>
          </cell>
          <cell r="AV5362">
            <v>3750000</v>
          </cell>
        </row>
        <row r="5363">
          <cell r="E5363" t="str">
            <v>B26001309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D26000429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B26001839</v>
          </cell>
          <cell r="AP5365">
            <v>0</v>
          </cell>
          <cell r="AQ5365">
            <v>0</v>
          </cell>
          <cell r="AV5365">
            <v>650000</v>
          </cell>
        </row>
        <row r="5366">
          <cell r="E5366" t="str">
            <v>B26001865</v>
          </cell>
          <cell r="AP5366">
            <v>0</v>
          </cell>
          <cell r="AQ5366">
            <v>0</v>
          </cell>
          <cell r="AV5366">
            <v>1220000</v>
          </cell>
        </row>
        <row r="5367">
          <cell r="E5367" t="str">
            <v>B25014885</v>
          </cell>
          <cell r="AP5367">
            <v>0</v>
          </cell>
          <cell r="AQ5367">
            <v>0</v>
          </cell>
          <cell r="AV5367">
            <v>7339825</v>
          </cell>
        </row>
        <row r="5368">
          <cell r="E5368" t="str">
            <v>B25014906</v>
          </cell>
          <cell r="AP5368">
            <v>0</v>
          </cell>
          <cell r="AQ5368">
            <v>0</v>
          </cell>
          <cell r="AV5368">
            <v>39050000</v>
          </cell>
        </row>
        <row r="5369">
          <cell r="E5369" t="str">
            <v>D25017502</v>
          </cell>
          <cell r="AP5369">
            <v>0</v>
          </cell>
          <cell r="AQ5369">
            <v>0</v>
          </cell>
          <cell r="AV5369">
            <v>32000000</v>
          </cell>
        </row>
        <row r="5370">
          <cell r="E5370" t="str">
            <v>B25015265</v>
          </cell>
          <cell r="AP5370">
            <v>0</v>
          </cell>
          <cell r="AQ5370">
            <v>0</v>
          </cell>
          <cell r="AV5370">
            <v>23310000</v>
          </cell>
        </row>
        <row r="5371">
          <cell r="E5371" t="str">
            <v>B25015320</v>
          </cell>
          <cell r="AP5371">
            <v>0</v>
          </cell>
          <cell r="AQ5371">
            <v>0</v>
          </cell>
          <cell r="AV5371">
            <v>97125000</v>
          </cell>
        </row>
        <row r="5372">
          <cell r="E5372" t="str">
            <v>D25017811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D25017841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B25015718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B25015859</v>
          </cell>
          <cell r="AP5375">
            <v>0</v>
          </cell>
          <cell r="AQ5375">
            <v>0</v>
          </cell>
          <cell r="AV5375">
            <v>1175175</v>
          </cell>
        </row>
        <row r="5376">
          <cell r="E5376" t="str">
            <v>D25018274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B25016836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B25016874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B26000337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D26000722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D26000854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B26001867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D26001994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D26000362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D26000822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B26001799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B26001800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B26001862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B25016188</v>
          </cell>
          <cell r="AP5389">
            <v>0</v>
          </cell>
          <cell r="AQ5389">
            <v>0</v>
          </cell>
          <cell r="AV5389">
            <v>8560000</v>
          </cell>
        </row>
        <row r="5390">
          <cell r="E5390" t="str">
            <v>B26000859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T25001868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D25018771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T26000066k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B26001273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B26001831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T25001818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D26001692</v>
          </cell>
          <cell r="AP5397">
            <v>0</v>
          </cell>
          <cell r="AQ5397">
            <v>0</v>
          </cell>
          <cell r="AV5397">
            <v>40000000</v>
          </cell>
        </row>
        <row r="5398">
          <cell r="E5398" t="str">
            <v>B26001944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B26000454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T25001515k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T25001519K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D26001011</v>
          </cell>
          <cell r="AP5402">
            <v>0</v>
          </cell>
          <cell r="AQ5402">
            <v>0</v>
          </cell>
          <cell r="AV5402">
            <v>9800000</v>
          </cell>
        </row>
        <row r="5403">
          <cell r="E5403" t="str">
            <v>B26001009</v>
          </cell>
          <cell r="AP5403">
            <v>0</v>
          </cell>
          <cell r="AQ5403">
            <v>0</v>
          </cell>
          <cell r="AV5403">
            <v>2880000</v>
          </cell>
        </row>
        <row r="5404">
          <cell r="E5404" t="str">
            <v>B26000739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B26001298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D26001646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B25013109</v>
          </cell>
          <cell r="AP5407">
            <v>0</v>
          </cell>
          <cell r="AQ5407">
            <v>0</v>
          </cell>
          <cell r="AV5407">
            <v>12735000</v>
          </cell>
        </row>
        <row r="5408">
          <cell r="E5408" t="str">
            <v>D25015675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B25014895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D25017233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B25015497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B25015498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B25015508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B25015667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B25015981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T25001821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D25018765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B25016753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T25001877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B25016907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B25016909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D26000033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D26000041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D26000042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B26000271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B26000335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D26000591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D26000816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D26000831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B26001161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D26001238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D26001378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D26001908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B26001950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D26002060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D25018155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B25015911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B25016190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D26000593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D26000732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B26000718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D26001206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B26001142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B26001158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D26001411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D26001470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D26000488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D26000489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D25018575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D25019428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B25016970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B26000386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B26000388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B26000443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B26000476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B26001014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B26001027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T26000101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B26001926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B26001927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B25014153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B25014241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B25014610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B25015061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B25015063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D25017643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B25015410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B25015462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D25018207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D25019018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D25019607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B26000124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B26000372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B26000495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B26001120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B26001210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B26001520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B26001579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D26002023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Z26000256</v>
          </cell>
          <cell r="AP5480">
            <v>0</v>
          </cell>
          <cell r="AQ5480">
            <v>0</v>
          </cell>
          <cell r="AV5480">
            <v>12300000</v>
          </cell>
        </row>
        <row r="5481">
          <cell r="E5481" t="str">
            <v>Z26000259</v>
          </cell>
          <cell r="AP5481">
            <v>0</v>
          </cell>
          <cell r="AQ5481">
            <v>0</v>
          </cell>
          <cell r="AV5481">
            <v>3375000</v>
          </cell>
        </row>
        <row r="5482">
          <cell r="E5482" t="str">
            <v>Z26000260</v>
          </cell>
          <cell r="AP5482">
            <v>0</v>
          </cell>
          <cell r="AQ5482">
            <v>0</v>
          </cell>
          <cell r="AV5482">
            <v>21000000</v>
          </cell>
        </row>
        <row r="5483">
          <cell r="E5483" t="str">
            <v>Z26000272</v>
          </cell>
          <cell r="AP5483">
            <v>0</v>
          </cell>
          <cell r="AQ5483">
            <v>0</v>
          </cell>
          <cell r="AV5483">
            <v>14000000</v>
          </cell>
        </row>
        <row r="5484">
          <cell r="E5484" t="str">
            <v>Z26000274</v>
          </cell>
          <cell r="AP5484">
            <v>0</v>
          </cell>
          <cell r="AQ5484">
            <v>0</v>
          </cell>
          <cell r="AV5484">
            <v>5400000</v>
          </cell>
        </row>
        <row r="5485">
          <cell r="E5485" t="str">
            <v>Z26000287</v>
          </cell>
          <cell r="AP5485">
            <v>0</v>
          </cell>
          <cell r="AQ5485">
            <v>0</v>
          </cell>
          <cell r="AV5485">
            <v>2820000</v>
          </cell>
        </row>
        <row r="5486">
          <cell r="E5486" t="str">
            <v>Z26000291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Z26000320</v>
          </cell>
          <cell r="AP5487">
            <v>0</v>
          </cell>
          <cell r="AQ5487">
            <v>0</v>
          </cell>
          <cell r="AV5487">
            <v>6000000</v>
          </cell>
        </row>
        <row r="5488">
          <cell r="E5488" t="str">
            <v>D25018261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B25015917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T25001814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B25016522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D25018976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D25018977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D25019447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D26000051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D26000052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D26000069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B26000725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B26000727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B26000891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B26000892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B26000893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B26000923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B26000945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B26001018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B26001594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B26001302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B25015947</v>
          </cell>
          <cell r="AP5508">
            <v>0</v>
          </cell>
          <cell r="AQ5508">
            <v>0</v>
          </cell>
          <cell r="AV5508">
            <v>48420000</v>
          </cell>
        </row>
        <row r="5509">
          <cell r="E5509" t="str">
            <v>B25016358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D25018892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D25019646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D26000087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D26000404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B26000928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D26001385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D26001436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D26001488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D26001503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D26001505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D26001527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D26001816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D26001831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D26001913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B26001886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D25018536</v>
          </cell>
          <cell r="AP5525">
            <v>0</v>
          </cell>
          <cell r="AQ5525">
            <v>0</v>
          </cell>
          <cell r="AV5525">
            <v>8200000</v>
          </cell>
        </row>
        <row r="5526">
          <cell r="E5526" t="str">
            <v>D25018614</v>
          </cell>
          <cell r="AP5526">
            <v>0</v>
          </cell>
          <cell r="AQ5526">
            <v>0</v>
          </cell>
          <cell r="AV5526">
            <v>2640000</v>
          </cell>
        </row>
        <row r="5527">
          <cell r="E5527" t="str">
            <v>B25016376</v>
          </cell>
          <cell r="AP5527">
            <v>0</v>
          </cell>
          <cell r="AQ5527">
            <v>0</v>
          </cell>
          <cell r="AV5527">
            <v>9500000</v>
          </cell>
        </row>
        <row r="5528">
          <cell r="E5528" t="str">
            <v>B25016743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B25017013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B25017043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D25019635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D26000172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D26000199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B26000195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D26000221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B26000519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B26000520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B26000822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B26000833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B26000880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D26000985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B26000990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D26001048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D26001208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D26001271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D26001278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B26001235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D26001374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B26001631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D26001788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B26001829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B26001836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B26001837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D26001944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B26001905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B25016192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T26000003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D25017244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B25015130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B25015305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D25018115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D25018171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D25018568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D25019184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D25019476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D25019477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B25017143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D26000064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D26000065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D26002003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D26002039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T25001776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D26001920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Z25003112</v>
          </cell>
          <cell r="AP5574">
            <v>0</v>
          </cell>
          <cell r="AQ5574">
            <v>0</v>
          </cell>
          <cell r="AV5574">
            <v>23250000</v>
          </cell>
        </row>
        <row r="5575">
          <cell r="E5575" t="str">
            <v>Z26000017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Z26000181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Z26000182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Z26000298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B26000379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B26000451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B26000456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B26000707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B26001462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D26001560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Z25003241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Z26000025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Z26000237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D25016736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D25016855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B25014592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D25016987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B25015156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D25017582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B25015225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D25017837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D25018210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B25016202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D25018685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D25018685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D25018685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D25018686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D25018979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B25016581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B25016605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D25019309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B25016921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B25016989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D25019644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B26000063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B26000309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B26000320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B26000492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B26000604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B26000732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B26001066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B26001148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B26001443</v>
          </cell>
          <cell r="AP5617">
            <v>0</v>
          </cell>
          <cell r="AQ5617">
            <v>0</v>
          </cell>
          <cell r="AV5617">
            <v>0</v>
          </cell>
        </row>
        <row r="5618">
          <cell r="E5618" t="str">
            <v>B26001448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B26001465</v>
          </cell>
          <cell r="AP5619">
            <v>0</v>
          </cell>
          <cell r="AQ5619">
            <v>0</v>
          </cell>
          <cell r="AV5619">
            <v>132000000</v>
          </cell>
        </row>
        <row r="5620">
          <cell r="E5620" t="str">
            <v>B26001750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D26002090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D26000278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D26000279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D26000894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B26001850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D26001986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D26001666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B26001949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D26002086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R25000016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T25001692</v>
          </cell>
          <cell r="AP5631">
            <v>0</v>
          </cell>
          <cell r="AQ5631">
            <v>0</v>
          </cell>
          <cell r="AV5631">
            <v>2000000</v>
          </cell>
        </row>
        <row r="5632">
          <cell r="E5632" t="str">
            <v>B26000594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B26000595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D26000651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T25001865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T25001353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D26000819</v>
          </cell>
          <cell r="AP5637">
            <v>0</v>
          </cell>
          <cell r="AQ5637">
            <v>0</v>
          </cell>
          <cell r="AV5637">
            <v>2250000</v>
          </cell>
        </row>
        <row r="5638">
          <cell r="E5638" t="str">
            <v>D26001152</v>
          </cell>
          <cell r="AP5638">
            <v>0</v>
          </cell>
          <cell r="AQ5638">
            <v>0</v>
          </cell>
          <cell r="AV5638">
            <v>1710000</v>
          </cell>
        </row>
        <row r="5639">
          <cell r="E5639" t="str">
            <v>D26001634</v>
          </cell>
          <cell r="AP5639">
            <v>0</v>
          </cell>
          <cell r="AQ5639">
            <v>0</v>
          </cell>
          <cell r="AV5639">
            <v>20850000</v>
          </cell>
        </row>
        <row r="5640">
          <cell r="E5640" t="str">
            <v>T25001625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D25019383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T26000088k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B26001517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D26001837</v>
          </cell>
          <cell r="AP5644">
            <v>0</v>
          </cell>
          <cell r="AQ5644">
            <v>0</v>
          </cell>
          <cell r="AV5644">
            <v>10400000</v>
          </cell>
        </row>
        <row r="5645">
          <cell r="E5645" t="str">
            <v>D25018177</v>
          </cell>
          <cell r="AP5645">
            <v>0</v>
          </cell>
          <cell r="AQ5645">
            <v>0</v>
          </cell>
          <cell r="AV5645">
            <v>1840000</v>
          </cell>
        </row>
        <row r="5646">
          <cell r="E5646" t="str">
            <v>D25018834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D26000282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B26001778</v>
          </cell>
          <cell r="AP5648">
            <v>0</v>
          </cell>
          <cell r="AQ5648">
            <v>0</v>
          </cell>
          <cell r="AV5648">
            <v>2340000</v>
          </cell>
        </row>
        <row r="5649">
          <cell r="E5649" t="str">
            <v>B26001783</v>
          </cell>
          <cell r="AP5649">
            <v>0</v>
          </cell>
          <cell r="AQ5649">
            <v>0</v>
          </cell>
          <cell r="AV5649">
            <v>1040000</v>
          </cell>
        </row>
        <row r="5650">
          <cell r="E5650" t="str">
            <v>B26000043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B26000045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C26000008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B26000446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D26000516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B26000246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B26000247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D26001546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B25014156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D25018044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B25015992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B25016085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D25018873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D25018889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D25019527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D25019528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D25019529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B26001458</v>
          </cell>
          <cell r="AP5667">
            <v>0</v>
          </cell>
          <cell r="AQ5667">
            <v>0</v>
          </cell>
          <cell r="AV5667">
            <v>19400000</v>
          </cell>
        </row>
        <row r="5668">
          <cell r="E5668" t="str">
            <v>B25015024</v>
          </cell>
          <cell r="AP5668">
            <v>0</v>
          </cell>
          <cell r="AQ5668">
            <v>0</v>
          </cell>
          <cell r="AV5668">
            <v>37550000</v>
          </cell>
        </row>
        <row r="5669">
          <cell r="E5669">
            <v>250197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>
            <v>250198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D25018478</v>
          </cell>
          <cell r="AP5671">
            <v>0</v>
          </cell>
          <cell r="AQ5671">
            <v>0</v>
          </cell>
          <cell r="AV5671">
            <v>96000000</v>
          </cell>
        </row>
        <row r="5672">
          <cell r="E5672" t="str">
            <v>D26000491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D26000947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D26000987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D26001963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B26001280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B26000884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B26001284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B26000116</v>
          </cell>
          <cell r="AP5679">
            <v>0</v>
          </cell>
          <cell r="AQ5679">
            <v>0</v>
          </cell>
          <cell r="AV5679">
            <v>1665000</v>
          </cell>
        </row>
        <row r="5680">
          <cell r="E5680" t="str">
            <v>B26000168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B26000499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B26000500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B26000507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B26000890</v>
          </cell>
          <cell r="AP5684">
            <v>0</v>
          </cell>
          <cell r="AQ5684">
            <v>0</v>
          </cell>
          <cell r="AV5684">
            <v>0</v>
          </cell>
        </row>
        <row r="5685">
          <cell r="E5685" t="str">
            <v>D26001435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D26001660</v>
          </cell>
          <cell r="AP5686">
            <v>0</v>
          </cell>
          <cell r="AQ5686">
            <v>0</v>
          </cell>
          <cell r="AV5686">
            <v>0</v>
          </cell>
        </row>
        <row r="5687">
          <cell r="E5687" t="str">
            <v>B26001842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D26000785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B25014926</v>
          </cell>
          <cell r="AP5689">
            <v>0</v>
          </cell>
          <cell r="AQ5689">
            <v>0</v>
          </cell>
          <cell r="AV5689">
            <v>0</v>
          </cell>
        </row>
        <row r="5690">
          <cell r="E5690" t="str">
            <v>B25015763</v>
          </cell>
          <cell r="AP5690">
            <v>0</v>
          </cell>
          <cell r="AQ5690">
            <v>0</v>
          </cell>
          <cell r="AV5690">
            <v>0</v>
          </cell>
        </row>
        <row r="5691">
          <cell r="E5691" t="str">
            <v>B25015927</v>
          </cell>
          <cell r="AP5691">
            <v>0</v>
          </cell>
          <cell r="AQ5691">
            <v>0</v>
          </cell>
          <cell r="AV5691">
            <v>0</v>
          </cell>
        </row>
        <row r="5692">
          <cell r="E5692" t="str">
            <v>D25018368</v>
          </cell>
          <cell r="AP5692">
            <v>0</v>
          </cell>
          <cell r="AQ5692">
            <v>0</v>
          </cell>
          <cell r="AV5692">
            <v>0</v>
          </cell>
        </row>
        <row r="5693">
          <cell r="E5693" t="str">
            <v>D25019001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D25019019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D25019440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B25016982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D25019587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B26000022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D26000091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B26000175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D26000626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D26001467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B26001668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B26001796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Z25003133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Z25003175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Z25003313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Z26000010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Z26000013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Z26000149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Z26000172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Z26000186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Z26000189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Z26000201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Z26000307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Z26000309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Z26000337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D26000891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D26000892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D26000893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D25017659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D25018842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B25015526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D25019103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B26000114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D26000123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B26001621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B26001622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B26001666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B25016981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B25016983</v>
          </cell>
          <cell r="AP5731">
            <v>0</v>
          </cell>
          <cell r="AQ5731">
            <v>0</v>
          </cell>
          <cell r="AV5731">
            <v>4525000</v>
          </cell>
        </row>
        <row r="5732">
          <cell r="E5732" t="str">
            <v>B26000189</v>
          </cell>
          <cell r="AP5732">
            <v>0</v>
          </cell>
          <cell r="AQ5732">
            <v>0</v>
          </cell>
          <cell r="AV5732">
            <v>475000</v>
          </cell>
        </row>
        <row r="5733">
          <cell r="E5733" t="str">
            <v>T26000019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D26000364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B26001172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B26001176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B26001460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D26001601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D26001602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D25018476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D25018846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D25019341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B26000385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D26000832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T26000146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D26000057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D26001564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D25013787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B25013655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B25014606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B25014698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D25017436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B25015576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D25018180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B25016094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B26000433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B26000689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B26000818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B26000934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B26001429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B26001660</v>
          </cell>
          <cell r="AP5761">
            <v>0</v>
          </cell>
          <cell r="AQ5761">
            <v>0</v>
          </cell>
          <cell r="AV5761">
            <v>0</v>
          </cell>
        </row>
        <row r="5762">
          <cell r="E5762" t="str">
            <v>D25018239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D25019128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D25019142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D25019143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B25016823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B25016925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D26000268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D26000275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D26000355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D26000788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D26001044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D26001231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D26001274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D26001280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B26001232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D26001779</v>
          </cell>
          <cell r="AP5777">
            <v>0</v>
          </cell>
          <cell r="AQ5777">
            <v>0</v>
          </cell>
          <cell r="AV5777">
            <v>0</v>
          </cell>
        </row>
        <row r="5778">
          <cell r="E5778" t="str">
            <v>D26001782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B26001945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B25016320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B26001603</v>
          </cell>
          <cell r="AP5781">
            <v>0</v>
          </cell>
          <cell r="AQ5781">
            <v>0</v>
          </cell>
          <cell r="AV5781">
            <v>1978000</v>
          </cell>
        </row>
        <row r="5782">
          <cell r="E5782" t="str">
            <v>B26001436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D25018732</v>
          </cell>
          <cell r="AP5783">
            <v>0</v>
          </cell>
          <cell r="AQ5783">
            <v>0</v>
          </cell>
          <cell r="AV5783">
            <v>1062500</v>
          </cell>
        </row>
        <row r="5784">
          <cell r="E5784" t="str">
            <v>B26000254</v>
          </cell>
          <cell r="AP5784">
            <v>0</v>
          </cell>
          <cell r="AQ5784">
            <v>0</v>
          </cell>
          <cell r="AV5784">
            <v>1800000</v>
          </cell>
        </row>
        <row r="5785">
          <cell r="E5785" t="str">
            <v>B26000255</v>
          </cell>
          <cell r="AP5785">
            <v>0</v>
          </cell>
          <cell r="AQ5785">
            <v>0</v>
          </cell>
          <cell r="AV5785">
            <v>680000</v>
          </cell>
        </row>
        <row r="5786">
          <cell r="E5786" t="str">
            <v>T26000046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D26001104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D26001105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D25019640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D25019720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T25001900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T25001901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D26000325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D26000877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B26000163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B26000164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B26001386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B25016817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B25016821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B25016835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N25000087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D25019685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B26000305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D26000342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B26001263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B25010943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D25017776</v>
          </cell>
          <cell r="AP5807">
            <v>0</v>
          </cell>
          <cell r="AQ5807">
            <v>0</v>
          </cell>
          <cell r="AV5807">
            <v>3750000</v>
          </cell>
        </row>
        <row r="5808">
          <cell r="E5808" t="str">
            <v>D25018243</v>
          </cell>
          <cell r="AP5808">
            <v>0</v>
          </cell>
          <cell r="AQ5808">
            <v>0</v>
          </cell>
          <cell r="AV5808">
            <v>3250000</v>
          </cell>
        </row>
        <row r="5809">
          <cell r="E5809" t="str">
            <v>D25018571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B25016168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T25001842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D25018833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D25019627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D25019118</v>
          </cell>
          <cell r="AP5814">
            <v>0</v>
          </cell>
          <cell r="AQ5814">
            <v>0</v>
          </cell>
          <cell r="AV5814">
            <v>5800000</v>
          </cell>
        </row>
        <row r="5815">
          <cell r="E5815" t="str">
            <v>D25019140</v>
          </cell>
          <cell r="AP5815">
            <v>0</v>
          </cell>
          <cell r="AQ5815">
            <v>0</v>
          </cell>
          <cell r="AV5815">
            <v>250000</v>
          </cell>
        </row>
        <row r="5816">
          <cell r="E5816" t="str">
            <v>D26000402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D26000403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D25018300</v>
          </cell>
          <cell r="AP5818">
            <v>500</v>
          </cell>
          <cell r="AQ5818">
            <v>0</v>
          </cell>
          <cell r="AV5818">
            <v>6357000</v>
          </cell>
        </row>
        <row r="5819">
          <cell r="E5819" t="str">
            <v>B25016008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B26000092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B26000272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B26000607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T26000038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D26001347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Z26000263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Z26000265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Z26000343</v>
          </cell>
          <cell r="AP5827">
            <v>0</v>
          </cell>
          <cell r="AQ5827">
            <v>0</v>
          </cell>
          <cell r="AV5827">
            <v>138280000</v>
          </cell>
        </row>
        <row r="5828">
          <cell r="E5828" t="str">
            <v>T25001586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D25016178</v>
          </cell>
          <cell r="AP5829">
            <v>0</v>
          </cell>
          <cell r="AQ5829">
            <v>0</v>
          </cell>
          <cell r="AV5829">
            <v>30000000</v>
          </cell>
        </row>
        <row r="5830">
          <cell r="E5830" t="str">
            <v>D25018900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D25018997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D25018998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D25019266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D26001677</v>
          </cell>
          <cell r="AP5834">
            <v>0</v>
          </cell>
          <cell r="AQ5834">
            <v>0</v>
          </cell>
          <cell r="AV5834">
            <v>5287500</v>
          </cell>
        </row>
        <row r="5835">
          <cell r="E5835" t="str">
            <v>D26001678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D26001679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D26001680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T26000108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B26001615</v>
          </cell>
          <cell r="AP5839">
            <v>0</v>
          </cell>
          <cell r="AQ5839">
            <v>0</v>
          </cell>
          <cell r="AV5839">
            <v>11450000</v>
          </cell>
        </row>
        <row r="5840">
          <cell r="E5840" t="str">
            <v>D26000273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B26000330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B26000475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D26001658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D25013475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B25012121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B25016643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D25019413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D25019414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D25019415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B26000258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B26000259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D26000417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D26000895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B26001318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B26001322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B25015291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D25018254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D25019042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D25019668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B26000242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B26000243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D26000301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D26001064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D26001223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B26001371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D26001749</v>
          </cell>
          <cell r="AP5866">
            <v>0</v>
          </cell>
          <cell r="AQ5866">
            <v>0</v>
          </cell>
          <cell r="AV5866">
            <v>17800000</v>
          </cell>
        </row>
        <row r="5867">
          <cell r="E5867" t="str">
            <v>T26000026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T26000027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T26000076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B26001736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B25016736</v>
          </cell>
          <cell r="AP5871">
            <v>0</v>
          </cell>
          <cell r="AQ5871">
            <v>0</v>
          </cell>
          <cell r="AV5871">
            <v>5480000</v>
          </cell>
        </row>
        <row r="5872">
          <cell r="E5872" t="str">
            <v>D26000346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D26000534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B26001022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D26001563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D26001570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D26001586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D26001864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D25019389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D25019522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B26000228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D26000408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N26000010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B26001056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D26001762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B25017056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D26000311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D26000621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D26000622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B26000676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D26000679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D26000763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D26000982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D26001092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B26001079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B26001204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D26001279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D26001390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D26001463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B26001447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D26001532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D26001698</v>
          </cell>
          <cell r="AP5902">
            <v>0</v>
          </cell>
          <cell r="AQ5902">
            <v>1440000</v>
          </cell>
          <cell r="AV5902">
            <v>0</v>
          </cell>
        </row>
        <row r="5903">
          <cell r="E5903" t="str">
            <v>D26001699</v>
          </cell>
          <cell r="AP5903">
            <v>0</v>
          </cell>
          <cell r="AQ5903">
            <v>839500</v>
          </cell>
          <cell r="AV5903">
            <v>0</v>
          </cell>
        </row>
        <row r="5904">
          <cell r="E5904" t="str">
            <v>B26001644</v>
          </cell>
          <cell r="AP5904">
            <v>0</v>
          </cell>
          <cell r="AQ5904">
            <v>1647000</v>
          </cell>
          <cell r="AV5904">
            <v>0</v>
          </cell>
        </row>
        <row r="5905">
          <cell r="E5905" t="str">
            <v>B26001743</v>
          </cell>
          <cell r="AP5905">
            <v>0</v>
          </cell>
          <cell r="AQ5905">
            <v>3869500</v>
          </cell>
          <cell r="AV5905">
            <v>0</v>
          </cell>
        </row>
        <row r="5906">
          <cell r="E5906" t="str">
            <v>B26001744</v>
          </cell>
          <cell r="AP5906">
            <v>0</v>
          </cell>
          <cell r="AQ5906">
            <v>986500</v>
          </cell>
          <cell r="AV5906">
            <v>0</v>
          </cell>
        </row>
        <row r="5907">
          <cell r="E5907" t="str">
            <v>D26001925</v>
          </cell>
          <cell r="AP5907">
            <v>0</v>
          </cell>
          <cell r="AQ5907">
            <v>510000</v>
          </cell>
          <cell r="AV5907">
            <v>0</v>
          </cell>
        </row>
        <row r="5908">
          <cell r="E5908" t="str">
            <v>B25015512</v>
          </cell>
          <cell r="AP5908">
            <v>0</v>
          </cell>
          <cell r="AQ5908">
            <v>0</v>
          </cell>
          <cell r="AV5908">
            <v>137700000</v>
          </cell>
        </row>
        <row r="5909">
          <cell r="E5909" t="str">
            <v>B25015575</v>
          </cell>
          <cell r="AP5909">
            <v>0</v>
          </cell>
          <cell r="AQ5909">
            <v>0</v>
          </cell>
          <cell r="AV5909">
            <v>140000000</v>
          </cell>
        </row>
        <row r="5910">
          <cell r="E5910" t="str">
            <v>D25018433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T25001825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T25001840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B25016195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D25018882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D25019123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D26000372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D26000562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D26000795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D26001163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D26001164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D26001731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D26001755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B26001805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D26002032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D25016147</v>
          </cell>
          <cell r="AP5925">
            <v>0</v>
          </cell>
          <cell r="AQ5925">
            <v>0</v>
          </cell>
          <cell r="AV5925">
            <v>308125000</v>
          </cell>
        </row>
        <row r="5926">
          <cell r="E5926" t="str">
            <v>D25018869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Z25003266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D26000365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Z26000203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Z26000312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D26001870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Z26000338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Z26000357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D25016427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D25016464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D25016539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D25016812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D25017107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D25017315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D25017698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D25018251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D25018302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D25018453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D25018491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D25019005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D26000062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B26000565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D26000552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D26000595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D26000710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D26000721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D26000951</v>
          </cell>
          <cell r="AP5952">
            <v>0</v>
          </cell>
          <cell r="AQ5952">
            <v>0</v>
          </cell>
          <cell r="AV5952">
            <v>0</v>
          </cell>
        </row>
        <row r="5953">
          <cell r="E5953" t="str">
            <v>D26001083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D26001088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D26001122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D26001377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D26001477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D26001497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D26001499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D26001746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B26001715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D26001861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D26001877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B26001801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B26001900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B26001760</v>
          </cell>
          <cell r="AP5966">
            <v>0</v>
          </cell>
          <cell r="AQ5966">
            <v>0</v>
          </cell>
          <cell r="AV5966">
            <v>27250000</v>
          </cell>
        </row>
        <row r="5967">
          <cell r="E5967" t="str">
            <v>D26002010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B26000219</v>
          </cell>
          <cell r="AP5968">
            <v>0</v>
          </cell>
          <cell r="AQ5968">
            <v>0</v>
          </cell>
          <cell r="AV5968">
            <v>6800000</v>
          </cell>
        </row>
        <row r="5969">
          <cell r="E5969" t="str">
            <v>B26000485</v>
          </cell>
          <cell r="AP5969">
            <v>0</v>
          </cell>
          <cell r="AQ5969">
            <v>0</v>
          </cell>
          <cell r="AV5969">
            <v>0</v>
          </cell>
        </row>
        <row r="5970">
          <cell r="E5970" t="str">
            <v>B26000584</v>
          </cell>
          <cell r="AP5970">
            <v>0</v>
          </cell>
          <cell r="AQ5970">
            <v>0</v>
          </cell>
          <cell r="AV5970">
            <v>0</v>
          </cell>
        </row>
        <row r="5971">
          <cell r="E5971" t="str">
            <v>D26000684</v>
          </cell>
          <cell r="AP5971">
            <v>0</v>
          </cell>
          <cell r="AQ5971">
            <v>0</v>
          </cell>
          <cell r="AV5971">
            <v>0</v>
          </cell>
        </row>
        <row r="5972">
          <cell r="E5972" t="str">
            <v>D26000804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B26000976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D26001640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B26001677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B26000814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D26001220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D26001575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B26001946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B26001792</v>
          </cell>
          <cell r="AP5980">
            <v>0</v>
          </cell>
          <cell r="AQ5980">
            <v>0</v>
          </cell>
          <cell r="AV5980">
            <v>600000</v>
          </cell>
        </row>
        <row r="5981">
          <cell r="E5981" t="str">
            <v>D26001911</v>
          </cell>
          <cell r="AP5981">
            <v>0</v>
          </cell>
          <cell r="AQ5981">
            <v>0</v>
          </cell>
          <cell r="AV5981">
            <v>1275000</v>
          </cell>
        </row>
        <row r="5982">
          <cell r="E5982" t="str">
            <v>B25015974</v>
          </cell>
          <cell r="AP5982">
            <v>0</v>
          </cell>
          <cell r="AQ5982">
            <v>0</v>
          </cell>
          <cell r="AV5982">
            <v>95500000</v>
          </cell>
        </row>
        <row r="5983">
          <cell r="E5983" t="str">
            <v>D26000725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D26001408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D26001653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B26001772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B26001806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N26000017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D26001652</v>
          </cell>
          <cell r="AP5989">
            <v>0</v>
          </cell>
          <cell r="AQ5989">
            <v>0</v>
          </cell>
          <cell r="AV5989">
            <v>660000</v>
          </cell>
        </row>
        <row r="5990">
          <cell r="E5990" t="str">
            <v>B26001627</v>
          </cell>
          <cell r="AP5990">
            <v>0</v>
          </cell>
          <cell r="AQ5990">
            <v>0</v>
          </cell>
          <cell r="AV5990">
            <v>8910000</v>
          </cell>
        </row>
        <row r="5991">
          <cell r="E5991" t="str">
            <v>B26000016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B25016667</v>
          </cell>
          <cell r="AP5992">
            <v>0</v>
          </cell>
          <cell r="AQ5992">
            <v>0</v>
          </cell>
          <cell r="AV5992">
            <v>7560000</v>
          </cell>
        </row>
        <row r="5993">
          <cell r="E5993" t="str">
            <v>D25017411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D25017419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D25017766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D25017998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D25018321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D25018366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T25001824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B25016167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B25016275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B25016313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B25016456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B25016558</v>
          </cell>
          <cell r="AP6004">
            <v>0</v>
          </cell>
          <cell r="AQ6004">
            <v>0</v>
          </cell>
          <cell r="AV6004">
            <v>10000000</v>
          </cell>
        </row>
        <row r="6005">
          <cell r="E6005" t="str">
            <v>B25016603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B25016604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D25019192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B25016783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D25019403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D25019424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B25016960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D26000276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D26000277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B26000405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D26001002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D26001158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D26001159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D26001418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B26001370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D26001439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B26001690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D26001776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B26001814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D26001916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B25013621</v>
          </cell>
          <cell r="AP6025">
            <v>0</v>
          </cell>
          <cell r="AQ6025">
            <v>0</v>
          </cell>
          <cell r="AV6025">
            <v>19400000</v>
          </cell>
        </row>
        <row r="6026">
          <cell r="E6026" t="str">
            <v>D25017834</v>
          </cell>
          <cell r="AP6026">
            <v>0</v>
          </cell>
          <cell r="AQ6026">
            <v>0</v>
          </cell>
          <cell r="AV6026">
            <v>600000</v>
          </cell>
        </row>
        <row r="6027">
          <cell r="E6027" t="str">
            <v>D26001853</v>
          </cell>
          <cell r="AP6027">
            <v>0</v>
          </cell>
          <cell r="AQ6027">
            <v>0</v>
          </cell>
          <cell r="AV6027">
            <v>7360000</v>
          </cell>
        </row>
        <row r="6028">
          <cell r="E6028" t="str">
            <v>D26000505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D26001027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R25000105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B26000187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B26000188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B26001397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B26001398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D26002006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D26002004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D26001373</v>
          </cell>
          <cell r="AP6037">
            <v>0</v>
          </cell>
          <cell r="AQ6037">
            <v>0</v>
          </cell>
          <cell r="AV6037">
            <v>27880000</v>
          </cell>
        </row>
        <row r="6038">
          <cell r="E6038" t="str">
            <v>D26001876</v>
          </cell>
          <cell r="AP6038">
            <v>0</v>
          </cell>
          <cell r="AQ6038">
            <v>0</v>
          </cell>
          <cell r="AV6038">
            <v>14630000</v>
          </cell>
        </row>
        <row r="6039">
          <cell r="E6039" t="str">
            <v>D26001702</v>
          </cell>
          <cell r="AP6039">
            <v>0</v>
          </cell>
          <cell r="AQ6039">
            <v>0</v>
          </cell>
          <cell r="AV6039">
            <v>8600000</v>
          </cell>
        </row>
        <row r="6040">
          <cell r="E6040" t="str">
            <v>B26001597</v>
          </cell>
          <cell r="AP6040">
            <v>0</v>
          </cell>
          <cell r="AQ6040">
            <v>0</v>
          </cell>
          <cell r="AV6040">
            <v>9200000</v>
          </cell>
        </row>
        <row r="6041">
          <cell r="E6041" t="str">
            <v>D26002024</v>
          </cell>
          <cell r="AP6041">
            <v>0</v>
          </cell>
          <cell r="AQ6041">
            <v>0</v>
          </cell>
          <cell r="AV6041">
            <v>7750000</v>
          </cell>
        </row>
        <row r="6042">
          <cell r="E6042" t="str">
            <v>D25019612</v>
          </cell>
          <cell r="AP6042">
            <v>0</v>
          </cell>
          <cell r="AQ6042">
            <v>0</v>
          </cell>
          <cell r="AV6042">
            <v>6030000</v>
          </cell>
        </row>
        <row r="6043">
          <cell r="E6043" t="str">
            <v>D25019613</v>
          </cell>
          <cell r="AP6043">
            <v>0</v>
          </cell>
          <cell r="AQ6043">
            <v>0</v>
          </cell>
          <cell r="AV6043">
            <v>6030000</v>
          </cell>
        </row>
        <row r="6044">
          <cell r="E6044" t="str">
            <v>B26000807</v>
          </cell>
          <cell r="AP6044">
            <v>0</v>
          </cell>
          <cell r="AQ6044">
            <v>0</v>
          </cell>
          <cell r="AV6044">
            <v>0</v>
          </cell>
        </row>
        <row r="6045">
          <cell r="E6045" t="str">
            <v>B26000838</v>
          </cell>
          <cell r="AP6045">
            <v>0</v>
          </cell>
          <cell r="AQ6045">
            <v>0</v>
          </cell>
          <cell r="AV6045">
            <v>0</v>
          </cell>
        </row>
        <row r="6046">
          <cell r="E6046" t="str">
            <v>B26001071</v>
          </cell>
          <cell r="AP6046">
            <v>0</v>
          </cell>
          <cell r="AQ6046">
            <v>0</v>
          </cell>
          <cell r="AV6046">
            <v>0</v>
          </cell>
        </row>
        <row r="6047">
          <cell r="E6047" t="str">
            <v>B26001072</v>
          </cell>
          <cell r="AP6047">
            <v>0</v>
          </cell>
          <cell r="AQ6047">
            <v>0</v>
          </cell>
          <cell r="AV6047">
            <v>0</v>
          </cell>
        </row>
        <row r="6048">
          <cell r="E6048" t="str">
            <v>D26001584</v>
          </cell>
          <cell r="AP6048">
            <v>0</v>
          </cell>
          <cell r="AQ6048">
            <v>0</v>
          </cell>
          <cell r="AV6048">
            <v>0</v>
          </cell>
        </row>
        <row r="6049">
          <cell r="E6049" t="str">
            <v>D26001585</v>
          </cell>
          <cell r="AP6049">
            <v>0</v>
          </cell>
          <cell r="AQ6049">
            <v>0</v>
          </cell>
          <cell r="AV6049">
            <v>0</v>
          </cell>
        </row>
        <row r="6050">
          <cell r="E6050" t="str">
            <v>D26001614</v>
          </cell>
          <cell r="AP6050">
            <v>0</v>
          </cell>
          <cell r="AQ6050">
            <v>0</v>
          </cell>
          <cell r="AV6050">
            <v>0</v>
          </cell>
        </row>
        <row r="6051">
          <cell r="E6051" t="str">
            <v>T26000114</v>
          </cell>
          <cell r="AP6051">
            <v>0</v>
          </cell>
          <cell r="AQ6051">
            <v>0</v>
          </cell>
          <cell r="AV6051">
            <v>1940000</v>
          </cell>
        </row>
        <row r="6052">
          <cell r="E6052" t="str">
            <v>D25018570</v>
          </cell>
          <cell r="AP6052">
            <v>0</v>
          </cell>
          <cell r="AQ6052">
            <v>0</v>
          </cell>
          <cell r="AV6052">
            <v>14900000</v>
          </cell>
        </row>
        <row r="6053">
          <cell r="E6053" t="str">
            <v>D25018687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B25016269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D25018993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T25001505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D26000048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B26001784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B26000141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T26000013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D26001489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B26001205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B26001876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T25001864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D25019346</v>
          </cell>
          <cell r="AP6065">
            <v>0</v>
          </cell>
          <cell r="AQ6065">
            <v>0</v>
          </cell>
          <cell r="AV6065">
            <v>3705000</v>
          </cell>
        </row>
        <row r="6066">
          <cell r="E6066" t="str">
            <v>B26000220</v>
          </cell>
          <cell r="AP6066">
            <v>0</v>
          </cell>
          <cell r="AQ6066">
            <v>0</v>
          </cell>
          <cell r="AV6066">
            <v>4415000</v>
          </cell>
        </row>
        <row r="6067">
          <cell r="E6067" t="str">
            <v>B26000221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B26000931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B26000932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D26001259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B26001890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B26001506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B26001507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D26001750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B26001894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D25019133</v>
          </cell>
          <cell r="AP6076">
            <v>0</v>
          </cell>
          <cell r="AQ6076">
            <v>0</v>
          </cell>
          <cell r="AV6076">
            <v>900000</v>
          </cell>
        </row>
        <row r="6077">
          <cell r="E6077" t="str">
            <v>B25016733</v>
          </cell>
          <cell r="AP6077">
            <v>0</v>
          </cell>
          <cell r="AQ6077">
            <v>0</v>
          </cell>
          <cell r="AV6077">
            <v>1375000</v>
          </cell>
        </row>
        <row r="6078">
          <cell r="E6078" t="str">
            <v>D25019444</v>
          </cell>
          <cell r="AP6078">
            <v>0</v>
          </cell>
          <cell r="AQ6078">
            <v>0</v>
          </cell>
          <cell r="AV6078">
            <v>3208800</v>
          </cell>
        </row>
        <row r="6079">
          <cell r="E6079" t="str">
            <v>B25016945</v>
          </cell>
          <cell r="AP6079">
            <v>0</v>
          </cell>
          <cell r="AQ6079">
            <v>0</v>
          </cell>
          <cell r="AV6079">
            <v>1350000</v>
          </cell>
        </row>
        <row r="6080">
          <cell r="E6080" t="str">
            <v>B25017122</v>
          </cell>
          <cell r="AP6080">
            <v>0</v>
          </cell>
          <cell r="AQ6080">
            <v>0</v>
          </cell>
          <cell r="AV6080">
            <v>1350000</v>
          </cell>
        </row>
        <row r="6081">
          <cell r="E6081" t="str">
            <v>B26000035</v>
          </cell>
          <cell r="AP6081">
            <v>0</v>
          </cell>
          <cell r="AQ6081">
            <v>0</v>
          </cell>
          <cell r="AV6081">
            <v>1687500</v>
          </cell>
        </row>
        <row r="6082">
          <cell r="E6082" t="str">
            <v>D26000341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D26000357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D26000366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D26000517</v>
          </cell>
          <cell r="AP6085">
            <v>0</v>
          </cell>
          <cell r="AQ6085">
            <v>0</v>
          </cell>
          <cell r="AV6085">
            <v>0</v>
          </cell>
        </row>
        <row r="6086">
          <cell r="E6086" t="str">
            <v>B26000611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B26000612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D26000792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D26000813</v>
          </cell>
          <cell r="AP6089">
            <v>0</v>
          </cell>
          <cell r="AQ6089">
            <v>0</v>
          </cell>
          <cell r="AV6089">
            <v>0</v>
          </cell>
        </row>
        <row r="6090">
          <cell r="E6090" t="str">
            <v>D26000815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B26000922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D26000949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D26001054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B26001005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D26001288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B26001504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D26001650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B26001861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B25015546</v>
          </cell>
          <cell r="AP6099">
            <v>0</v>
          </cell>
          <cell r="AQ6099">
            <v>0</v>
          </cell>
          <cell r="AV6099">
            <v>24275000</v>
          </cell>
        </row>
        <row r="6100">
          <cell r="E6100" t="str">
            <v>B25015825</v>
          </cell>
          <cell r="AP6100">
            <v>0</v>
          </cell>
          <cell r="AQ6100">
            <v>0</v>
          </cell>
          <cell r="AV6100">
            <v>37035000</v>
          </cell>
        </row>
        <row r="6101">
          <cell r="E6101" t="str">
            <v>B25015827</v>
          </cell>
          <cell r="AP6101">
            <v>0</v>
          </cell>
          <cell r="AQ6101">
            <v>0</v>
          </cell>
          <cell r="AV6101">
            <v>6475000</v>
          </cell>
        </row>
        <row r="6102">
          <cell r="E6102" t="str">
            <v>D25018339</v>
          </cell>
          <cell r="AP6102">
            <v>0</v>
          </cell>
          <cell r="AQ6102">
            <v>0</v>
          </cell>
          <cell r="AV6102">
            <v>1750000</v>
          </cell>
        </row>
        <row r="6103">
          <cell r="E6103" t="str">
            <v>B25016280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B25016282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B25016415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B25016517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D25019007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B25016730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D25019344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D25019545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D25019705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B26000112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D26000018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D26000046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B26000270</v>
          </cell>
          <cell r="AP6115">
            <v>0</v>
          </cell>
          <cell r="AQ6115">
            <v>0</v>
          </cell>
          <cell r="AV6115">
            <v>14925000</v>
          </cell>
        </row>
        <row r="6116">
          <cell r="E6116" t="str">
            <v>B26000441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B26000501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B26000886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B26000973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B26001640</v>
          </cell>
          <cell r="AP6120">
            <v>0</v>
          </cell>
          <cell r="AQ6120">
            <v>0</v>
          </cell>
          <cell r="AV6120">
            <v>656000000</v>
          </cell>
        </row>
        <row r="6121">
          <cell r="E6121" t="str">
            <v>B26001641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B26001662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B26001663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D26001966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D26001984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D26002018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D25018748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D26001459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D25018467</v>
          </cell>
          <cell r="AP6129">
            <v>0</v>
          </cell>
          <cell r="AQ6129">
            <v>38746000</v>
          </cell>
          <cell r="AV6129">
            <v>0</v>
          </cell>
        </row>
        <row r="6130">
          <cell r="E6130" t="str">
            <v>D25018615</v>
          </cell>
          <cell r="AP6130">
            <v>0</v>
          </cell>
          <cell r="AQ6130">
            <v>27750000</v>
          </cell>
          <cell r="AV6130">
            <v>0</v>
          </cell>
        </row>
        <row r="6131">
          <cell r="E6131" t="str">
            <v>D25018949</v>
          </cell>
          <cell r="AP6131">
            <v>0</v>
          </cell>
          <cell r="AQ6131">
            <v>19000000</v>
          </cell>
          <cell r="AV6131">
            <v>0</v>
          </cell>
        </row>
        <row r="6132">
          <cell r="E6132" t="str">
            <v>B25016579</v>
          </cell>
          <cell r="AP6132">
            <v>0</v>
          </cell>
          <cell r="AQ6132">
            <v>64504000</v>
          </cell>
          <cell r="AV6132">
            <v>0</v>
          </cell>
        </row>
        <row r="6133">
          <cell r="E6133" t="str">
            <v>B25016579</v>
          </cell>
          <cell r="AP6133">
            <v>0</v>
          </cell>
          <cell r="AQ6133">
            <v>24086000</v>
          </cell>
          <cell r="AV6133">
            <v>0</v>
          </cell>
        </row>
        <row r="6134">
          <cell r="E6134" t="str">
            <v>D25019137</v>
          </cell>
          <cell r="AP6134">
            <v>0</v>
          </cell>
          <cell r="AQ6134">
            <v>92910000</v>
          </cell>
          <cell r="AV6134">
            <v>0</v>
          </cell>
        </row>
        <row r="6135">
          <cell r="E6135" t="str">
            <v>D25019183</v>
          </cell>
          <cell r="AP6135">
            <v>0</v>
          </cell>
          <cell r="AQ6135">
            <v>38000000</v>
          </cell>
          <cell r="AV6135">
            <v>0</v>
          </cell>
        </row>
        <row r="6136">
          <cell r="E6136" t="str">
            <v>D26000910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B26001311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B26001500</v>
          </cell>
          <cell r="AP6138">
            <v>0</v>
          </cell>
          <cell r="AQ6138">
            <v>0</v>
          </cell>
          <cell r="AV6138">
            <v>133000000</v>
          </cell>
        </row>
        <row r="6139">
          <cell r="E6139" t="str">
            <v>D26001748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D26001753</v>
          </cell>
          <cell r="AP6140">
            <v>0</v>
          </cell>
          <cell r="AQ6140">
            <v>0</v>
          </cell>
          <cell r="AV6140">
            <v>19000000</v>
          </cell>
        </row>
        <row r="6141">
          <cell r="E6141" t="str">
            <v>D26001754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D26001873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D26001874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D26002029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Z25003334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D26000428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D26001452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Z26000238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Z26000244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T26000144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B25016725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D25019252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B25014613</v>
          </cell>
          <cell r="AP6153">
            <v>0</v>
          </cell>
          <cell r="AQ6153">
            <v>0</v>
          </cell>
          <cell r="AV6153">
            <v>3400000</v>
          </cell>
        </row>
        <row r="6154">
          <cell r="E6154" t="str">
            <v>B25015210</v>
          </cell>
          <cell r="AP6154">
            <v>0</v>
          </cell>
          <cell r="AQ6154">
            <v>0</v>
          </cell>
          <cell r="AV6154">
            <v>7150000</v>
          </cell>
        </row>
        <row r="6155">
          <cell r="E6155" t="str">
            <v>B25015806</v>
          </cell>
          <cell r="AP6155">
            <v>0</v>
          </cell>
          <cell r="AQ6155">
            <v>0</v>
          </cell>
          <cell r="AV6155">
            <v>2450000</v>
          </cell>
        </row>
        <row r="6156">
          <cell r="E6156" t="str">
            <v>B25015910</v>
          </cell>
          <cell r="AP6156">
            <v>0</v>
          </cell>
          <cell r="AQ6156">
            <v>0</v>
          </cell>
          <cell r="AV6156">
            <v>4560000</v>
          </cell>
        </row>
        <row r="6157">
          <cell r="E6157" t="str">
            <v>T25001806</v>
          </cell>
          <cell r="AP6157">
            <v>0</v>
          </cell>
          <cell r="AQ6157">
            <v>0</v>
          </cell>
          <cell r="AV6157">
            <v>3875000</v>
          </cell>
        </row>
        <row r="6158">
          <cell r="E6158" t="str">
            <v>D25018398</v>
          </cell>
          <cell r="AP6158">
            <v>0</v>
          </cell>
          <cell r="AQ6158">
            <v>0</v>
          </cell>
          <cell r="AV6158">
            <v>5312500</v>
          </cell>
        </row>
        <row r="6159">
          <cell r="E6159" t="str">
            <v>T25001820</v>
          </cell>
          <cell r="AP6159">
            <v>0</v>
          </cell>
          <cell r="AQ6159">
            <v>0</v>
          </cell>
          <cell r="AV6159">
            <v>6520000</v>
          </cell>
        </row>
        <row r="6160">
          <cell r="E6160" t="str">
            <v>D25018620</v>
          </cell>
          <cell r="AP6160">
            <v>0</v>
          </cell>
          <cell r="AQ6160">
            <v>0</v>
          </cell>
          <cell r="AV6160">
            <v>5400000</v>
          </cell>
        </row>
        <row r="6161">
          <cell r="E6161" t="str">
            <v>D25018908</v>
          </cell>
          <cell r="AP6161">
            <v>0</v>
          </cell>
          <cell r="AQ6161">
            <v>0</v>
          </cell>
          <cell r="AV6161">
            <v>2355000</v>
          </cell>
        </row>
        <row r="6162">
          <cell r="E6162" t="str">
            <v>B25017094</v>
          </cell>
          <cell r="AP6162">
            <v>0</v>
          </cell>
          <cell r="AQ6162">
            <v>0</v>
          </cell>
          <cell r="AV6162">
            <v>18000000</v>
          </cell>
        </row>
        <row r="6163">
          <cell r="E6163" t="str">
            <v>D26000236</v>
          </cell>
          <cell r="AP6163">
            <v>0</v>
          </cell>
          <cell r="AQ6163">
            <v>0</v>
          </cell>
          <cell r="AV6163">
            <v>3200000</v>
          </cell>
        </row>
        <row r="6164">
          <cell r="E6164" t="str">
            <v>D26000484</v>
          </cell>
          <cell r="AP6164">
            <v>0</v>
          </cell>
          <cell r="AQ6164">
            <v>0</v>
          </cell>
          <cell r="AV6164">
            <v>1800000</v>
          </cell>
        </row>
        <row r="6165">
          <cell r="E6165" t="str">
            <v>B26000798</v>
          </cell>
          <cell r="AP6165">
            <v>0</v>
          </cell>
          <cell r="AQ6165">
            <v>0</v>
          </cell>
          <cell r="AV6165">
            <v>2460000</v>
          </cell>
        </row>
        <row r="6166">
          <cell r="E6166" t="str">
            <v>B26001036</v>
          </cell>
          <cell r="AP6166">
            <v>0</v>
          </cell>
          <cell r="AQ6166">
            <v>0</v>
          </cell>
          <cell r="AV6166">
            <v>10800000</v>
          </cell>
        </row>
        <row r="6167">
          <cell r="E6167" t="str">
            <v>B26001058</v>
          </cell>
          <cell r="AP6167">
            <v>0</v>
          </cell>
          <cell r="AQ6167">
            <v>0</v>
          </cell>
          <cell r="AV6167">
            <v>3060000</v>
          </cell>
        </row>
        <row r="6168">
          <cell r="E6168" t="str">
            <v>T26000082</v>
          </cell>
          <cell r="AP6168">
            <v>0</v>
          </cell>
          <cell r="AQ6168">
            <v>0</v>
          </cell>
          <cell r="AV6168">
            <v>700000</v>
          </cell>
        </row>
        <row r="6169">
          <cell r="E6169" t="str">
            <v>D26001957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B26001646</v>
          </cell>
          <cell r="AP6170">
            <v>0</v>
          </cell>
          <cell r="AQ6170">
            <v>0</v>
          </cell>
          <cell r="AV6170">
            <v>15200</v>
          </cell>
        </row>
        <row r="6171">
          <cell r="E6171" t="str">
            <v>B26001647</v>
          </cell>
          <cell r="AP6171">
            <v>0</v>
          </cell>
          <cell r="AQ6171">
            <v>0</v>
          </cell>
          <cell r="AV6171">
            <v>58000</v>
          </cell>
        </row>
        <row r="6172">
          <cell r="E6172" t="str">
            <v>B26001860</v>
          </cell>
          <cell r="AP6172">
            <v>0</v>
          </cell>
          <cell r="AQ6172">
            <v>0</v>
          </cell>
          <cell r="AV6172">
            <v>0</v>
          </cell>
        </row>
        <row r="6173">
          <cell r="E6173" t="str">
            <v>D25019446</v>
          </cell>
          <cell r="AP6173">
            <v>0</v>
          </cell>
          <cell r="AQ6173">
            <v>0</v>
          </cell>
          <cell r="AV6173">
            <v>0</v>
          </cell>
        </row>
        <row r="6174">
          <cell r="E6174" t="str">
            <v>B25017027</v>
          </cell>
          <cell r="AP6174">
            <v>0</v>
          </cell>
          <cell r="AQ6174">
            <v>0</v>
          </cell>
          <cell r="AV6174">
            <v>0</v>
          </cell>
        </row>
        <row r="6175">
          <cell r="E6175" t="str">
            <v>D25019588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B26000422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B26000424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D26001155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D26001207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D26001364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B26001541</v>
          </cell>
          <cell r="AP6181">
            <v>0</v>
          </cell>
          <cell r="AQ6181">
            <v>0</v>
          </cell>
          <cell r="AV6181">
            <v>0</v>
          </cell>
        </row>
        <row r="6182">
          <cell r="E6182" t="str">
            <v>B26001636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B26001637</v>
          </cell>
          <cell r="AP6183">
            <v>0</v>
          </cell>
          <cell r="AQ6183">
            <v>0</v>
          </cell>
          <cell r="AV6183">
            <v>0</v>
          </cell>
        </row>
        <row r="6184">
          <cell r="E6184" t="str">
            <v>D26001739</v>
          </cell>
          <cell r="AP6184">
            <v>0</v>
          </cell>
          <cell r="AQ6184">
            <v>0</v>
          </cell>
          <cell r="AV6184">
            <v>0</v>
          </cell>
        </row>
        <row r="6185">
          <cell r="E6185" t="str">
            <v>B26001723</v>
          </cell>
          <cell r="AP6185">
            <v>0</v>
          </cell>
          <cell r="AQ6185">
            <v>0</v>
          </cell>
          <cell r="AV6185">
            <v>0</v>
          </cell>
        </row>
        <row r="6186">
          <cell r="E6186" t="str">
            <v>D26001844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D26001887</v>
          </cell>
          <cell r="AP6187">
            <v>0</v>
          </cell>
          <cell r="AQ6187">
            <v>0</v>
          </cell>
          <cell r="AV6187">
            <v>15380000</v>
          </cell>
        </row>
        <row r="6188">
          <cell r="E6188" t="str">
            <v>C26000098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M26000025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T25001650K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T25001664</v>
          </cell>
          <cell r="AP6191">
            <v>0</v>
          </cell>
          <cell r="AQ6191">
            <v>0</v>
          </cell>
          <cell r="AV6191">
            <v>4360000</v>
          </cell>
        </row>
        <row r="6192">
          <cell r="E6192" t="str">
            <v>D25017969</v>
          </cell>
          <cell r="AP6192">
            <v>0</v>
          </cell>
          <cell r="AQ6192">
            <v>0</v>
          </cell>
          <cell r="AV6192">
            <v>3640000</v>
          </cell>
        </row>
        <row r="6193">
          <cell r="E6193" t="str">
            <v>B26000483</v>
          </cell>
          <cell r="AP6193">
            <v>0</v>
          </cell>
          <cell r="AQ6193">
            <v>0</v>
          </cell>
          <cell r="AV6193">
            <v>0</v>
          </cell>
        </row>
        <row r="6194">
          <cell r="E6194" t="str">
            <v>B26000849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B26001718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B25015014</v>
          </cell>
          <cell r="AP6196">
            <v>0</v>
          </cell>
          <cell r="AQ6196">
            <v>0</v>
          </cell>
          <cell r="AV6196">
            <v>0</v>
          </cell>
        </row>
        <row r="6197">
          <cell r="E6197" t="str">
            <v>D25017847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B25015804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B25016077</v>
          </cell>
          <cell r="AP6199">
            <v>0</v>
          </cell>
          <cell r="AQ6199">
            <v>0</v>
          </cell>
          <cell r="AV6199">
            <v>0</v>
          </cell>
        </row>
        <row r="6200">
          <cell r="E6200" t="str">
            <v>D25018581</v>
          </cell>
          <cell r="AP6200">
            <v>0</v>
          </cell>
          <cell r="AQ6200">
            <v>0</v>
          </cell>
          <cell r="AV6200">
            <v>0</v>
          </cell>
        </row>
        <row r="6201">
          <cell r="E6201" t="str">
            <v>D25018724</v>
          </cell>
          <cell r="AP6201">
            <v>0</v>
          </cell>
          <cell r="AQ6201">
            <v>0</v>
          </cell>
          <cell r="AV6201">
            <v>0</v>
          </cell>
        </row>
        <row r="6202">
          <cell r="E6202" t="str">
            <v>D25018766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B25016403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B25016449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D25018941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D25018968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D25019405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D25019406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B26000104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B26000105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B26000265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B26000266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D26000312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B26000396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D26000509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D26000564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D26000984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B26000961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D26001056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D26001312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B26001407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B26001408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B26001709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D26001768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B26001754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B26001755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D26001978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T26000140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D26000747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D26000751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B26001530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B26001875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B26001093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B25016506</v>
          </cell>
          <cell r="AP6234">
            <v>0</v>
          </cell>
          <cell r="AQ6234">
            <v>0</v>
          </cell>
          <cell r="AV6234">
            <v>3400000</v>
          </cell>
        </row>
        <row r="6235">
          <cell r="E6235" t="str">
            <v>B26000861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B26000967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D26001363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B25016720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B25016527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D26000349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B26001364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T24000579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T26000094</v>
          </cell>
          <cell r="AP6243">
            <v>0</v>
          </cell>
          <cell r="AQ6243">
            <v>0</v>
          </cell>
          <cell r="AV6243">
            <v>0</v>
          </cell>
        </row>
        <row r="6244">
          <cell r="E6244" t="str">
            <v>T26000095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B25016872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D25018456</v>
          </cell>
          <cell r="AP6246">
            <v>0</v>
          </cell>
          <cell r="AQ6246">
            <v>0</v>
          </cell>
          <cell r="AV6246">
            <v>900000</v>
          </cell>
        </row>
        <row r="6247">
          <cell r="E6247" t="str">
            <v>D25018691</v>
          </cell>
          <cell r="AP6247">
            <v>0</v>
          </cell>
          <cell r="AQ6247">
            <v>0</v>
          </cell>
          <cell r="AV6247">
            <v>1720000</v>
          </cell>
        </row>
        <row r="6248">
          <cell r="E6248" t="str">
            <v>D25019380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B25016924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D25019503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B25016963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B26000087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B26001571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B26001572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T26000115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B25016002</v>
          </cell>
          <cell r="AP6256">
            <v>0</v>
          </cell>
          <cell r="AQ6256">
            <v>0</v>
          </cell>
          <cell r="AV6256">
            <v>7551000</v>
          </cell>
        </row>
        <row r="6257">
          <cell r="E6257" t="str">
            <v>B25016440</v>
          </cell>
          <cell r="AP6257">
            <v>0</v>
          </cell>
          <cell r="AQ6257">
            <v>0</v>
          </cell>
          <cell r="AV6257">
            <v>0</v>
          </cell>
        </row>
        <row r="6258">
          <cell r="E6258" t="str">
            <v>D25019251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B25016920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B26000197</v>
          </cell>
          <cell r="AP6260">
            <v>0</v>
          </cell>
          <cell r="AQ6260">
            <v>0</v>
          </cell>
          <cell r="AV6260">
            <v>3300000</v>
          </cell>
        </row>
        <row r="6261">
          <cell r="E6261" t="str">
            <v>D26000285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D26000339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D26000436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B26000448</v>
          </cell>
          <cell r="AP6264">
            <v>0</v>
          </cell>
          <cell r="AQ6264">
            <v>0</v>
          </cell>
          <cell r="AV6264">
            <v>630000</v>
          </cell>
        </row>
        <row r="6265">
          <cell r="E6265" t="str">
            <v>B26000969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B26000989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B26001057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D26001086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D26001087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D26001226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D26001227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D26001387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D26001410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B26001391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D26001471</v>
          </cell>
          <cell r="AP6275">
            <v>0</v>
          </cell>
          <cell r="AQ6275">
            <v>0</v>
          </cell>
          <cell r="AV6275">
            <v>0</v>
          </cell>
        </row>
        <row r="6276">
          <cell r="E6276" t="str">
            <v>D26002048</v>
          </cell>
          <cell r="AP6276">
            <v>0</v>
          </cell>
          <cell r="AQ6276">
            <v>0</v>
          </cell>
          <cell r="AV6276">
            <v>0</v>
          </cell>
        </row>
        <row r="6277">
          <cell r="E6277" t="str">
            <v>D25017696</v>
          </cell>
          <cell r="AP6277">
            <v>0</v>
          </cell>
          <cell r="AQ6277">
            <v>0</v>
          </cell>
          <cell r="AV6277">
            <v>0</v>
          </cell>
        </row>
        <row r="6278">
          <cell r="E6278" t="str">
            <v>D25017697</v>
          </cell>
          <cell r="AP6278">
            <v>0</v>
          </cell>
          <cell r="AQ6278">
            <v>0</v>
          </cell>
          <cell r="AV6278">
            <v>0</v>
          </cell>
        </row>
        <row r="6279">
          <cell r="E6279" t="str">
            <v>D26002014</v>
          </cell>
          <cell r="AP6279">
            <v>0</v>
          </cell>
          <cell r="AQ6279">
            <v>0</v>
          </cell>
          <cell r="AV6279">
            <v>22800000</v>
          </cell>
        </row>
        <row r="6280">
          <cell r="E6280" t="str">
            <v>D26000941</v>
          </cell>
          <cell r="AP6280">
            <v>0</v>
          </cell>
          <cell r="AQ6280">
            <v>0</v>
          </cell>
          <cell r="AV6280">
            <v>0</v>
          </cell>
        </row>
        <row r="6281">
          <cell r="E6281" t="str">
            <v>D26001067</v>
          </cell>
          <cell r="AP6281">
            <v>0</v>
          </cell>
          <cell r="AQ6281">
            <v>0</v>
          </cell>
          <cell r="AV6281">
            <v>0</v>
          </cell>
        </row>
        <row r="6282">
          <cell r="E6282" t="str">
            <v>D26001771</v>
          </cell>
          <cell r="AP6282">
            <v>0</v>
          </cell>
          <cell r="AQ6282">
            <v>0</v>
          </cell>
          <cell r="AV6282">
            <v>385000</v>
          </cell>
        </row>
        <row r="6283">
          <cell r="E6283" t="str">
            <v>B26001566</v>
          </cell>
          <cell r="AP6283">
            <v>0</v>
          </cell>
          <cell r="AQ6283">
            <v>0</v>
          </cell>
          <cell r="AV6283">
            <v>6120000</v>
          </cell>
        </row>
        <row r="6285">
          <cell r="E6285" t="str">
            <v>x</v>
          </cell>
          <cell r="AP6285" t="str">
            <v>x</v>
          </cell>
          <cell r="AQ6285" t="str">
            <v>x</v>
          </cell>
          <cell r="AV6285" t="str">
            <v>x</v>
          </cell>
        </row>
        <row r="6286">
          <cell r="AP6286">
            <v>62285163</v>
          </cell>
          <cell r="AQ6286">
            <v>8180544250</v>
          </cell>
          <cell r="AV6286">
            <v>22266510344.510002</v>
          </cell>
        </row>
        <row r="6287">
          <cell r="AQ6287">
            <v>8180769500</v>
          </cell>
        </row>
        <row r="6288">
          <cell r="AQ6288">
            <v>-225250</v>
          </cell>
        </row>
        <row r="6289">
          <cell r="AQ6289">
            <v>-225250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 "/>
      <sheetName val="Sheet2"/>
    </sheetNames>
    <sheetDataSet>
      <sheetData sheetId="0">
        <row r="12">
          <cell r="E12" t="str">
            <v>Andri Pristianto</v>
          </cell>
          <cell r="I12">
            <v>903500</v>
          </cell>
          <cell r="L12">
            <v>0</v>
          </cell>
          <cell r="M12">
            <v>903500</v>
          </cell>
        </row>
        <row r="13">
          <cell r="E13" t="str">
            <v>Aris/Tanindo</v>
          </cell>
          <cell r="I13">
            <v>13000000</v>
          </cell>
          <cell r="L13">
            <v>0</v>
          </cell>
          <cell r="M13">
            <v>13000000</v>
          </cell>
        </row>
        <row r="14">
          <cell r="E14" t="str">
            <v>Benih Citra Asia, PT</v>
          </cell>
          <cell r="I14">
            <v>1920000</v>
          </cell>
          <cell r="L14">
            <v>0</v>
          </cell>
          <cell r="M14">
            <v>1920000</v>
          </cell>
        </row>
        <row r="15">
          <cell r="E15" t="str">
            <v>Benih Citra Asia, PT</v>
          </cell>
          <cell r="I15">
            <v>21000</v>
          </cell>
          <cell r="L15">
            <v>0</v>
          </cell>
          <cell r="M15">
            <v>21000</v>
          </cell>
        </row>
        <row r="16">
          <cell r="E16" t="str">
            <v>Bima Tani Jaya/Kevin Pratama</v>
          </cell>
          <cell r="I16">
            <v>11400000</v>
          </cell>
          <cell r="L16">
            <v>0</v>
          </cell>
          <cell r="M16">
            <v>11400000</v>
          </cell>
        </row>
        <row r="17">
          <cell r="E17" t="str">
            <v>Bima Tani Jaya/Kevin Pratama</v>
          </cell>
          <cell r="I17">
            <v>1150000</v>
          </cell>
          <cell r="L17">
            <v>1150000</v>
          </cell>
          <cell r="M17">
            <v>0</v>
          </cell>
        </row>
        <row r="18">
          <cell r="E18" t="str">
            <v>Bima Tani Jaya/Kevin Pratama</v>
          </cell>
          <cell r="I18">
            <v>9500000</v>
          </cell>
          <cell r="L18">
            <v>0</v>
          </cell>
          <cell r="M18">
            <v>9500000</v>
          </cell>
        </row>
        <row r="19">
          <cell r="E19" t="str">
            <v>Bima Tani Jaya/Kevin Pratama</v>
          </cell>
          <cell r="I19">
            <v>3400000</v>
          </cell>
          <cell r="L19">
            <v>3400000</v>
          </cell>
          <cell r="M19">
            <v>0</v>
          </cell>
        </row>
        <row r="20">
          <cell r="E20" t="str">
            <v>Bima Tani Jaya/Kevin Pratama</v>
          </cell>
          <cell r="I20">
            <v>1700000</v>
          </cell>
          <cell r="L20">
            <v>1700000</v>
          </cell>
          <cell r="M20">
            <v>0</v>
          </cell>
        </row>
        <row r="21">
          <cell r="E21" t="str">
            <v>Bima Tani Jaya/Kevin Pratama</v>
          </cell>
          <cell r="I21">
            <v>8620000</v>
          </cell>
          <cell r="L21">
            <v>0</v>
          </cell>
          <cell r="M21">
            <v>8620000</v>
          </cell>
        </row>
        <row r="22">
          <cell r="E22" t="str">
            <v>Damar Batur Nusantara</v>
          </cell>
          <cell r="I22">
            <v>82605000</v>
          </cell>
          <cell r="L22">
            <v>82605000</v>
          </cell>
          <cell r="M22">
            <v>0</v>
          </cell>
        </row>
        <row r="23">
          <cell r="E23" t="str">
            <v>Damar Batur Nusantara</v>
          </cell>
          <cell r="I23">
            <v>49100000</v>
          </cell>
          <cell r="L23">
            <v>0</v>
          </cell>
          <cell r="M23">
            <v>49100000</v>
          </cell>
        </row>
        <row r="24">
          <cell r="E24" t="str">
            <v>Damar Batur Nusantara</v>
          </cell>
          <cell r="I24">
            <v>4177000</v>
          </cell>
          <cell r="L24">
            <v>2395000</v>
          </cell>
          <cell r="M24">
            <v>1782000</v>
          </cell>
        </row>
        <row r="25">
          <cell r="E25" t="str">
            <v>Damar Batur Nusantara</v>
          </cell>
          <cell r="I25">
            <v>2880000</v>
          </cell>
          <cell r="L25">
            <v>0</v>
          </cell>
          <cell r="M25">
            <v>2880000</v>
          </cell>
        </row>
        <row r="26">
          <cell r="E26" t="str">
            <v>Damar Batur Nusantara</v>
          </cell>
          <cell r="I26">
            <v>13875000</v>
          </cell>
          <cell r="L26">
            <v>0</v>
          </cell>
          <cell r="M26">
            <v>13875000</v>
          </cell>
        </row>
        <row r="27">
          <cell r="E27" t="str">
            <v>Damar Batur Nusantara</v>
          </cell>
          <cell r="I27">
            <v>3060000</v>
          </cell>
          <cell r="L27">
            <v>0</v>
          </cell>
          <cell r="M27">
            <v>3060000</v>
          </cell>
        </row>
        <row r="28">
          <cell r="E28" t="str">
            <v>Han Cin</v>
          </cell>
          <cell r="I28">
            <v>4527500</v>
          </cell>
          <cell r="L28">
            <v>0</v>
          </cell>
          <cell r="M28">
            <v>4527500</v>
          </cell>
        </row>
        <row r="29">
          <cell r="E29" t="str">
            <v>Han Cin</v>
          </cell>
          <cell r="I29">
            <v>20845000</v>
          </cell>
          <cell r="L29">
            <v>0</v>
          </cell>
          <cell r="M29">
            <v>20845000</v>
          </cell>
        </row>
        <row r="30">
          <cell r="E30" t="str">
            <v>Helmi Sarwoko</v>
          </cell>
          <cell r="I30">
            <v>13480000</v>
          </cell>
          <cell r="L30">
            <v>0</v>
          </cell>
          <cell r="M30">
            <v>13480000</v>
          </cell>
        </row>
        <row r="31">
          <cell r="E31" t="str">
            <v>Helmi Sarwoko</v>
          </cell>
          <cell r="I31">
            <v>4650000</v>
          </cell>
          <cell r="L31">
            <v>0</v>
          </cell>
          <cell r="M31">
            <v>4650000</v>
          </cell>
        </row>
        <row r="32">
          <cell r="E32" t="str">
            <v>Imam/Tanindo</v>
          </cell>
          <cell r="I32">
            <v>13860000</v>
          </cell>
          <cell r="L32">
            <v>0</v>
          </cell>
          <cell r="M32">
            <v>13860000</v>
          </cell>
        </row>
        <row r="33">
          <cell r="E33" t="str">
            <v>Imam/Tanindo</v>
          </cell>
          <cell r="I33">
            <v>15000000</v>
          </cell>
          <cell r="L33">
            <v>0</v>
          </cell>
          <cell r="M33">
            <v>15000000</v>
          </cell>
        </row>
        <row r="34">
          <cell r="E34" t="str">
            <v>Imam/Tanindo</v>
          </cell>
          <cell r="I34">
            <v>12250000</v>
          </cell>
          <cell r="L34">
            <v>0</v>
          </cell>
          <cell r="M34">
            <v>12250000</v>
          </cell>
        </row>
        <row r="35">
          <cell r="E35" t="str">
            <v>Imam/Tanindo</v>
          </cell>
          <cell r="I35">
            <v>495000</v>
          </cell>
          <cell r="L35">
            <v>0</v>
          </cell>
          <cell r="M35">
            <v>495000</v>
          </cell>
        </row>
        <row r="36">
          <cell r="E36" t="str">
            <v>Imam/Tanindo</v>
          </cell>
          <cell r="I36">
            <v>495000</v>
          </cell>
          <cell r="L36">
            <v>0</v>
          </cell>
          <cell r="M36">
            <v>495000</v>
          </cell>
        </row>
        <row r="37">
          <cell r="E37" t="str">
            <v>Imam/Tanindo</v>
          </cell>
          <cell r="I37">
            <v>495000</v>
          </cell>
          <cell r="L37">
            <v>0</v>
          </cell>
          <cell r="M37">
            <v>495000</v>
          </cell>
        </row>
        <row r="38">
          <cell r="E38" t="str">
            <v>Imam/Tanindo</v>
          </cell>
          <cell r="I38">
            <v>495000</v>
          </cell>
          <cell r="L38">
            <v>0</v>
          </cell>
          <cell r="M38">
            <v>495000</v>
          </cell>
        </row>
        <row r="39">
          <cell r="E39" t="str">
            <v>Imam/Tanindo</v>
          </cell>
          <cell r="I39">
            <v>396000</v>
          </cell>
          <cell r="L39">
            <v>0</v>
          </cell>
          <cell r="M39">
            <v>396000</v>
          </cell>
        </row>
        <row r="40">
          <cell r="E40" t="str">
            <v>Imam/Tanindo</v>
          </cell>
          <cell r="I40">
            <v>16128500</v>
          </cell>
          <cell r="L40">
            <v>0</v>
          </cell>
          <cell r="M40">
            <v>16128500</v>
          </cell>
        </row>
        <row r="41">
          <cell r="E41" t="str">
            <v>Imam/Tanindo</v>
          </cell>
          <cell r="I41">
            <v>330000</v>
          </cell>
          <cell r="L41">
            <v>0</v>
          </cell>
          <cell r="M41">
            <v>330000</v>
          </cell>
        </row>
        <row r="42">
          <cell r="E42" t="str">
            <v>Imam/Tanindo</v>
          </cell>
          <cell r="I42">
            <v>825000</v>
          </cell>
          <cell r="L42">
            <v>0</v>
          </cell>
          <cell r="M42">
            <v>825000</v>
          </cell>
        </row>
        <row r="43">
          <cell r="E43" t="str">
            <v>Imam/Tanindo</v>
          </cell>
          <cell r="I43">
            <v>16700000</v>
          </cell>
          <cell r="L43">
            <v>0</v>
          </cell>
          <cell r="M43">
            <v>16700000</v>
          </cell>
        </row>
        <row r="44">
          <cell r="E44" t="str">
            <v>Kalatham, PT</v>
          </cell>
          <cell r="I44">
            <v>121297750</v>
          </cell>
          <cell r="L44">
            <v>0</v>
          </cell>
          <cell r="M44">
            <v>121297750</v>
          </cell>
        </row>
        <row r="45">
          <cell r="E45" t="str">
            <v>Kalatham, PT</v>
          </cell>
          <cell r="I45">
            <v>35564000</v>
          </cell>
          <cell r="L45">
            <v>0</v>
          </cell>
          <cell r="M45">
            <v>35564000</v>
          </cell>
        </row>
        <row r="46">
          <cell r="E46" t="str">
            <v>Nugroho Idi Sasetyo</v>
          </cell>
          <cell r="I46">
            <v>19755000</v>
          </cell>
          <cell r="L46">
            <v>0</v>
          </cell>
          <cell r="M46">
            <v>19755000</v>
          </cell>
        </row>
        <row r="47">
          <cell r="E47" t="str">
            <v>Nugroho Idi Sasetyo</v>
          </cell>
          <cell r="I47">
            <v>22350000</v>
          </cell>
          <cell r="L47">
            <v>0</v>
          </cell>
          <cell r="M47">
            <v>22350000</v>
          </cell>
        </row>
        <row r="48">
          <cell r="E48" t="str">
            <v>Nugroho Susilo/MSI</v>
          </cell>
          <cell r="I48">
            <v>15089000</v>
          </cell>
          <cell r="L48">
            <v>0</v>
          </cell>
          <cell r="M48">
            <v>15089000</v>
          </cell>
        </row>
        <row r="49">
          <cell r="E49" t="str">
            <v>Al Badar/Badar, H</v>
          </cell>
          <cell r="I49">
            <v>1720000</v>
          </cell>
          <cell r="L49">
            <v>1720000</v>
          </cell>
          <cell r="M49">
            <v>0</v>
          </cell>
        </row>
        <row r="50">
          <cell r="E50" t="str">
            <v>Al Badar/Badar, H</v>
          </cell>
          <cell r="I50">
            <v>1750000</v>
          </cell>
          <cell r="L50">
            <v>1750000</v>
          </cell>
          <cell r="M50">
            <v>0</v>
          </cell>
        </row>
        <row r="51">
          <cell r="E51" t="str">
            <v>Al Badar/Badar, H</v>
          </cell>
          <cell r="I51">
            <v>1800000</v>
          </cell>
          <cell r="L51">
            <v>1800000</v>
          </cell>
          <cell r="M51">
            <v>0</v>
          </cell>
        </row>
        <row r="52">
          <cell r="E52" t="str">
            <v>Al Badar/Badar, H</v>
          </cell>
          <cell r="I52">
            <v>1500000</v>
          </cell>
          <cell r="L52">
            <v>0</v>
          </cell>
          <cell r="M52">
            <v>1500000</v>
          </cell>
        </row>
        <row r="53">
          <cell r="E53" t="str">
            <v>Al Badar/Badar, H</v>
          </cell>
          <cell r="I53">
            <v>3360000</v>
          </cell>
          <cell r="L53">
            <v>0</v>
          </cell>
          <cell r="M53">
            <v>3360000</v>
          </cell>
        </row>
        <row r="54">
          <cell r="E54" t="str">
            <v>Bang Jali/Achmad Gozali</v>
          </cell>
          <cell r="I54">
            <v>15000000</v>
          </cell>
          <cell r="L54">
            <v>0</v>
          </cell>
          <cell r="M54">
            <v>15000000</v>
          </cell>
        </row>
        <row r="55">
          <cell r="E55" t="str">
            <v>Berkah Tani/Intan Sri</v>
          </cell>
          <cell r="I55">
            <v>2140000</v>
          </cell>
          <cell r="L55">
            <v>0</v>
          </cell>
          <cell r="M55">
            <v>2140000</v>
          </cell>
        </row>
        <row r="56">
          <cell r="E56" t="str">
            <v>Bima Tani Jaya/Kevin Pratama</v>
          </cell>
          <cell r="I56">
            <v>13300000</v>
          </cell>
          <cell r="L56">
            <v>0</v>
          </cell>
          <cell r="M56">
            <v>13300000</v>
          </cell>
        </row>
        <row r="57">
          <cell r="E57" t="str">
            <v>Bima Tani Jaya/Kevin Pratama</v>
          </cell>
          <cell r="I57">
            <v>1717500</v>
          </cell>
          <cell r="L57">
            <v>0</v>
          </cell>
          <cell r="M57">
            <v>1717500</v>
          </cell>
        </row>
        <row r="58">
          <cell r="E58" t="str">
            <v>Bima Tani Jaya/Kevin Pratama</v>
          </cell>
          <cell r="I58">
            <v>674500</v>
          </cell>
          <cell r="L58">
            <v>0</v>
          </cell>
          <cell r="M58">
            <v>674500</v>
          </cell>
        </row>
        <row r="59">
          <cell r="E59" t="str">
            <v>Bima Tani Jaya/Kevin Pratama</v>
          </cell>
          <cell r="I59">
            <v>285000</v>
          </cell>
          <cell r="L59">
            <v>0</v>
          </cell>
          <cell r="M59">
            <v>285000</v>
          </cell>
        </row>
        <row r="60">
          <cell r="E60" t="str">
            <v>Bima Tani Jaya/Kevin Pratama</v>
          </cell>
          <cell r="I60">
            <v>462500</v>
          </cell>
          <cell r="L60">
            <v>0</v>
          </cell>
          <cell r="M60">
            <v>462500</v>
          </cell>
        </row>
        <row r="61">
          <cell r="E61" t="str">
            <v>Bima Tani Jaya/Kevin Pratama</v>
          </cell>
          <cell r="I61">
            <v>1950000</v>
          </cell>
          <cell r="L61">
            <v>0</v>
          </cell>
          <cell r="M61">
            <v>1950000</v>
          </cell>
        </row>
        <row r="62">
          <cell r="E62" t="str">
            <v>Bima Tani Jaya/Kevin Pratama</v>
          </cell>
          <cell r="I62">
            <v>1720000</v>
          </cell>
          <cell r="L62">
            <v>0</v>
          </cell>
          <cell r="M62">
            <v>1720000</v>
          </cell>
        </row>
        <row r="63">
          <cell r="E63" t="str">
            <v>Bima Tani Jaya/Kevin Pratama</v>
          </cell>
          <cell r="I63">
            <v>852000</v>
          </cell>
          <cell r="L63">
            <v>0</v>
          </cell>
          <cell r="M63">
            <v>852000</v>
          </cell>
        </row>
        <row r="64">
          <cell r="E64" t="str">
            <v>Bima Tani Jaya/Kevin Pratama</v>
          </cell>
          <cell r="I64">
            <v>1395000</v>
          </cell>
          <cell r="L64">
            <v>0</v>
          </cell>
          <cell r="M64">
            <v>1395000</v>
          </cell>
        </row>
        <row r="65">
          <cell r="E65" t="str">
            <v>Bima Tani Jaya/Kevin Pratama</v>
          </cell>
          <cell r="I65">
            <v>540000</v>
          </cell>
          <cell r="L65">
            <v>0</v>
          </cell>
          <cell r="M65">
            <v>540000</v>
          </cell>
        </row>
        <row r="66">
          <cell r="E66" t="str">
            <v>Bima Tani Jaya/Kevin Pratama</v>
          </cell>
          <cell r="I66">
            <v>2000000</v>
          </cell>
          <cell r="L66">
            <v>0</v>
          </cell>
          <cell r="M66">
            <v>2000000</v>
          </cell>
        </row>
        <row r="67">
          <cell r="E67" t="str">
            <v>Bima Tani Jaya/Kevin Pratama</v>
          </cell>
          <cell r="I67">
            <v>1900000</v>
          </cell>
          <cell r="L67">
            <v>0</v>
          </cell>
          <cell r="M67">
            <v>1900000</v>
          </cell>
        </row>
        <row r="68">
          <cell r="E68" t="str">
            <v>Bima Tani Jaya/Kevin Pratama</v>
          </cell>
          <cell r="I68">
            <v>1836000</v>
          </cell>
          <cell r="L68">
            <v>0</v>
          </cell>
          <cell r="M68">
            <v>1836000</v>
          </cell>
        </row>
        <row r="69">
          <cell r="E69" t="str">
            <v>Bima Tani Jaya/Kevin Pratama</v>
          </cell>
          <cell r="I69">
            <v>5700000</v>
          </cell>
          <cell r="L69">
            <v>0</v>
          </cell>
          <cell r="M69">
            <v>5700000</v>
          </cell>
        </row>
        <row r="70">
          <cell r="E70" t="str">
            <v>Bima Tani Jaya/Kevin Pratama</v>
          </cell>
          <cell r="I70">
            <v>955000</v>
          </cell>
          <cell r="L70">
            <v>0</v>
          </cell>
          <cell r="M70">
            <v>955000</v>
          </cell>
        </row>
        <row r="71">
          <cell r="E71" t="str">
            <v>Bima Tani Jaya/Kevin Pratama</v>
          </cell>
          <cell r="I71">
            <v>3960000</v>
          </cell>
          <cell r="L71">
            <v>0</v>
          </cell>
          <cell r="M71">
            <v>3960000</v>
          </cell>
        </row>
        <row r="72">
          <cell r="E72" t="str">
            <v>Bima Tani Jaya/Kevin Pratama</v>
          </cell>
          <cell r="I72">
            <v>20800000</v>
          </cell>
          <cell r="L72">
            <v>0</v>
          </cell>
          <cell r="M72">
            <v>20800000</v>
          </cell>
        </row>
        <row r="73">
          <cell r="E73" t="str">
            <v>Bima Tani Jaya/Kevin Pratama</v>
          </cell>
          <cell r="I73">
            <v>1260000</v>
          </cell>
          <cell r="L73">
            <v>0</v>
          </cell>
          <cell r="M73">
            <v>1260000</v>
          </cell>
        </row>
        <row r="74">
          <cell r="E74" t="str">
            <v>Bima Tani Jaya/Kevin Pratama</v>
          </cell>
          <cell r="I74">
            <v>718000</v>
          </cell>
          <cell r="L74">
            <v>0</v>
          </cell>
          <cell r="M74">
            <v>718000</v>
          </cell>
        </row>
        <row r="75">
          <cell r="E75" t="str">
            <v>Bima Tani Jaya/Kevin Pratama</v>
          </cell>
          <cell r="I75">
            <v>1635000</v>
          </cell>
          <cell r="L75">
            <v>0</v>
          </cell>
          <cell r="M75">
            <v>1635000</v>
          </cell>
        </row>
        <row r="76">
          <cell r="E76" t="str">
            <v>Bima Tani Jaya/Kevin Pratama</v>
          </cell>
          <cell r="I76">
            <v>415000</v>
          </cell>
          <cell r="L76">
            <v>0</v>
          </cell>
          <cell r="M76">
            <v>415000</v>
          </cell>
        </row>
        <row r="77">
          <cell r="E77" t="str">
            <v>Bima Tani Jaya/Kevin Pratama</v>
          </cell>
          <cell r="I77">
            <v>2060000</v>
          </cell>
          <cell r="L77">
            <v>0</v>
          </cell>
          <cell r="M77">
            <v>2060000</v>
          </cell>
        </row>
        <row r="78">
          <cell r="E78" t="str">
            <v>Bima Tani Jaya/Kevin Pratama</v>
          </cell>
          <cell r="I78">
            <v>8400000</v>
          </cell>
          <cell r="L78">
            <v>0</v>
          </cell>
          <cell r="M78">
            <v>8400000</v>
          </cell>
        </row>
        <row r="79">
          <cell r="E79" t="str">
            <v>Bima Tani Jaya/Kevin Pratama</v>
          </cell>
          <cell r="I79">
            <v>1347500</v>
          </cell>
          <cell r="L79">
            <v>0</v>
          </cell>
          <cell r="M79">
            <v>1347500</v>
          </cell>
        </row>
        <row r="80">
          <cell r="E80" t="str">
            <v>Bima Tani Jaya/Kevin Pratama</v>
          </cell>
          <cell r="I80">
            <v>3720000</v>
          </cell>
          <cell r="L80">
            <v>0</v>
          </cell>
          <cell r="M80">
            <v>3720000</v>
          </cell>
        </row>
        <row r="81">
          <cell r="E81" t="str">
            <v>Bumi Jaya, UD/Farida</v>
          </cell>
          <cell r="I81">
            <v>13058750</v>
          </cell>
          <cell r="L81">
            <v>4000000</v>
          </cell>
          <cell r="M81">
            <v>9058750</v>
          </cell>
        </row>
        <row r="82">
          <cell r="E82" t="str">
            <v>Bumi Jaya, UD/Farida</v>
          </cell>
          <cell r="I82">
            <v>11000000</v>
          </cell>
          <cell r="L82">
            <v>0</v>
          </cell>
          <cell r="M82">
            <v>11000000</v>
          </cell>
        </row>
        <row r="83">
          <cell r="E83" t="str">
            <v>Bumi Jaya, UD/Farida</v>
          </cell>
          <cell r="I83">
            <v>24720000</v>
          </cell>
          <cell r="L83">
            <v>0</v>
          </cell>
          <cell r="M83">
            <v>24720000</v>
          </cell>
        </row>
        <row r="84">
          <cell r="E84" t="str">
            <v>Bumi Jaya, UD/Farida</v>
          </cell>
          <cell r="I84">
            <v>10412500</v>
          </cell>
          <cell r="L84">
            <v>0</v>
          </cell>
          <cell r="M84">
            <v>10412500</v>
          </cell>
        </row>
        <row r="85">
          <cell r="E85" t="str">
            <v>Damar Batur Nusantara</v>
          </cell>
          <cell r="I85">
            <v>2250000</v>
          </cell>
          <cell r="L85">
            <v>0</v>
          </cell>
          <cell r="M85">
            <v>2250000</v>
          </cell>
        </row>
        <row r="86">
          <cell r="E86" t="str">
            <v>Damar Batur Nusantara</v>
          </cell>
          <cell r="I86">
            <v>27750000</v>
          </cell>
          <cell r="L86">
            <v>0</v>
          </cell>
          <cell r="M86">
            <v>27750000</v>
          </cell>
        </row>
        <row r="87">
          <cell r="E87" t="str">
            <v>Damar Batur Nusantara</v>
          </cell>
          <cell r="I87">
            <v>47500000</v>
          </cell>
          <cell r="L87">
            <v>0</v>
          </cell>
          <cell r="M87">
            <v>47500000</v>
          </cell>
        </row>
        <row r="88">
          <cell r="E88" t="str">
            <v>Damar Batur Nusantara</v>
          </cell>
          <cell r="I88">
            <v>5400000</v>
          </cell>
          <cell r="L88">
            <v>0</v>
          </cell>
          <cell r="M88">
            <v>5400000</v>
          </cell>
        </row>
        <row r="89">
          <cell r="E89" t="str">
            <v>Damar Batur Nusantara</v>
          </cell>
          <cell r="I89">
            <v>27750000</v>
          </cell>
          <cell r="L89">
            <v>0</v>
          </cell>
          <cell r="M89">
            <v>27750000</v>
          </cell>
        </row>
        <row r="90">
          <cell r="E90" t="str">
            <v>Damar Batur Nusantara</v>
          </cell>
          <cell r="I90">
            <v>14200000</v>
          </cell>
          <cell r="L90">
            <v>0</v>
          </cell>
          <cell r="M90">
            <v>14200000</v>
          </cell>
        </row>
        <row r="91">
          <cell r="E91" t="str">
            <v>Damar Batur Nusantara</v>
          </cell>
          <cell r="I91">
            <v>9450000</v>
          </cell>
          <cell r="L91">
            <v>0</v>
          </cell>
          <cell r="M91">
            <v>9450000</v>
          </cell>
        </row>
        <row r="92">
          <cell r="E92" t="str">
            <v>Damar Batur Nusantara</v>
          </cell>
          <cell r="I92">
            <v>96000000</v>
          </cell>
          <cell r="L92">
            <v>0</v>
          </cell>
          <cell r="M92">
            <v>96000000</v>
          </cell>
        </row>
        <row r="93">
          <cell r="E93" t="str">
            <v>Damar Batur Nusantara</v>
          </cell>
          <cell r="I93">
            <v>8180000</v>
          </cell>
          <cell r="L93">
            <v>0</v>
          </cell>
          <cell r="M93">
            <v>8180000</v>
          </cell>
        </row>
        <row r="94">
          <cell r="E94" t="str">
            <v>Damar Batur Nusantara</v>
          </cell>
          <cell r="I94">
            <v>5700000</v>
          </cell>
          <cell r="L94">
            <v>0</v>
          </cell>
          <cell r="M94">
            <v>5700000</v>
          </cell>
        </row>
        <row r="95">
          <cell r="E95" t="str">
            <v>Damar Batur Nusantara</v>
          </cell>
          <cell r="I95">
            <v>7200000</v>
          </cell>
          <cell r="L95">
            <v>0</v>
          </cell>
          <cell r="M95">
            <v>7200000</v>
          </cell>
        </row>
        <row r="96">
          <cell r="E96" t="str">
            <v>Damar Batur Nusantara</v>
          </cell>
          <cell r="I96">
            <v>2700000</v>
          </cell>
          <cell r="L96">
            <v>0</v>
          </cell>
          <cell r="M96">
            <v>2700000</v>
          </cell>
        </row>
        <row r="97">
          <cell r="E97" t="str">
            <v>Damar Batur Nusantara</v>
          </cell>
          <cell r="I97">
            <v>33000000</v>
          </cell>
          <cell r="L97">
            <v>0</v>
          </cell>
          <cell r="M97">
            <v>33000000</v>
          </cell>
        </row>
        <row r="98">
          <cell r="E98" t="str">
            <v>Damar Batur Nusantara</v>
          </cell>
          <cell r="I98">
            <v>17707500</v>
          </cell>
          <cell r="L98">
            <v>0</v>
          </cell>
          <cell r="M98">
            <v>17707500</v>
          </cell>
        </row>
        <row r="99">
          <cell r="E99" t="str">
            <v>Damar Batur Nusantara</v>
          </cell>
          <cell r="I99">
            <v>517500</v>
          </cell>
          <cell r="L99">
            <v>0</v>
          </cell>
          <cell r="M99">
            <v>517500</v>
          </cell>
        </row>
        <row r="100">
          <cell r="E100" t="str">
            <v>Damar Batur Nusantara</v>
          </cell>
          <cell r="I100">
            <v>5200000</v>
          </cell>
          <cell r="L100">
            <v>0</v>
          </cell>
          <cell r="M100">
            <v>5200000</v>
          </cell>
        </row>
        <row r="101">
          <cell r="E101" t="str">
            <v>Damar Batur Nusantara</v>
          </cell>
          <cell r="I101">
            <v>47500000</v>
          </cell>
          <cell r="L101">
            <v>0</v>
          </cell>
          <cell r="M101">
            <v>47500000</v>
          </cell>
        </row>
        <row r="102">
          <cell r="E102" t="str">
            <v>Damar Batur Nusantara</v>
          </cell>
          <cell r="I102">
            <v>2650000</v>
          </cell>
          <cell r="L102">
            <v>0</v>
          </cell>
          <cell r="M102">
            <v>2650000</v>
          </cell>
        </row>
        <row r="103">
          <cell r="E103" t="str">
            <v>Damar Batur Nusantara</v>
          </cell>
          <cell r="I103">
            <v>4980000</v>
          </cell>
          <cell r="L103">
            <v>0</v>
          </cell>
          <cell r="M103">
            <v>4980000</v>
          </cell>
        </row>
        <row r="104">
          <cell r="E104" t="str">
            <v>Damar Batur Nusantara</v>
          </cell>
          <cell r="I104">
            <v>9450000</v>
          </cell>
          <cell r="L104">
            <v>0</v>
          </cell>
          <cell r="M104">
            <v>9450000</v>
          </cell>
        </row>
        <row r="105">
          <cell r="E105" t="str">
            <v>Damar Batur Nusantara</v>
          </cell>
          <cell r="I105">
            <v>36000000</v>
          </cell>
          <cell r="L105">
            <v>0</v>
          </cell>
          <cell r="M105">
            <v>36000000</v>
          </cell>
        </row>
        <row r="106">
          <cell r="E106" t="str">
            <v>Damar Batur Nusantara</v>
          </cell>
          <cell r="I106">
            <v>5400000</v>
          </cell>
          <cell r="L106">
            <v>0</v>
          </cell>
          <cell r="M106">
            <v>5400000</v>
          </cell>
        </row>
        <row r="107">
          <cell r="E107" t="str">
            <v>Dodik/Asiana</v>
          </cell>
          <cell r="I107">
            <v>7000000</v>
          </cell>
          <cell r="L107">
            <v>3000000</v>
          </cell>
          <cell r="M107">
            <v>4000000</v>
          </cell>
        </row>
        <row r="108">
          <cell r="E108" t="str">
            <v>Imam/Tanindo</v>
          </cell>
          <cell r="I108">
            <v>18000000</v>
          </cell>
          <cell r="L108">
            <v>0</v>
          </cell>
          <cell r="M108">
            <v>18000000</v>
          </cell>
        </row>
        <row r="109">
          <cell r="E109" t="str">
            <v>Luhur Tani/M. Itqon</v>
          </cell>
          <cell r="I109">
            <v>800000</v>
          </cell>
          <cell r="L109">
            <v>0</v>
          </cell>
          <cell r="M109">
            <v>800000</v>
          </cell>
        </row>
        <row r="110">
          <cell r="E110" t="str">
            <v>Luhur Tani/M. Itqon</v>
          </cell>
          <cell r="I110">
            <v>6000000</v>
          </cell>
          <cell r="L110">
            <v>0</v>
          </cell>
          <cell r="M110">
            <v>6000000</v>
          </cell>
        </row>
        <row r="111">
          <cell r="E111" t="str">
            <v>Luhur Tani/M. Itqon</v>
          </cell>
          <cell r="I111">
            <v>3800000</v>
          </cell>
          <cell r="L111">
            <v>0</v>
          </cell>
          <cell r="M111">
            <v>3800000</v>
          </cell>
        </row>
        <row r="112">
          <cell r="E112" t="str">
            <v>Riski Tani/Hadi</v>
          </cell>
          <cell r="I112">
            <v>5200000</v>
          </cell>
          <cell r="L112">
            <v>0</v>
          </cell>
          <cell r="M112">
            <v>5200000</v>
          </cell>
        </row>
        <row r="113">
          <cell r="E113" t="str">
            <v>Riski Tani/Hadi</v>
          </cell>
          <cell r="I113">
            <v>3500000</v>
          </cell>
          <cell r="L113">
            <v>0</v>
          </cell>
          <cell r="M113">
            <v>3500000</v>
          </cell>
        </row>
        <row r="114">
          <cell r="E114" t="str">
            <v>Riski Tani/Hadi</v>
          </cell>
          <cell r="I114">
            <v>24100000</v>
          </cell>
          <cell r="L114">
            <v>0</v>
          </cell>
          <cell r="M114">
            <v>24100000</v>
          </cell>
        </row>
        <row r="115">
          <cell r="E115" t="str">
            <v>Riski Tani/Hadi</v>
          </cell>
          <cell r="I115">
            <v>5420000</v>
          </cell>
          <cell r="L115">
            <v>0</v>
          </cell>
          <cell r="M115">
            <v>5420000</v>
          </cell>
        </row>
        <row r="116">
          <cell r="E116" t="str">
            <v>Riski Tani/Hadi</v>
          </cell>
          <cell r="I116">
            <v>17640000</v>
          </cell>
          <cell r="L116">
            <v>0</v>
          </cell>
          <cell r="M116">
            <v>17640000</v>
          </cell>
        </row>
        <row r="117">
          <cell r="E117" t="str">
            <v>Riski Tani/Hadi</v>
          </cell>
          <cell r="I117">
            <v>3500000</v>
          </cell>
          <cell r="L117">
            <v>0</v>
          </cell>
          <cell r="M117">
            <v>3500000</v>
          </cell>
        </row>
        <row r="118">
          <cell r="E118" t="str">
            <v>Riski Tani/Hadi</v>
          </cell>
          <cell r="I118">
            <v>1840000</v>
          </cell>
          <cell r="L118">
            <v>0</v>
          </cell>
          <cell r="M118">
            <v>1840000</v>
          </cell>
        </row>
        <row r="119">
          <cell r="E119" t="str">
            <v>Rizki, UD/Kusnyoto</v>
          </cell>
          <cell r="I119">
            <v>1500000</v>
          </cell>
          <cell r="L119">
            <v>0</v>
          </cell>
          <cell r="M119">
            <v>1500000</v>
          </cell>
        </row>
        <row r="120">
          <cell r="E120" t="str">
            <v>Afan/JAI</v>
          </cell>
          <cell r="I120">
            <v>11627000</v>
          </cell>
          <cell r="L120">
            <v>0</v>
          </cell>
          <cell r="M120">
            <v>11627000</v>
          </cell>
        </row>
        <row r="121">
          <cell r="E121" t="str">
            <v>Afan/JAI</v>
          </cell>
          <cell r="I121">
            <v>14079800</v>
          </cell>
          <cell r="L121">
            <v>0</v>
          </cell>
          <cell r="M121">
            <v>14079800</v>
          </cell>
        </row>
        <row r="122">
          <cell r="E122" t="str">
            <v>Agro Suci/Bety</v>
          </cell>
          <cell r="I122">
            <v>1875000</v>
          </cell>
          <cell r="L122">
            <v>0</v>
          </cell>
          <cell r="M122">
            <v>1875000</v>
          </cell>
        </row>
        <row r="123">
          <cell r="E123" t="str">
            <v>Agung/Excel</v>
          </cell>
          <cell r="I123">
            <v>5816500</v>
          </cell>
          <cell r="L123">
            <v>0</v>
          </cell>
          <cell r="M123">
            <v>5816500</v>
          </cell>
        </row>
        <row r="124">
          <cell r="E124" t="str">
            <v>Agus/Nufarm</v>
          </cell>
          <cell r="I124">
            <v>3760000</v>
          </cell>
          <cell r="L124">
            <v>3760000</v>
          </cell>
          <cell r="M124">
            <v>0</v>
          </cell>
        </row>
        <row r="125">
          <cell r="E125" t="str">
            <v>Agus/Nufarm</v>
          </cell>
          <cell r="I125">
            <v>12900000</v>
          </cell>
          <cell r="L125">
            <v>1240000</v>
          </cell>
          <cell r="M125">
            <v>11660000</v>
          </cell>
        </row>
        <row r="126">
          <cell r="E126" t="str">
            <v>Al Badar/Badar, H</v>
          </cell>
          <cell r="I126">
            <v>10112500</v>
          </cell>
          <cell r="L126">
            <v>0</v>
          </cell>
          <cell r="M126">
            <v>10112500</v>
          </cell>
        </row>
        <row r="127">
          <cell r="E127" t="str">
            <v>Al Badar/Badar, H</v>
          </cell>
          <cell r="I127">
            <v>1008000</v>
          </cell>
          <cell r="L127">
            <v>0</v>
          </cell>
          <cell r="M127">
            <v>1008000</v>
          </cell>
        </row>
        <row r="128">
          <cell r="E128" t="str">
            <v>Al Badar/Badar, H</v>
          </cell>
          <cell r="I128">
            <v>705000</v>
          </cell>
          <cell r="L128">
            <v>0</v>
          </cell>
          <cell r="M128">
            <v>705000</v>
          </cell>
        </row>
        <row r="129">
          <cell r="E129" t="str">
            <v>Al Badar/Badar, H</v>
          </cell>
          <cell r="I129">
            <v>6315000</v>
          </cell>
          <cell r="L129">
            <v>0</v>
          </cell>
          <cell r="M129">
            <v>6315000</v>
          </cell>
        </row>
        <row r="130">
          <cell r="E130" t="str">
            <v>Al Badar/Badar, H</v>
          </cell>
          <cell r="I130">
            <v>6000000</v>
          </cell>
          <cell r="L130">
            <v>0</v>
          </cell>
          <cell r="M130">
            <v>6000000</v>
          </cell>
        </row>
        <row r="131">
          <cell r="E131" t="str">
            <v>Al Badar/Badar, H</v>
          </cell>
          <cell r="I131">
            <v>1230000</v>
          </cell>
          <cell r="L131">
            <v>0</v>
          </cell>
          <cell r="M131">
            <v>1230000</v>
          </cell>
        </row>
        <row r="132">
          <cell r="E132" t="str">
            <v>Al Badar/Badar, H</v>
          </cell>
          <cell r="I132">
            <v>6140000</v>
          </cell>
          <cell r="L132">
            <v>0</v>
          </cell>
          <cell r="M132">
            <v>6140000</v>
          </cell>
        </row>
        <row r="133">
          <cell r="E133" t="str">
            <v>Al Badar/Badar, H</v>
          </cell>
          <cell r="I133">
            <v>1750000</v>
          </cell>
          <cell r="L133">
            <v>0</v>
          </cell>
          <cell r="M133">
            <v>1750000</v>
          </cell>
        </row>
        <row r="134">
          <cell r="E134" t="str">
            <v>Al Badar/Badar, H</v>
          </cell>
          <cell r="I134">
            <v>11141000</v>
          </cell>
          <cell r="L134">
            <v>0</v>
          </cell>
          <cell r="M134">
            <v>11141000</v>
          </cell>
        </row>
        <row r="135">
          <cell r="E135" t="str">
            <v>Al Badar/Badar, H</v>
          </cell>
          <cell r="I135">
            <v>1809600</v>
          </cell>
          <cell r="L135">
            <v>0</v>
          </cell>
          <cell r="M135">
            <v>1809600</v>
          </cell>
        </row>
        <row r="136">
          <cell r="E136" t="str">
            <v>Al Badar/Badar, H</v>
          </cell>
          <cell r="I136">
            <v>3360000</v>
          </cell>
          <cell r="L136">
            <v>0</v>
          </cell>
          <cell r="M136">
            <v>3360000</v>
          </cell>
        </row>
        <row r="137">
          <cell r="E137" t="str">
            <v>Al Badar/Badar, H</v>
          </cell>
          <cell r="I137">
            <v>3500000</v>
          </cell>
          <cell r="L137">
            <v>0</v>
          </cell>
          <cell r="M137">
            <v>3500000</v>
          </cell>
        </row>
        <row r="138">
          <cell r="E138" t="str">
            <v>Al Badar/Badar, H</v>
          </cell>
          <cell r="I138">
            <v>5851900</v>
          </cell>
          <cell r="L138">
            <v>0</v>
          </cell>
          <cell r="M138">
            <v>5851900</v>
          </cell>
        </row>
        <row r="139">
          <cell r="E139" t="str">
            <v>Alam Makmur, UD</v>
          </cell>
          <cell r="I139">
            <v>9900000</v>
          </cell>
          <cell r="L139">
            <v>9900000</v>
          </cell>
          <cell r="M139">
            <v>0</v>
          </cell>
        </row>
        <row r="140">
          <cell r="E140" t="str">
            <v>Alam Makmur, UD</v>
          </cell>
          <cell r="I140">
            <v>29800000</v>
          </cell>
          <cell r="L140">
            <v>29800000</v>
          </cell>
          <cell r="M140">
            <v>0</v>
          </cell>
        </row>
        <row r="141">
          <cell r="E141" t="str">
            <v>Anggoro Makmur/Yayuk</v>
          </cell>
          <cell r="I141">
            <v>3860000</v>
          </cell>
          <cell r="L141">
            <v>2500000</v>
          </cell>
          <cell r="M141">
            <v>1360000</v>
          </cell>
        </row>
        <row r="142">
          <cell r="E142" t="str">
            <v>Anggoro Makmur/Yayuk</v>
          </cell>
          <cell r="I142">
            <v>2560000</v>
          </cell>
          <cell r="L142">
            <v>0</v>
          </cell>
          <cell r="M142">
            <v>2560000</v>
          </cell>
        </row>
        <row r="143">
          <cell r="E143" t="str">
            <v>Anggoro Makmur/Yayuk</v>
          </cell>
          <cell r="I143">
            <v>1960000</v>
          </cell>
          <cell r="L143">
            <v>0</v>
          </cell>
          <cell r="M143">
            <v>1960000</v>
          </cell>
        </row>
        <row r="144">
          <cell r="E144" t="str">
            <v>Bang Jali/Achmad Gozali</v>
          </cell>
          <cell r="I144">
            <v>12700000</v>
          </cell>
          <cell r="L144">
            <v>0</v>
          </cell>
          <cell r="M144">
            <v>12700000</v>
          </cell>
        </row>
        <row r="145">
          <cell r="E145" t="str">
            <v>Bang Jali/Achmad Gozali</v>
          </cell>
          <cell r="I145">
            <v>9840000</v>
          </cell>
          <cell r="L145">
            <v>0</v>
          </cell>
          <cell r="M145">
            <v>9840000</v>
          </cell>
        </row>
        <row r="146">
          <cell r="E146" t="str">
            <v>Bejo Langgeng, Toko</v>
          </cell>
          <cell r="I146">
            <v>1700000</v>
          </cell>
          <cell r="L146">
            <v>1700000</v>
          </cell>
          <cell r="M146">
            <v>0</v>
          </cell>
        </row>
        <row r="147">
          <cell r="E147" t="str">
            <v>Bejo Langgeng, Toko</v>
          </cell>
          <cell r="I147">
            <v>1040000</v>
          </cell>
          <cell r="L147">
            <v>0</v>
          </cell>
          <cell r="M147">
            <v>1040000</v>
          </cell>
        </row>
        <row r="148">
          <cell r="E148" t="str">
            <v>Berkah Kayra/Nuyun</v>
          </cell>
          <cell r="I148">
            <v>530000</v>
          </cell>
          <cell r="L148">
            <v>0</v>
          </cell>
          <cell r="M148">
            <v>530000</v>
          </cell>
        </row>
        <row r="149">
          <cell r="E149" t="str">
            <v>Berkah Kayra/Nuyun</v>
          </cell>
          <cell r="I149">
            <v>1090000</v>
          </cell>
          <cell r="L149">
            <v>0</v>
          </cell>
          <cell r="M149">
            <v>1090000</v>
          </cell>
        </row>
        <row r="150">
          <cell r="E150" t="str">
            <v>Berkah Kayra/Nuyun</v>
          </cell>
          <cell r="I150">
            <v>470000</v>
          </cell>
          <cell r="L150">
            <v>0</v>
          </cell>
          <cell r="M150">
            <v>470000</v>
          </cell>
        </row>
        <row r="151">
          <cell r="E151" t="str">
            <v>Berkah Tani/Eka Adimas</v>
          </cell>
          <cell r="I151">
            <v>3280000</v>
          </cell>
          <cell r="L151">
            <v>3280000</v>
          </cell>
          <cell r="M151">
            <v>0</v>
          </cell>
        </row>
        <row r="152">
          <cell r="E152" t="str">
            <v>Berkah Tani/Eka Adimas</v>
          </cell>
          <cell r="I152">
            <v>4128000</v>
          </cell>
          <cell r="L152">
            <v>0</v>
          </cell>
          <cell r="M152">
            <v>4128000</v>
          </cell>
        </row>
        <row r="153">
          <cell r="E153" t="str">
            <v>Berkah Tani/Intan Sri</v>
          </cell>
          <cell r="I153">
            <v>3360000</v>
          </cell>
          <cell r="L153">
            <v>0</v>
          </cell>
          <cell r="M153">
            <v>3360000</v>
          </cell>
        </row>
        <row r="154">
          <cell r="E154" t="str">
            <v>Bima Tani Jaya/Kevin Pratama</v>
          </cell>
          <cell r="I154">
            <v>4000000</v>
          </cell>
          <cell r="L154">
            <v>0</v>
          </cell>
          <cell r="M154">
            <v>4000000</v>
          </cell>
        </row>
        <row r="155">
          <cell r="E155" t="str">
            <v>Bima Tani Jaya/Kevin Pratama</v>
          </cell>
          <cell r="I155">
            <v>562500</v>
          </cell>
          <cell r="L155">
            <v>0</v>
          </cell>
          <cell r="M155">
            <v>562500</v>
          </cell>
        </row>
        <row r="156">
          <cell r="E156" t="str">
            <v>Bima Tani Jaya/Kevin Pratama</v>
          </cell>
          <cell r="I156">
            <v>1075000</v>
          </cell>
          <cell r="L156">
            <v>0</v>
          </cell>
          <cell r="M156">
            <v>1075000</v>
          </cell>
        </row>
        <row r="157">
          <cell r="E157" t="str">
            <v>Bima Tani Jaya/Kevin Pratama</v>
          </cell>
          <cell r="I157">
            <v>1742000</v>
          </cell>
          <cell r="L157">
            <v>0</v>
          </cell>
          <cell r="M157">
            <v>1742000</v>
          </cell>
        </row>
        <row r="158">
          <cell r="E158" t="str">
            <v>Bima Tani Jaya/Kevin Pratama</v>
          </cell>
          <cell r="I158">
            <v>4000000</v>
          </cell>
          <cell r="L158">
            <v>0</v>
          </cell>
          <cell r="M158">
            <v>4000000</v>
          </cell>
        </row>
        <row r="159">
          <cell r="E159" t="str">
            <v>Bima Tani Jaya/Kevin Pratama</v>
          </cell>
          <cell r="I159">
            <v>6720000</v>
          </cell>
          <cell r="L159">
            <v>0</v>
          </cell>
          <cell r="M159">
            <v>6720000</v>
          </cell>
        </row>
        <row r="160">
          <cell r="E160" t="str">
            <v>Bima Tani Jaya/Kevin Pratama</v>
          </cell>
          <cell r="I160">
            <v>12500000</v>
          </cell>
          <cell r="L160">
            <v>0</v>
          </cell>
          <cell r="M160">
            <v>12500000</v>
          </cell>
        </row>
        <row r="161">
          <cell r="E161" t="str">
            <v>Bima Tani Jaya/Kevin Pratama</v>
          </cell>
          <cell r="I161">
            <v>8000000</v>
          </cell>
          <cell r="L161">
            <v>0</v>
          </cell>
          <cell r="M161">
            <v>8000000</v>
          </cell>
        </row>
        <row r="162">
          <cell r="E162" t="str">
            <v>Bima Tani Jaya/Kevin Pratama</v>
          </cell>
          <cell r="I162">
            <v>1225000</v>
          </cell>
          <cell r="L162">
            <v>0</v>
          </cell>
          <cell r="M162">
            <v>1225000</v>
          </cell>
        </row>
        <row r="163">
          <cell r="E163" t="str">
            <v>Bima Tani Jaya/Kevin Pratama</v>
          </cell>
          <cell r="I163">
            <v>592500</v>
          </cell>
          <cell r="L163">
            <v>0</v>
          </cell>
          <cell r="M163">
            <v>592500</v>
          </cell>
        </row>
        <row r="164">
          <cell r="E164" t="str">
            <v>Bima Tani Jaya/Kevin Pratama</v>
          </cell>
          <cell r="I164">
            <v>582500</v>
          </cell>
          <cell r="L164">
            <v>0</v>
          </cell>
          <cell r="M164">
            <v>582500</v>
          </cell>
        </row>
        <row r="165">
          <cell r="E165" t="str">
            <v>Bima Tani Jaya/Kevin Pratama</v>
          </cell>
          <cell r="I165">
            <v>1355000</v>
          </cell>
          <cell r="L165">
            <v>0</v>
          </cell>
          <cell r="M165">
            <v>1355000</v>
          </cell>
        </row>
        <row r="166">
          <cell r="E166" t="str">
            <v>Bima Tani Jaya/Kevin Pratama</v>
          </cell>
          <cell r="I166">
            <v>5222500</v>
          </cell>
          <cell r="L166">
            <v>0</v>
          </cell>
          <cell r="M166">
            <v>5222500</v>
          </cell>
        </row>
        <row r="167">
          <cell r="E167" t="str">
            <v>Bima Tani Jaya/Kevin Pratama</v>
          </cell>
          <cell r="I167">
            <v>2764000</v>
          </cell>
          <cell r="L167">
            <v>0</v>
          </cell>
          <cell r="M167">
            <v>2764000</v>
          </cell>
        </row>
        <row r="168">
          <cell r="E168" t="str">
            <v>Bima Tani Jaya/Kevin Pratama</v>
          </cell>
          <cell r="I168">
            <v>650000</v>
          </cell>
          <cell r="L168">
            <v>0</v>
          </cell>
          <cell r="M168">
            <v>650000</v>
          </cell>
        </row>
        <row r="169">
          <cell r="E169" t="str">
            <v>Bima Tani Jaya/Kevin Pratama</v>
          </cell>
          <cell r="I169">
            <v>3200000</v>
          </cell>
          <cell r="L169">
            <v>0</v>
          </cell>
          <cell r="M169">
            <v>3200000</v>
          </cell>
        </row>
        <row r="170">
          <cell r="E170" t="str">
            <v>Bima Tani Jaya/Kevin Pratama</v>
          </cell>
          <cell r="I170">
            <v>1440000</v>
          </cell>
          <cell r="L170">
            <v>0</v>
          </cell>
          <cell r="M170">
            <v>1440000</v>
          </cell>
        </row>
        <row r="171">
          <cell r="E171" t="str">
            <v>Bima Tani Jaya/Kevin Pratama</v>
          </cell>
          <cell r="I171">
            <v>2910000</v>
          </cell>
          <cell r="L171">
            <v>0</v>
          </cell>
          <cell r="M171">
            <v>2910000</v>
          </cell>
        </row>
        <row r="172">
          <cell r="E172" t="str">
            <v>Bima Tani Jaya/Kevin Pratama</v>
          </cell>
          <cell r="I172">
            <v>3300000</v>
          </cell>
          <cell r="L172">
            <v>0</v>
          </cell>
          <cell r="M172">
            <v>3300000</v>
          </cell>
        </row>
        <row r="173">
          <cell r="E173" t="str">
            <v>Bima Tani Jaya/Kevin Pratama</v>
          </cell>
          <cell r="I173">
            <v>1350000</v>
          </cell>
          <cell r="L173">
            <v>0</v>
          </cell>
          <cell r="M173">
            <v>1350000</v>
          </cell>
        </row>
        <row r="174">
          <cell r="E174" t="str">
            <v>Bima Tani Jaya/Kevin Pratama</v>
          </cell>
          <cell r="I174">
            <v>255000</v>
          </cell>
          <cell r="L174">
            <v>0</v>
          </cell>
          <cell r="M174">
            <v>255000</v>
          </cell>
        </row>
        <row r="175">
          <cell r="E175" t="str">
            <v>Bima Tani Jaya/Kevin Pratama</v>
          </cell>
          <cell r="I175">
            <v>3200000</v>
          </cell>
          <cell r="L175">
            <v>0</v>
          </cell>
          <cell r="M175">
            <v>3200000</v>
          </cell>
        </row>
        <row r="176">
          <cell r="E176" t="str">
            <v>Bima Tani Jaya/Kevin Pratama</v>
          </cell>
          <cell r="I176">
            <v>882500</v>
          </cell>
          <cell r="L176">
            <v>0</v>
          </cell>
          <cell r="M176">
            <v>882500</v>
          </cell>
        </row>
        <row r="177">
          <cell r="E177" t="str">
            <v>Bima Tani Jaya/Kevin Pratama</v>
          </cell>
          <cell r="I177">
            <v>54000</v>
          </cell>
          <cell r="L177">
            <v>0</v>
          </cell>
          <cell r="M177">
            <v>54000</v>
          </cell>
        </row>
        <row r="178">
          <cell r="E178" t="str">
            <v>Bima Tani Jaya/Kevin Pratama</v>
          </cell>
          <cell r="I178">
            <v>2880000</v>
          </cell>
          <cell r="L178">
            <v>0</v>
          </cell>
          <cell r="M178">
            <v>2880000</v>
          </cell>
        </row>
        <row r="179">
          <cell r="E179" t="str">
            <v>Bima Tani Jaya/Kevin Pratama</v>
          </cell>
          <cell r="I179">
            <v>380000</v>
          </cell>
          <cell r="L179">
            <v>0</v>
          </cell>
          <cell r="M179">
            <v>380000</v>
          </cell>
        </row>
        <row r="180">
          <cell r="E180" t="str">
            <v>Bina Mandiri, UD/Nurul</v>
          </cell>
          <cell r="I180">
            <v>2220000</v>
          </cell>
          <cell r="L180">
            <v>2220000</v>
          </cell>
          <cell r="M180">
            <v>0</v>
          </cell>
        </row>
        <row r="181">
          <cell r="E181" t="str">
            <v>Bina Mandiri, UD/Nurul</v>
          </cell>
          <cell r="I181">
            <v>370000</v>
          </cell>
          <cell r="L181">
            <v>0</v>
          </cell>
          <cell r="M181">
            <v>370000</v>
          </cell>
        </row>
        <row r="182">
          <cell r="E182" t="str">
            <v>Bina Mandiri, UD/Nurul</v>
          </cell>
          <cell r="I182">
            <v>1400000</v>
          </cell>
          <cell r="L182">
            <v>0</v>
          </cell>
          <cell r="M182">
            <v>1400000</v>
          </cell>
        </row>
        <row r="183">
          <cell r="E183" t="str">
            <v>Bina Mandiri, UD/Nurul</v>
          </cell>
          <cell r="I183">
            <v>3120000</v>
          </cell>
          <cell r="L183">
            <v>0</v>
          </cell>
          <cell r="M183">
            <v>3120000</v>
          </cell>
        </row>
        <row r="184">
          <cell r="E184" t="str">
            <v>Bintang Sejahtera</v>
          </cell>
          <cell r="I184">
            <v>920000</v>
          </cell>
          <cell r="L184">
            <v>920000</v>
          </cell>
          <cell r="M184">
            <v>0</v>
          </cell>
        </row>
        <row r="185">
          <cell r="E185" t="str">
            <v>Bintang Sejahtera</v>
          </cell>
          <cell r="I185">
            <v>4695000</v>
          </cell>
          <cell r="L185">
            <v>0</v>
          </cell>
          <cell r="M185">
            <v>4695000</v>
          </cell>
        </row>
        <row r="186">
          <cell r="E186" t="str">
            <v>Bintang Sejahtera</v>
          </cell>
          <cell r="I186">
            <v>10180000</v>
          </cell>
          <cell r="L186">
            <v>0</v>
          </cell>
          <cell r="M186">
            <v>10180000</v>
          </cell>
        </row>
        <row r="187">
          <cell r="E187" t="str">
            <v>Bintang Sejahtera</v>
          </cell>
          <cell r="I187">
            <v>7500000</v>
          </cell>
          <cell r="L187">
            <v>7500000</v>
          </cell>
          <cell r="M187">
            <v>0</v>
          </cell>
        </row>
        <row r="188">
          <cell r="E188" t="str">
            <v>Bintang Sejahtera</v>
          </cell>
          <cell r="I188">
            <v>6430000</v>
          </cell>
          <cell r="L188">
            <v>0</v>
          </cell>
          <cell r="M188">
            <v>6430000</v>
          </cell>
        </row>
        <row r="189">
          <cell r="E189" t="str">
            <v>Bintang Sejahtera</v>
          </cell>
          <cell r="I189">
            <v>460000</v>
          </cell>
          <cell r="L189">
            <v>460000</v>
          </cell>
          <cell r="M189">
            <v>0</v>
          </cell>
        </row>
        <row r="190">
          <cell r="E190" t="str">
            <v>Bumi Jaya, UD/Farida</v>
          </cell>
          <cell r="I190">
            <v>3648000</v>
          </cell>
          <cell r="L190">
            <v>3648000</v>
          </cell>
          <cell r="M190">
            <v>0</v>
          </cell>
        </row>
        <row r="191">
          <cell r="E191" t="str">
            <v>Bumi Jaya, UD/Farida</v>
          </cell>
          <cell r="I191">
            <v>5600000</v>
          </cell>
          <cell r="L191">
            <v>0</v>
          </cell>
          <cell r="M191">
            <v>5600000</v>
          </cell>
        </row>
        <row r="192">
          <cell r="E192" t="str">
            <v>Bumi Jaya, UD/Farida</v>
          </cell>
          <cell r="I192">
            <v>5400000</v>
          </cell>
          <cell r="L192">
            <v>5400000</v>
          </cell>
          <cell r="M192">
            <v>0</v>
          </cell>
        </row>
        <row r="193">
          <cell r="E193" t="str">
            <v>Bumi Jaya, UD/Farida</v>
          </cell>
          <cell r="I193">
            <v>1400000</v>
          </cell>
          <cell r="L193">
            <v>1400000</v>
          </cell>
          <cell r="M193">
            <v>0</v>
          </cell>
        </row>
        <row r="194">
          <cell r="E194" t="str">
            <v>Bumi Jaya, UD/Farida</v>
          </cell>
          <cell r="I194">
            <v>8090000</v>
          </cell>
          <cell r="L194">
            <v>0</v>
          </cell>
          <cell r="M194">
            <v>8090000</v>
          </cell>
        </row>
        <row r="195">
          <cell r="E195" t="str">
            <v>Bumi Jaya, UD/Farida</v>
          </cell>
          <cell r="I195">
            <v>5180000</v>
          </cell>
          <cell r="L195">
            <v>5180000</v>
          </cell>
          <cell r="M195">
            <v>0</v>
          </cell>
        </row>
        <row r="196">
          <cell r="E196" t="str">
            <v>Bumi Jaya, UD/Farida</v>
          </cell>
          <cell r="I196">
            <v>22000000</v>
          </cell>
          <cell r="L196">
            <v>0</v>
          </cell>
          <cell r="M196">
            <v>22000000</v>
          </cell>
        </row>
        <row r="197">
          <cell r="E197" t="str">
            <v>Bumi Jaya, UD/Farida</v>
          </cell>
          <cell r="I197">
            <v>2860000</v>
          </cell>
          <cell r="L197">
            <v>0</v>
          </cell>
          <cell r="M197">
            <v>2860000</v>
          </cell>
        </row>
        <row r="198">
          <cell r="E198" t="str">
            <v>Bumi Jaya, UD/Farida</v>
          </cell>
          <cell r="I198">
            <v>7000000</v>
          </cell>
          <cell r="L198">
            <v>0</v>
          </cell>
          <cell r="M198">
            <v>7000000</v>
          </cell>
        </row>
        <row r="199">
          <cell r="E199" t="str">
            <v>Bumi Jaya, UD/Farida</v>
          </cell>
          <cell r="I199">
            <v>2780000</v>
          </cell>
          <cell r="L199">
            <v>0</v>
          </cell>
          <cell r="M199">
            <v>2780000</v>
          </cell>
        </row>
        <row r="200">
          <cell r="E200" t="str">
            <v>Bumi Jaya, UD/Farida</v>
          </cell>
          <cell r="I200">
            <v>5610000</v>
          </cell>
          <cell r="L200">
            <v>0</v>
          </cell>
          <cell r="M200">
            <v>5610000</v>
          </cell>
        </row>
        <row r="201">
          <cell r="E201" t="str">
            <v>Bumi Jaya, UD/Farida</v>
          </cell>
          <cell r="I201">
            <v>2280000</v>
          </cell>
          <cell r="L201">
            <v>0</v>
          </cell>
          <cell r="M201">
            <v>2280000</v>
          </cell>
        </row>
        <row r="202">
          <cell r="E202" t="str">
            <v>Bumi Jaya, UD/Farida</v>
          </cell>
          <cell r="I202">
            <v>1620000</v>
          </cell>
          <cell r="L202">
            <v>0</v>
          </cell>
          <cell r="M202">
            <v>1620000</v>
          </cell>
        </row>
        <row r="203">
          <cell r="E203" t="str">
            <v>Bumi Jaya, UD/Farida</v>
          </cell>
          <cell r="I203">
            <v>1590000</v>
          </cell>
          <cell r="L203">
            <v>0</v>
          </cell>
          <cell r="M203">
            <v>1590000</v>
          </cell>
        </row>
        <row r="204">
          <cell r="E204" t="str">
            <v>Bumi Jaya, UD/Farida</v>
          </cell>
          <cell r="I204">
            <v>3500000</v>
          </cell>
          <cell r="L204">
            <v>0</v>
          </cell>
          <cell r="M204">
            <v>3500000</v>
          </cell>
        </row>
        <row r="205">
          <cell r="E205" t="str">
            <v>Bumi Jaya, UD/Farida</v>
          </cell>
          <cell r="I205">
            <v>26580000</v>
          </cell>
          <cell r="L205">
            <v>0</v>
          </cell>
          <cell r="M205">
            <v>26580000</v>
          </cell>
        </row>
        <row r="206">
          <cell r="E206" t="str">
            <v>Bumi Jaya, UD/Farida</v>
          </cell>
          <cell r="I206">
            <v>15112500</v>
          </cell>
          <cell r="L206">
            <v>0</v>
          </cell>
          <cell r="M206">
            <v>15112500</v>
          </cell>
        </row>
        <row r="207">
          <cell r="E207" t="str">
            <v>Bumi Jaya, UD/Farida</v>
          </cell>
          <cell r="I207">
            <v>5000000</v>
          </cell>
          <cell r="L207">
            <v>5000000</v>
          </cell>
          <cell r="M207">
            <v>0</v>
          </cell>
        </row>
        <row r="208">
          <cell r="E208" t="str">
            <v>Bumi Jaya, UD/Farida</v>
          </cell>
          <cell r="I208">
            <v>3650000</v>
          </cell>
          <cell r="L208">
            <v>0</v>
          </cell>
          <cell r="M208">
            <v>3650000</v>
          </cell>
        </row>
        <row r="209">
          <cell r="E209" t="str">
            <v>Cahaya Tani/Rudi</v>
          </cell>
          <cell r="I209">
            <v>3121500</v>
          </cell>
          <cell r="L209">
            <v>0</v>
          </cell>
          <cell r="M209">
            <v>3121500</v>
          </cell>
        </row>
        <row r="210">
          <cell r="E210" t="str">
            <v>Cahaya Tani/Rudi</v>
          </cell>
          <cell r="I210">
            <v>3833000</v>
          </cell>
          <cell r="L210">
            <v>0</v>
          </cell>
          <cell r="M210">
            <v>3833000</v>
          </cell>
        </row>
        <row r="211">
          <cell r="E211" t="str">
            <v>Cahaya Tani/Rudi</v>
          </cell>
          <cell r="I211">
            <v>880000</v>
          </cell>
          <cell r="L211">
            <v>0</v>
          </cell>
          <cell r="M211">
            <v>880000</v>
          </cell>
        </row>
        <row r="212">
          <cell r="E212" t="str">
            <v>Damar Batur Nusantara</v>
          </cell>
          <cell r="I212">
            <v>8300000</v>
          </cell>
          <cell r="L212">
            <v>0</v>
          </cell>
          <cell r="M212">
            <v>8300000</v>
          </cell>
        </row>
        <row r="213">
          <cell r="E213" t="str">
            <v>Damar Batur Nusantara</v>
          </cell>
          <cell r="I213">
            <v>4710000</v>
          </cell>
          <cell r="L213">
            <v>0</v>
          </cell>
          <cell r="M213">
            <v>4710000</v>
          </cell>
        </row>
        <row r="214">
          <cell r="E214" t="str">
            <v>Damar Batur Nusantara</v>
          </cell>
          <cell r="I214">
            <v>750000</v>
          </cell>
          <cell r="L214">
            <v>0</v>
          </cell>
          <cell r="M214">
            <v>750000</v>
          </cell>
        </row>
        <row r="215">
          <cell r="E215" t="str">
            <v>Damar Batur Nusantara</v>
          </cell>
          <cell r="I215">
            <v>2700000</v>
          </cell>
          <cell r="L215">
            <v>0</v>
          </cell>
          <cell r="M215">
            <v>2700000</v>
          </cell>
        </row>
        <row r="216">
          <cell r="E216" t="str">
            <v>Damar Batur Nusantara</v>
          </cell>
          <cell r="I216">
            <v>40500000</v>
          </cell>
          <cell r="L216">
            <v>0</v>
          </cell>
          <cell r="M216">
            <v>40500000</v>
          </cell>
        </row>
        <row r="217">
          <cell r="E217" t="str">
            <v>Damar Batur Nusantara</v>
          </cell>
          <cell r="I217">
            <v>31475000</v>
          </cell>
          <cell r="L217">
            <v>0</v>
          </cell>
          <cell r="M217">
            <v>31475000</v>
          </cell>
        </row>
        <row r="218">
          <cell r="E218" t="str">
            <v>Damar Batur Nusantara</v>
          </cell>
          <cell r="I218">
            <v>3300000</v>
          </cell>
          <cell r="L218">
            <v>0</v>
          </cell>
          <cell r="M218">
            <v>3300000</v>
          </cell>
        </row>
        <row r="219">
          <cell r="E219" t="str">
            <v>Damar Batur Nusantara</v>
          </cell>
          <cell r="I219">
            <v>3400000</v>
          </cell>
          <cell r="L219">
            <v>0</v>
          </cell>
          <cell r="M219">
            <v>3400000</v>
          </cell>
        </row>
        <row r="220">
          <cell r="E220" t="str">
            <v>Damar Batur Nusantara</v>
          </cell>
          <cell r="I220">
            <v>10125000</v>
          </cell>
          <cell r="L220">
            <v>0</v>
          </cell>
          <cell r="M220">
            <v>10125000</v>
          </cell>
        </row>
        <row r="221">
          <cell r="E221" t="str">
            <v>Damar Batur Nusantara</v>
          </cell>
          <cell r="I221">
            <v>2700000</v>
          </cell>
          <cell r="L221">
            <v>0</v>
          </cell>
          <cell r="M221">
            <v>2700000</v>
          </cell>
        </row>
        <row r="222">
          <cell r="E222" t="str">
            <v>Damar Batur Nusantara</v>
          </cell>
          <cell r="I222">
            <v>10000000</v>
          </cell>
          <cell r="L222">
            <v>0</v>
          </cell>
          <cell r="M222">
            <v>10000000</v>
          </cell>
        </row>
        <row r="223">
          <cell r="E223" t="str">
            <v>Damar Batur Nusantara</v>
          </cell>
          <cell r="I223">
            <v>14240000</v>
          </cell>
          <cell r="L223">
            <v>0</v>
          </cell>
          <cell r="M223">
            <v>14240000</v>
          </cell>
        </row>
        <row r="224">
          <cell r="E224" t="str">
            <v>Damar Batur Nusantara</v>
          </cell>
          <cell r="I224">
            <v>51750000</v>
          </cell>
          <cell r="L224">
            <v>0</v>
          </cell>
          <cell r="M224">
            <v>51750000</v>
          </cell>
        </row>
        <row r="225">
          <cell r="E225" t="str">
            <v>Damar Batur Nusantara</v>
          </cell>
          <cell r="I225">
            <v>3150000</v>
          </cell>
          <cell r="L225">
            <v>0</v>
          </cell>
          <cell r="M225">
            <v>3150000</v>
          </cell>
        </row>
        <row r="226">
          <cell r="E226" t="str">
            <v>Damar Batur Nusantara</v>
          </cell>
          <cell r="I226">
            <v>77200000</v>
          </cell>
          <cell r="L226">
            <v>0</v>
          </cell>
          <cell r="M226">
            <v>77200000</v>
          </cell>
        </row>
        <row r="227">
          <cell r="E227" t="str">
            <v>Damar Batur Nusantara</v>
          </cell>
          <cell r="I227">
            <v>47500000</v>
          </cell>
          <cell r="L227">
            <v>0</v>
          </cell>
          <cell r="M227">
            <v>47500000</v>
          </cell>
        </row>
        <row r="228">
          <cell r="E228" t="str">
            <v>Damar Batur Nusantara</v>
          </cell>
          <cell r="I228">
            <v>5400000</v>
          </cell>
          <cell r="L228">
            <v>0</v>
          </cell>
          <cell r="M228">
            <v>5400000</v>
          </cell>
        </row>
        <row r="229">
          <cell r="E229" t="str">
            <v>Damar Batur Nusantara</v>
          </cell>
          <cell r="I229">
            <v>3150000</v>
          </cell>
          <cell r="L229">
            <v>0</v>
          </cell>
          <cell r="M229">
            <v>3150000</v>
          </cell>
        </row>
        <row r="230">
          <cell r="E230" t="str">
            <v>Damar Batur Nusantara</v>
          </cell>
          <cell r="I230">
            <v>93980000</v>
          </cell>
          <cell r="L230">
            <v>0</v>
          </cell>
          <cell r="M230">
            <v>93980000</v>
          </cell>
        </row>
        <row r="231">
          <cell r="E231" t="str">
            <v>Damar Batur Nusantara</v>
          </cell>
          <cell r="I231">
            <v>4050000</v>
          </cell>
          <cell r="L231">
            <v>0</v>
          </cell>
          <cell r="M231">
            <v>4050000</v>
          </cell>
        </row>
        <row r="232">
          <cell r="E232" t="str">
            <v>Damar Batur Nusantara</v>
          </cell>
          <cell r="I232">
            <v>5400000</v>
          </cell>
          <cell r="L232">
            <v>0</v>
          </cell>
          <cell r="M232">
            <v>5400000</v>
          </cell>
        </row>
        <row r="233">
          <cell r="E233" t="str">
            <v>Damar Batur Nusantara</v>
          </cell>
          <cell r="I233">
            <v>5400000</v>
          </cell>
          <cell r="L233">
            <v>0</v>
          </cell>
          <cell r="M233">
            <v>5400000</v>
          </cell>
        </row>
        <row r="234">
          <cell r="E234" t="str">
            <v>Damar Batur Nusantara</v>
          </cell>
          <cell r="I234">
            <v>31200000</v>
          </cell>
          <cell r="L234">
            <v>0</v>
          </cell>
          <cell r="M234">
            <v>31200000</v>
          </cell>
        </row>
        <row r="235">
          <cell r="E235" t="str">
            <v>Damar Batur Nusantara</v>
          </cell>
          <cell r="I235">
            <v>20375000</v>
          </cell>
          <cell r="L235">
            <v>0</v>
          </cell>
          <cell r="M235">
            <v>20375000</v>
          </cell>
        </row>
        <row r="236">
          <cell r="E236" t="str">
            <v>Damar Batur Nusantara</v>
          </cell>
          <cell r="I236">
            <v>50760000</v>
          </cell>
          <cell r="L236">
            <v>0</v>
          </cell>
          <cell r="M236">
            <v>50760000</v>
          </cell>
        </row>
        <row r="237">
          <cell r="E237" t="str">
            <v>Damar Batur Nusantara</v>
          </cell>
          <cell r="I237">
            <v>40465000</v>
          </cell>
          <cell r="L237">
            <v>0</v>
          </cell>
          <cell r="M237">
            <v>40465000</v>
          </cell>
        </row>
        <row r="238">
          <cell r="E238" t="str">
            <v>Era Tani/Abdul Wakik</v>
          </cell>
          <cell r="I238">
            <v>5120000</v>
          </cell>
          <cell r="L238">
            <v>5120000</v>
          </cell>
          <cell r="M238">
            <v>0</v>
          </cell>
        </row>
        <row r="239">
          <cell r="E239" t="str">
            <v>Era Tani/Abdul Wakik</v>
          </cell>
          <cell r="I239">
            <v>5660000</v>
          </cell>
          <cell r="L239">
            <v>5660000</v>
          </cell>
          <cell r="M239">
            <v>0</v>
          </cell>
        </row>
        <row r="240">
          <cell r="E240" t="str">
            <v>Era Tani/Abdul Wakik</v>
          </cell>
          <cell r="I240">
            <v>4180000</v>
          </cell>
          <cell r="L240">
            <v>4180000</v>
          </cell>
          <cell r="M240">
            <v>0</v>
          </cell>
        </row>
        <row r="241">
          <cell r="E241" t="str">
            <v>Era Tani/Abdul Wakik</v>
          </cell>
          <cell r="I241">
            <v>1172500</v>
          </cell>
          <cell r="L241">
            <v>1172500</v>
          </cell>
          <cell r="M241">
            <v>0</v>
          </cell>
        </row>
        <row r="242">
          <cell r="E242" t="str">
            <v>Era Tani/Abdul Wakik</v>
          </cell>
          <cell r="I242">
            <v>97500</v>
          </cell>
          <cell r="L242">
            <v>97500</v>
          </cell>
          <cell r="M242">
            <v>0</v>
          </cell>
        </row>
        <row r="243">
          <cell r="E243" t="str">
            <v>Era Tani/Abdul Wakik</v>
          </cell>
          <cell r="I243">
            <v>2064000</v>
          </cell>
          <cell r="L243">
            <v>2064000</v>
          </cell>
          <cell r="M243">
            <v>0</v>
          </cell>
        </row>
        <row r="244">
          <cell r="E244" t="str">
            <v>Griya Tani/Sri</v>
          </cell>
          <cell r="I244">
            <v>6900000</v>
          </cell>
          <cell r="L244">
            <v>2900000</v>
          </cell>
          <cell r="M244">
            <v>4000000</v>
          </cell>
        </row>
        <row r="245">
          <cell r="E245" t="str">
            <v>Griya Tani/Sri</v>
          </cell>
          <cell r="I245">
            <v>3225000</v>
          </cell>
          <cell r="L245">
            <v>0</v>
          </cell>
          <cell r="M245">
            <v>3225000</v>
          </cell>
        </row>
        <row r="246">
          <cell r="E246" t="str">
            <v>Griya Tani/Sri</v>
          </cell>
          <cell r="I246">
            <v>1252500</v>
          </cell>
          <cell r="L246">
            <v>0</v>
          </cell>
          <cell r="M246">
            <v>1252500</v>
          </cell>
        </row>
        <row r="247">
          <cell r="E247" t="str">
            <v>Griya Tani/Sri</v>
          </cell>
          <cell r="I247">
            <v>3910000</v>
          </cell>
          <cell r="L247">
            <v>0</v>
          </cell>
          <cell r="M247">
            <v>3910000</v>
          </cell>
        </row>
        <row r="248">
          <cell r="E248" t="str">
            <v>Griya Tani/Sri</v>
          </cell>
          <cell r="I248">
            <v>2034000</v>
          </cell>
          <cell r="L248">
            <v>0</v>
          </cell>
          <cell r="M248">
            <v>2034000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E308" t="str">
            <v>Hasil Usaha, UD</v>
          </cell>
          <cell r="I308">
            <v>10700000</v>
          </cell>
          <cell r="L308">
            <v>0</v>
          </cell>
          <cell r="M308">
            <v>10700000</v>
          </cell>
        </row>
        <row r="309">
          <cell r="E309" t="str">
            <v>Hasil Usaha, UD</v>
          </cell>
          <cell r="I309">
            <v>29250000</v>
          </cell>
          <cell r="L309">
            <v>0</v>
          </cell>
          <cell r="M309">
            <v>29250000</v>
          </cell>
        </row>
        <row r="310">
          <cell r="E310" t="str">
            <v>Indah Tani/Endah</v>
          </cell>
          <cell r="I310">
            <v>588500</v>
          </cell>
          <cell r="L310">
            <v>588500</v>
          </cell>
          <cell r="M310">
            <v>0</v>
          </cell>
        </row>
        <row r="311">
          <cell r="E311" t="str">
            <v>Indah Tani/Endah</v>
          </cell>
          <cell r="I311">
            <v>232500</v>
          </cell>
          <cell r="L311">
            <v>232500</v>
          </cell>
          <cell r="M311">
            <v>0</v>
          </cell>
        </row>
        <row r="312">
          <cell r="E312" t="str">
            <v>Indah Tani/Endah</v>
          </cell>
          <cell r="I312">
            <v>3179000</v>
          </cell>
          <cell r="L312">
            <v>1179000</v>
          </cell>
          <cell r="M312">
            <v>2000000</v>
          </cell>
        </row>
        <row r="313">
          <cell r="E313" t="str">
            <v>Ira Tani/Dani, H</v>
          </cell>
          <cell r="I313">
            <v>350000</v>
          </cell>
          <cell r="L313">
            <v>0</v>
          </cell>
          <cell r="M313">
            <v>350000</v>
          </cell>
        </row>
        <row r="314">
          <cell r="E314" t="str">
            <v>Ira Tani/Dani, H</v>
          </cell>
          <cell r="I314">
            <v>3000000</v>
          </cell>
          <cell r="L314">
            <v>0</v>
          </cell>
          <cell r="M314">
            <v>3000000</v>
          </cell>
        </row>
        <row r="315">
          <cell r="E315" t="str">
            <v>Ira Tani/Dani, H</v>
          </cell>
          <cell r="I315">
            <v>1100000</v>
          </cell>
          <cell r="L315">
            <v>0</v>
          </cell>
          <cell r="M315">
            <v>1100000</v>
          </cell>
        </row>
        <row r="316">
          <cell r="E316" t="str">
            <v>Ira Tani/Dani, H</v>
          </cell>
          <cell r="I316">
            <v>1680000</v>
          </cell>
          <cell r="L316">
            <v>0</v>
          </cell>
          <cell r="M316">
            <v>1680000</v>
          </cell>
        </row>
        <row r="317">
          <cell r="E317" t="str">
            <v>Joyo Tani/Wiwik</v>
          </cell>
          <cell r="I317">
            <v>17040000</v>
          </cell>
          <cell r="L317">
            <v>0</v>
          </cell>
          <cell r="M317">
            <v>17040000</v>
          </cell>
        </row>
        <row r="318">
          <cell r="E318" t="str">
            <v>Joyo Tani/Wiwik</v>
          </cell>
          <cell r="I318">
            <v>3540000</v>
          </cell>
          <cell r="L318">
            <v>0</v>
          </cell>
          <cell r="M318">
            <v>3540000</v>
          </cell>
        </row>
        <row r="319">
          <cell r="E319" t="str">
            <v>Joyo Tani/Wiwik</v>
          </cell>
          <cell r="I319">
            <v>5350000</v>
          </cell>
          <cell r="L319">
            <v>0</v>
          </cell>
          <cell r="M319">
            <v>5350000</v>
          </cell>
        </row>
        <row r="320">
          <cell r="E320" t="str">
            <v>Lancar Barokah Tani/Abd Rosit</v>
          </cell>
          <cell r="I320">
            <v>6630000</v>
          </cell>
          <cell r="L320">
            <v>0</v>
          </cell>
          <cell r="M320">
            <v>6630000</v>
          </cell>
        </row>
        <row r="321">
          <cell r="E321" t="str">
            <v>Maha Tani/Jasuli</v>
          </cell>
          <cell r="I321">
            <v>1720000</v>
          </cell>
          <cell r="L321">
            <v>1720000</v>
          </cell>
          <cell r="M321">
            <v>0</v>
          </cell>
        </row>
        <row r="322">
          <cell r="E322" t="str">
            <v>Maju Tani/Dedi Kurniawan</v>
          </cell>
          <cell r="I322">
            <v>1949500</v>
          </cell>
          <cell r="L322">
            <v>0</v>
          </cell>
          <cell r="M322">
            <v>1949500</v>
          </cell>
        </row>
        <row r="323">
          <cell r="E323" t="str">
            <v>Maju Tani/Dedi Kurniawan</v>
          </cell>
          <cell r="I323">
            <v>350000</v>
          </cell>
          <cell r="L323">
            <v>350000</v>
          </cell>
          <cell r="M323">
            <v>0</v>
          </cell>
        </row>
        <row r="324">
          <cell r="E324" t="str">
            <v>Maju Tani/Dedi Kurniawan</v>
          </cell>
          <cell r="I324">
            <v>1912800</v>
          </cell>
          <cell r="L324">
            <v>1912800</v>
          </cell>
          <cell r="M324">
            <v>0</v>
          </cell>
        </row>
        <row r="325">
          <cell r="E325" t="str">
            <v>Maju Tani/Dedi Kurniawan</v>
          </cell>
          <cell r="I325">
            <v>1050000</v>
          </cell>
          <cell r="L325">
            <v>0</v>
          </cell>
          <cell r="M325">
            <v>1050000</v>
          </cell>
        </row>
        <row r="326">
          <cell r="E326" t="str">
            <v>Merdeka Tani/Sugiono</v>
          </cell>
          <cell r="I326">
            <v>60062500</v>
          </cell>
          <cell r="L326">
            <v>0</v>
          </cell>
          <cell r="M326">
            <v>60062500</v>
          </cell>
        </row>
        <row r="327">
          <cell r="E327" t="str">
            <v>Merdeka Tani/Sugiono</v>
          </cell>
          <cell r="I327">
            <v>85200000</v>
          </cell>
          <cell r="L327">
            <v>0</v>
          </cell>
          <cell r="M327">
            <v>85200000</v>
          </cell>
        </row>
        <row r="328">
          <cell r="E328" t="str">
            <v>Merdeka Tani/Sugiono</v>
          </cell>
          <cell r="I328">
            <v>18560000</v>
          </cell>
          <cell r="L328">
            <v>0</v>
          </cell>
          <cell r="M328">
            <v>18560000</v>
          </cell>
        </row>
        <row r="329">
          <cell r="E329" t="str">
            <v>Merdeka Tani/Sugiono</v>
          </cell>
          <cell r="I329">
            <v>25200000</v>
          </cell>
          <cell r="L329">
            <v>0</v>
          </cell>
          <cell r="M329">
            <v>25200000</v>
          </cell>
        </row>
        <row r="330">
          <cell r="E330" t="str">
            <v>Merdeka Tani/Sugiono</v>
          </cell>
          <cell r="I330">
            <v>5400000</v>
          </cell>
          <cell r="L330">
            <v>0</v>
          </cell>
          <cell r="M330">
            <v>5400000</v>
          </cell>
        </row>
        <row r="331">
          <cell r="E331" t="str">
            <v>Merdeka Tani/Sugiono</v>
          </cell>
          <cell r="I331">
            <v>20375000</v>
          </cell>
          <cell r="L331">
            <v>0</v>
          </cell>
          <cell r="M331">
            <v>20375000</v>
          </cell>
        </row>
        <row r="332">
          <cell r="E332" t="str">
            <v>Merdeka Tani/Sugiono</v>
          </cell>
          <cell r="I332">
            <v>47500000</v>
          </cell>
          <cell r="L332">
            <v>0</v>
          </cell>
          <cell r="M332">
            <v>47500000</v>
          </cell>
        </row>
        <row r="333">
          <cell r="E333" t="str">
            <v>Merdeka Tani/Sugiono</v>
          </cell>
          <cell r="I333">
            <v>4500000</v>
          </cell>
          <cell r="L333">
            <v>0</v>
          </cell>
          <cell r="M333">
            <v>4500000</v>
          </cell>
        </row>
        <row r="334">
          <cell r="E334" t="str">
            <v>Merdeka Tani/Sugiono</v>
          </cell>
          <cell r="I334">
            <v>38300000</v>
          </cell>
          <cell r="L334">
            <v>0</v>
          </cell>
          <cell r="M334">
            <v>38300000</v>
          </cell>
        </row>
        <row r="335">
          <cell r="E335" t="str">
            <v>Permata, UD/Badar</v>
          </cell>
          <cell r="I335">
            <v>4120000</v>
          </cell>
          <cell r="L335">
            <v>0</v>
          </cell>
          <cell r="M335">
            <v>4120000</v>
          </cell>
        </row>
        <row r="336">
          <cell r="E336" t="str">
            <v>Permata, UD/Badar</v>
          </cell>
          <cell r="I336">
            <v>9713500</v>
          </cell>
          <cell r="L336">
            <v>0</v>
          </cell>
          <cell r="M336">
            <v>9713500</v>
          </cell>
        </row>
        <row r="337">
          <cell r="E337" t="str">
            <v>Permata, UD/Badar</v>
          </cell>
          <cell r="I337">
            <v>4320000</v>
          </cell>
          <cell r="L337">
            <v>0</v>
          </cell>
          <cell r="M337">
            <v>4320000</v>
          </cell>
        </row>
        <row r="338">
          <cell r="E338" t="str">
            <v>Permata, UD/Badar</v>
          </cell>
          <cell r="I338">
            <v>2050000</v>
          </cell>
          <cell r="L338">
            <v>0</v>
          </cell>
          <cell r="M338">
            <v>2050000</v>
          </cell>
        </row>
        <row r="339">
          <cell r="E339" t="str">
            <v>Permata, UD/Badar</v>
          </cell>
          <cell r="I339">
            <v>7106500</v>
          </cell>
          <cell r="L339">
            <v>0</v>
          </cell>
          <cell r="M339">
            <v>7106500</v>
          </cell>
        </row>
        <row r="340">
          <cell r="E340" t="str">
            <v>Permata, UD/Badar</v>
          </cell>
          <cell r="I340">
            <v>14760000</v>
          </cell>
          <cell r="L340">
            <v>0</v>
          </cell>
          <cell r="M340">
            <v>14760000</v>
          </cell>
        </row>
        <row r="341">
          <cell r="E341" t="str">
            <v>Puji Barokah Tani</v>
          </cell>
          <cell r="I341">
            <v>980000</v>
          </cell>
          <cell r="L341">
            <v>0</v>
          </cell>
          <cell r="M341">
            <v>980000</v>
          </cell>
        </row>
        <row r="342">
          <cell r="E342" t="str">
            <v>Putra Tani/Muzaiyin</v>
          </cell>
          <cell r="I342">
            <v>2200000</v>
          </cell>
          <cell r="L342">
            <v>0</v>
          </cell>
          <cell r="M342">
            <v>2200000</v>
          </cell>
        </row>
        <row r="343">
          <cell r="E343" t="str">
            <v>Putra Tani/Muzaiyin</v>
          </cell>
          <cell r="I343">
            <v>3665000</v>
          </cell>
          <cell r="L343">
            <v>0</v>
          </cell>
          <cell r="M343">
            <v>3665000</v>
          </cell>
        </row>
        <row r="344">
          <cell r="E344" t="str">
            <v>Rahma Tani, CV</v>
          </cell>
          <cell r="I344">
            <v>5250000</v>
          </cell>
          <cell r="L344">
            <v>0</v>
          </cell>
          <cell r="M344">
            <v>5250000</v>
          </cell>
        </row>
        <row r="345">
          <cell r="E345" t="str">
            <v>Rahma Tani, CV</v>
          </cell>
          <cell r="I345">
            <v>1410000</v>
          </cell>
          <cell r="L345">
            <v>0</v>
          </cell>
          <cell r="M345">
            <v>1410000</v>
          </cell>
        </row>
        <row r="346">
          <cell r="E346" t="str">
            <v>Rame Jaya/Cholisoh</v>
          </cell>
          <cell r="I346">
            <v>2540000</v>
          </cell>
          <cell r="L346">
            <v>2540000</v>
          </cell>
          <cell r="M346">
            <v>0</v>
          </cell>
        </row>
        <row r="347">
          <cell r="E347" t="str">
            <v>Rame Jaya/Cholisoh</v>
          </cell>
          <cell r="I347">
            <v>1440000</v>
          </cell>
          <cell r="L347">
            <v>1440000</v>
          </cell>
          <cell r="M347">
            <v>0</v>
          </cell>
        </row>
        <row r="348">
          <cell r="E348" t="str">
            <v>Restu Tani/Didik</v>
          </cell>
          <cell r="I348">
            <v>3800000</v>
          </cell>
          <cell r="L348">
            <v>3800000</v>
          </cell>
          <cell r="M348">
            <v>0</v>
          </cell>
        </row>
        <row r="349">
          <cell r="E349" t="str">
            <v>Restu Tani/Didik</v>
          </cell>
          <cell r="I349">
            <v>3800000</v>
          </cell>
          <cell r="L349">
            <v>3800000</v>
          </cell>
          <cell r="M349">
            <v>0</v>
          </cell>
        </row>
        <row r="350">
          <cell r="E350" t="str">
            <v>Restu Tani/Didik</v>
          </cell>
          <cell r="I350">
            <v>3020000</v>
          </cell>
          <cell r="L350">
            <v>3020000</v>
          </cell>
          <cell r="M350">
            <v>0</v>
          </cell>
        </row>
        <row r="351">
          <cell r="E351" t="str">
            <v>Rindi Tani</v>
          </cell>
          <cell r="I351">
            <v>1566000</v>
          </cell>
          <cell r="L351">
            <v>0</v>
          </cell>
          <cell r="M351">
            <v>1566000</v>
          </cell>
        </row>
        <row r="352">
          <cell r="E352" t="str">
            <v>Riski Tani/Hadi</v>
          </cell>
          <cell r="I352">
            <v>6875000</v>
          </cell>
          <cell r="L352">
            <v>0</v>
          </cell>
          <cell r="M352">
            <v>6875000</v>
          </cell>
        </row>
        <row r="353">
          <cell r="E353" t="str">
            <v>Riski Tani/Hadi</v>
          </cell>
          <cell r="I353">
            <v>5437500</v>
          </cell>
          <cell r="L353">
            <v>0</v>
          </cell>
          <cell r="M353">
            <v>5437500</v>
          </cell>
        </row>
        <row r="354">
          <cell r="E354" t="str">
            <v>Riski Tani/Hadi</v>
          </cell>
          <cell r="I354">
            <v>9600000</v>
          </cell>
          <cell r="L354">
            <v>0</v>
          </cell>
          <cell r="M354">
            <v>9600000</v>
          </cell>
        </row>
        <row r="355">
          <cell r="E355" t="str">
            <v>Riski Tani/Hadi</v>
          </cell>
          <cell r="I355">
            <v>3500000</v>
          </cell>
          <cell r="L355">
            <v>0</v>
          </cell>
          <cell r="M355">
            <v>3500000</v>
          </cell>
        </row>
        <row r="356">
          <cell r="E356" t="str">
            <v>Riski Tani/Hadi</v>
          </cell>
          <cell r="I356">
            <v>1656000</v>
          </cell>
          <cell r="L356">
            <v>0</v>
          </cell>
          <cell r="M356">
            <v>1656000</v>
          </cell>
        </row>
        <row r="357">
          <cell r="E357" t="str">
            <v>Riski Tani/Hadi</v>
          </cell>
          <cell r="I357">
            <v>7837500</v>
          </cell>
          <cell r="L357">
            <v>0</v>
          </cell>
          <cell r="M357">
            <v>7837500</v>
          </cell>
        </row>
        <row r="358">
          <cell r="E358" t="str">
            <v>Riski Tani/Hadi</v>
          </cell>
          <cell r="I358">
            <v>1380000</v>
          </cell>
          <cell r="L358">
            <v>0</v>
          </cell>
          <cell r="M358">
            <v>1380000</v>
          </cell>
        </row>
        <row r="359">
          <cell r="E359" t="str">
            <v>Riski Tani/Hadi</v>
          </cell>
          <cell r="I359">
            <v>1260000</v>
          </cell>
          <cell r="L359">
            <v>0</v>
          </cell>
          <cell r="M359">
            <v>1260000</v>
          </cell>
        </row>
        <row r="360">
          <cell r="E360" t="str">
            <v>Rizki, UD/Kusnyoto</v>
          </cell>
          <cell r="I360">
            <v>2475000</v>
          </cell>
          <cell r="L360">
            <v>2475000</v>
          </cell>
          <cell r="M360">
            <v>0</v>
          </cell>
        </row>
        <row r="361">
          <cell r="E361" t="str">
            <v>Sadar Sari/Farid Firdaus</v>
          </cell>
          <cell r="I361">
            <v>5080000</v>
          </cell>
          <cell r="L361">
            <v>0</v>
          </cell>
          <cell r="M361">
            <v>5080000</v>
          </cell>
        </row>
        <row r="362">
          <cell r="E362" t="str">
            <v>Sadar Sari/Farid Firdaus</v>
          </cell>
          <cell r="I362">
            <v>4650000</v>
          </cell>
          <cell r="L362">
            <v>0</v>
          </cell>
          <cell r="M362">
            <v>4650000</v>
          </cell>
        </row>
        <row r="363">
          <cell r="E363" t="str">
            <v>Sadar Sari/Farid Firdaus</v>
          </cell>
          <cell r="I363">
            <v>7840000</v>
          </cell>
          <cell r="L363">
            <v>0</v>
          </cell>
          <cell r="M363">
            <v>7840000</v>
          </cell>
        </row>
        <row r="364">
          <cell r="E364" t="str">
            <v>Sadar Sari/Farid Firdaus</v>
          </cell>
          <cell r="I364">
            <v>1008000</v>
          </cell>
          <cell r="L364">
            <v>0</v>
          </cell>
          <cell r="M364">
            <v>1008000</v>
          </cell>
        </row>
        <row r="365">
          <cell r="E365" t="str">
            <v>Sahabat Tani/Abdul Rohman</v>
          </cell>
          <cell r="I365">
            <v>3906250</v>
          </cell>
          <cell r="L365">
            <v>2000000</v>
          </cell>
          <cell r="M365">
            <v>1906250</v>
          </cell>
        </row>
        <row r="366">
          <cell r="E366" t="str">
            <v>Sekar Tani/Matori</v>
          </cell>
          <cell r="I366">
            <v>26435000</v>
          </cell>
          <cell r="L366">
            <v>7500000</v>
          </cell>
          <cell r="M366">
            <v>18935000</v>
          </cell>
        </row>
        <row r="367">
          <cell r="E367" t="str">
            <v>Sekar Tani/Matori</v>
          </cell>
          <cell r="I367">
            <v>5250000</v>
          </cell>
          <cell r="L367">
            <v>0</v>
          </cell>
          <cell r="M367">
            <v>5250000</v>
          </cell>
        </row>
        <row r="368">
          <cell r="E368" t="str">
            <v>Sekar Tani/Matori</v>
          </cell>
          <cell r="I368">
            <v>5450000</v>
          </cell>
          <cell r="L368">
            <v>0</v>
          </cell>
          <cell r="M368">
            <v>5450000</v>
          </cell>
        </row>
        <row r="369">
          <cell r="E369" t="str">
            <v>Sekar Tani/Matori</v>
          </cell>
          <cell r="I369">
            <v>3340000</v>
          </cell>
          <cell r="L369">
            <v>0</v>
          </cell>
          <cell r="M369">
            <v>3340000</v>
          </cell>
        </row>
        <row r="370">
          <cell r="E370" t="str">
            <v>Sekar Tani/Matori</v>
          </cell>
          <cell r="I370">
            <v>24600000</v>
          </cell>
          <cell r="L370">
            <v>0</v>
          </cell>
          <cell r="M370">
            <v>24600000</v>
          </cell>
        </row>
        <row r="371">
          <cell r="E371" t="str">
            <v>Sekumpul Tani/Nofal</v>
          </cell>
          <cell r="I371">
            <v>3670000</v>
          </cell>
          <cell r="L371">
            <v>3670000</v>
          </cell>
          <cell r="M371">
            <v>0</v>
          </cell>
        </row>
        <row r="372">
          <cell r="E372" t="str">
            <v>Serba Hasil/Ansori</v>
          </cell>
          <cell r="I372">
            <v>33440000</v>
          </cell>
          <cell r="L372">
            <v>0</v>
          </cell>
          <cell r="M372">
            <v>33440000</v>
          </cell>
        </row>
        <row r="373">
          <cell r="E373" t="str">
            <v>Serba Hasil/Ansori</v>
          </cell>
          <cell r="I373">
            <v>19839000</v>
          </cell>
          <cell r="L373">
            <v>0</v>
          </cell>
          <cell r="M373">
            <v>19839000</v>
          </cell>
        </row>
        <row r="374">
          <cell r="E374" t="str">
            <v>Serba Hasil/Ansori</v>
          </cell>
          <cell r="I374">
            <v>1840000</v>
          </cell>
          <cell r="L374">
            <v>1840000</v>
          </cell>
          <cell r="M374">
            <v>0</v>
          </cell>
        </row>
        <row r="375">
          <cell r="E375" t="str">
            <v>Serba Hasil/Ansori</v>
          </cell>
          <cell r="I375">
            <v>15900000</v>
          </cell>
          <cell r="L375">
            <v>0</v>
          </cell>
          <cell r="M375">
            <v>15900000</v>
          </cell>
        </row>
        <row r="376">
          <cell r="E376" t="str">
            <v>Serba Hasil/Ansori</v>
          </cell>
          <cell r="I376">
            <v>9600000</v>
          </cell>
          <cell r="L376">
            <v>0</v>
          </cell>
          <cell r="M376">
            <v>9600000</v>
          </cell>
        </row>
        <row r="377">
          <cell r="E377" t="str">
            <v>Setia Jaya/Khumaisiyah</v>
          </cell>
          <cell r="I377">
            <v>1392500</v>
          </cell>
          <cell r="L377">
            <v>1392500</v>
          </cell>
          <cell r="M377">
            <v>0</v>
          </cell>
        </row>
        <row r="378">
          <cell r="E378" t="str">
            <v>Sigit/Bayer</v>
          </cell>
          <cell r="I378">
            <v>6545500</v>
          </cell>
          <cell r="L378">
            <v>0</v>
          </cell>
          <cell r="M378">
            <v>6545500</v>
          </cell>
        </row>
        <row r="379">
          <cell r="E379" t="str">
            <v>Simpang Lima</v>
          </cell>
          <cell r="I379">
            <v>952500</v>
          </cell>
          <cell r="L379">
            <v>952500</v>
          </cell>
          <cell r="M379">
            <v>0</v>
          </cell>
        </row>
        <row r="380">
          <cell r="E380" t="str">
            <v>Simpang Lima</v>
          </cell>
          <cell r="I380">
            <v>1720000</v>
          </cell>
          <cell r="L380">
            <v>1720000</v>
          </cell>
          <cell r="M380">
            <v>0</v>
          </cell>
        </row>
        <row r="381">
          <cell r="E381" t="str">
            <v>Suka Maju/Sariatun</v>
          </cell>
          <cell r="I381">
            <v>1112500</v>
          </cell>
          <cell r="L381">
            <v>0</v>
          </cell>
          <cell r="M381">
            <v>1112500</v>
          </cell>
        </row>
        <row r="382">
          <cell r="E382" t="str">
            <v>Suka Maju/Sariatun</v>
          </cell>
          <cell r="I382">
            <v>390000</v>
          </cell>
          <cell r="L382">
            <v>0</v>
          </cell>
          <cell r="M382">
            <v>390000</v>
          </cell>
        </row>
        <row r="383">
          <cell r="E383" t="str">
            <v>Suka Maju/Sariatun</v>
          </cell>
          <cell r="I383">
            <v>1420000</v>
          </cell>
          <cell r="L383">
            <v>0</v>
          </cell>
          <cell r="M383">
            <v>1420000</v>
          </cell>
        </row>
        <row r="384">
          <cell r="E384" t="str">
            <v>Sularmanto MKD</v>
          </cell>
          <cell r="I384">
            <v>28962100</v>
          </cell>
          <cell r="L384">
            <v>0</v>
          </cell>
          <cell r="M384">
            <v>28962100</v>
          </cell>
        </row>
        <row r="385">
          <cell r="E385" t="str">
            <v>Sularmanto MKD</v>
          </cell>
          <cell r="I385">
            <v>30450650</v>
          </cell>
          <cell r="L385">
            <v>0</v>
          </cell>
          <cell r="M385">
            <v>30450650</v>
          </cell>
        </row>
        <row r="386">
          <cell r="E386" t="str">
            <v>Sularmanto MKD</v>
          </cell>
          <cell r="I386">
            <v>175424500</v>
          </cell>
          <cell r="L386">
            <v>79200000</v>
          </cell>
          <cell r="M386">
            <v>96224500</v>
          </cell>
        </row>
        <row r="387">
          <cell r="E387" t="str">
            <v>Sularmanto MKD</v>
          </cell>
          <cell r="I387">
            <v>276875200</v>
          </cell>
          <cell r="L387">
            <v>222908000</v>
          </cell>
          <cell r="M387">
            <v>53967200</v>
          </cell>
        </row>
        <row r="388">
          <cell r="E388" t="str">
            <v>Sularmanto MKD</v>
          </cell>
          <cell r="I388">
            <v>142844000</v>
          </cell>
          <cell r="L388">
            <v>141537500</v>
          </cell>
          <cell r="M388">
            <v>1306500</v>
          </cell>
        </row>
        <row r="389">
          <cell r="E389" t="str">
            <v>Sularmanto MKD</v>
          </cell>
          <cell r="I389">
            <v>46310000</v>
          </cell>
          <cell r="L389">
            <v>0</v>
          </cell>
          <cell r="M389">
            <v>46310000</v>
          </cell>
        </row>
        <row r="390">
          <cell r="E390" t="str">
            <v>Sularmanto MKD</v>
          </cell>
          <cell r="I390">
            <v>422500</v>
          </cell>
          <cell r="L390">
            <v>0</v>
          </cell>
          <cell r="M390">
            <v>422500</v>
          </cell>
        </row>
        <row r="391">
          <cell r="E391" t="str">
            <v>Sumber Eka Tani/Alief</v>
          </cell>
          <cell r="I391">
            <v>1210000</v>
          </cell>
          <cell r="L391">
            <v>0</v>
          </cell>
          <cell r="M391">
            <v>1210000</v>
          </cell>
        </row>
        <row r="392">
          <cell r="E392" t="str">
            <v>Sumber Eka Tani/Alief</v>
          </cell>
          <cell r="I392">
            <v>5320000</v>
          </cell>
          <cell r="L392">
            <v>0</v>
          </cell>
          <cell r="M392">
            <v>5320000</v>
          </cell>
        </row>
        <row r="393">
          <cell r="E393" t="str">
            <v>Sumber Eka Tani/Alief</v>
          </cell>
          <cell r="I393">
            <v>7700000</v>
          </cell>
          <cell r="L393">
            <v>0</v>
          </cell>
          <cell r="M393">
            <v>7700000</v>
          </cell>
        </row>
        <row r="394">
          <cell r="E394" t="str">
            <v>Sumber Tani 2, UD</v>
          </cell>
          <cell r="I394">
            <v>2160000</v>
          </cell>
          <cell r="L394">
            <v>2160000</v>
          </cell>
          <cell r="M394">
            <v>0</v>
          </cell>
        </row>
        <row r="395">
          <cell r="E395" t="str">
            <v>Sumber Tani 2, UD</v>
          </cell>
          <cell r="I395">
            <v>1080000</v>
          </cell>
          <cell r="L395">
            <v>1080000</v>
          </cell>
          <cell r="M395">
            <v>0</v>
          </cell>
        </row>
        <row r="396">
          <cell r="E396" t="str">
            <v>Sumber Tani/Eko Wardono</v>
          </cell>
          <cell r="I396">
            <v>3480000</v>
          </cell>
          <cell r="L396">
            <v>3480000</v>
          </cell>
          <cell r="M396">
            <v>0</v>
          </cell>
        </row>
        <row r="397">
          <cell r="E397" t="str">
            <v>Sumber Tani/Eko Wardono</v>
          </cell>
          <cell r="I397">
            <v>6000000</v>
          </cell>
          <cell r="L397">
            <v>6000000</v>
          </cell>
          <cell r="M397">
            <v>0</v>
          </cell>
        </row>
        <row r="398">
          <cell r="E398" t="str">
            <v>Sumber Tani/Eko Wardono</v>
          </cell>
          <cell r="I398">
            <v>6530000</v>
          </cell>
          <cell r="L398">
            <v>6530000</v>
          </cell>
          <cell r="M398">
            <v>0</v>
          </cell>
        </row>
        <row r="399">
          <cell r="E399" t="str">
            <v>Sumber Tani/Eko Wardono</v>
          </cell>
          <cell r="I399">
            <v>5160000</v>
          </cell>
          <cell r="L399">
            <v>0</v>
          </cell>
          <cell r="M399">
            <v>5160000</v>
          </cell>
        </row>
        <row r="400">
          <cell r="E400" t="str">
            <v>Sumber Tani/Eko Wardono</v>
          </cell>
          <cell r="I400">
            <v>187500</v>
          </cell>
          <cell r="L400">
            <v>0</v>
          </cell>
          <cell r="M400">
            <v>187500</v>
          </cell>
        </row>
        <row r="401">
          <cell r="E401" t="str">
            <v>Sumber Tani/Eko Wardono</v>
          </cell>
          <cell r="I401">
            <v>5160000</v>
          </cell>
          <cell r="L401">
            <v>0</v>
          </cell>
          <cell r="M401">
            <v>5160000</v>
          </cell>
        </row>
        <row r="402">
          <cell r="E402" t="str">
            <v>Sumber Tani/Eko Wardono</v>
          </cell>
          <cell r="I402">
            <v>5200000</v>
          </cell>
          <cell r="L402">
            <v>0</v>
          </cell>
          <cell r="M402">
            <v>5200000</v>
          </cell>
        </row>
        <row r="403">
          <cell r="E403" t="str">
            <v>Sumber Tani/Eko Wardono</v>
          </cell>
          <cell r="I403">
            <v>2690000</v>
          </cell>
          <cell r="L403">
            <v>0</v>
          </cell>
          <cell r="M403">
            <v>2690000</v>
          </cell>
        </row>
        <row r="404">
          <cell r="E404" t="str">
            <v>Sumber Tani/Eko Wardono</v>
          </cell>
          <cell r="I404">
            <v>4300000</v>
          </cell>
          <cell r="L404">
            <v>0</v>
          </cell>
          <cell r="M404">
            <v>4300000</v>
          </cell>
        </row>
        <row r="405">
          <cell r="E405" t="str">
            <v>Sumber Tani/Eko Wardono</v>
          </cell>
          <cell r="I405">
            <v>6150000</v>
          </cell>
          <cell r="L405">
            <v>0</v>
          </cell>
          <cell r="M405">
            <v>6150000</v>
          </cell>
        </row>
        <row r="406">
          <cell r="E406" t="str">
            <v>Sumber Tani/Eko Wardono</v>
          </cell>
          <cell r="I406">
            <v>4085000</v>
          </cell>
          <cell r="L406">
            <v>0</v>
          </cell>
          <cell r="M406">
            <v>4085000</v>
          </cell>
        </row>
        <row r="407">
          <cell r="E407" t="str">
            <v>Sumber Tani/Eko Wardono</v>
          </cell>
          <cell r="I407">
            <v>5500000</v>
          </cell>
          <cell r="L407">
            <v>0</v>
          </cell>
          <cell r="M407">
            <v>5500000</v>
          </cell>
        </row>
        <row r="408">
          <cell r="E408" t="str">
            <v>Sumber Tani/Eko Wardono</v>
          </cell>
          <cell r="I408">
            <v>4300000</v>
          </cell>
          <cell r="L408">
            <v>0</v>
          </cell>
          <cell r="M408">
            <v>4300000</v>
          </cell>
        </row>
        <row r="409">
          <cell r="E409" t="str">
            <v>Sumber Tani/Farid</v>
          </cell>
          <cell r="I409">
            <v>22930000</v>
          </cell>
          <cell r="L409">
            <v>0</v>
          </cell>
          <cell r="M409">
            <v>22930000</v>
          </cell>
        </row>
        <row r="410">
          <cell r="E410" t="str">
            <v>Sumberan Makmur</v>
          </cell>
          <cell r="I410">
            <v>1175000</v>
          </cell>
          <cell r="L410">
            <v>0</v>
          </cell>
          <cell r="M410">
            <v>1175000</v>
          </cell>
        </row>
        <row r="411">
          <cell r="E411" t="str">
            <v>Tani Barokah/Muhdor</v>
          </cell>
          <cell r="I411">
            <v>1860000</v>
          </cell>
          <cell r="L411">
            <v>0</v>
          </cell>
          <cell r="M411">
            <v>1860000</v>
          </cell>
        </row>
        <row r="412">
          <cell r="E412" t="str">
            <v>Tani Barokah/Muhdor</v>
          </cell>
          <cell r="I412">
            <v>782500</v>
          </cell>
          <cell r="L412">
            <v>0</v>
          </cell>
          <cell r="M412">
            <v>782500</v>
          </cell>
        </row>
        <row r="413">
          <cell r="E413" t="str">
            <v>Tani Barokah/Muhdor</v>
          </cell>
          <cell r="I413">
            <v>355000</v>
          </cell>
          <cell r="L413">
            <v>0</v>
          </cell>
          <cell r="M413">
            <v>355000</v>
          </cell>
        </row>
        <row r="414">
          <cell r="E414" t="str">
            <v>Tani Hasil/Ajai</v>
          </cell>
          <cell r="I414">
            <v>408000</v>
          </cell>
          <cell r="L414">
            <v>408000</v>
          </cell>
          <cell r="M414">
            <v>0</v>
          </cell>
        </row>
        <row r="415">
          <cell r="E415" t="str">
            <v>Tani Jaya/Mul</v>
          </cell>
          <cell r="I415">
            <v>7615000</v>
          </cell>
          <cell r="L415">
            <v>0</v>
          </cell>
          <cell r="M415">
            <v>7615000</v>
          </cell>
        </row>
        <row r="416">
          <cell r="E416" t="str">
            <v>Tani Jaya/Mul</v>
          </cell>
          <cell r="I416">
            <v>6000000</v>
          </cell>
          <cell r="L416">
            <v>0</v>
          </cell>
          <cell r="M416">
            <v>6000000</v>
          </cell>
        </row>
        <row r="417">
          <cell r="E417" t="str">
            <v>Tani Jaya/Mul</v>
          </cell>
          <cell r="I417">
            <v>5880000</v>
          </cell>
          <cell r="L417">
            <v>0</v>
          </cell>
          <cell r="M417">
            <v>5880000</v>
          </cell>
        </row>
        <row r="418">
          <cell r="E418" t="str">
            <v>Tani Jaya/Mul</v>
          </cell>
          <cell r="I418">
            <v>6300000</v>
          </cell>
          <cell r="L418">
            <v>0</v>
          </cell>
          <cell r="M418">
            <v>6300000</v>
          </cell>
        </row>
        <row r="419">
          <cell r="E419" t="str">
            <v>Tani Jaya/Mul</v>
          </cell>
          <cell r="I419">
            <v>9412500</v>
          </cell>
          <cell r="L419">
            <v>0</v>
          </cell>
          <cell r="M419">
            <v>9412500</v>
          </cell>
        </row>
        <row r="420">
          <cell r="E420" t="str">
            <v>Tani Jaya/Mul</v>
          </cell>
          <cell r="I420">
            <v>920000</v>
          </cell>
          <cell r="L420">
            <v>0</v>
          </cell>
          <cell r="M420">
            <v>920000</v>
          </cell>
        </row>
        <row r="421">
          <cell r="E421" t="str">
            <v>Tani Joss</v>
          </cell>
          <cell r="I421">
            <v>9700000</v>
          </cell>
          <cell r="L421">
            <v>0</v>
          </cell>
          <cell r="M421">
            <v>9700000</v>
          </cell>
        </row>
        <row r="422">
          <cell r="E422" t="str">
            <v>Tani Joss</v>
          </cell>
          <cell r="I422">
            <v>6534800</v>
          </cell>
          <cell r="L422">
            <v>0</v>
          </cell>
          <cell r="M422">
            <v>6534800</v>
          </cell>
        </row>
        <row r="423">
          <cell r="E423" t="str">
            <v>Tani Makmur 2</v>
          </cell>
          <cell r="I423">
            <v>37400000</v>
          </cell>
          <cell r="L423">
            <v>9950000</v>
          </cell>
          <cell r="M423">
            <v>27450000</v>
          </cell>
        </row>
        <row r="424">
          <cell r="E424" t="str">
            <v>Tani Mulyo, UD/Bastian</v>
          </cell>
          <cell r="I424">
            <v>3300000</v>
          </cell>
          <cell r="L424">
            <v>3300000</v>
          </cell>
          <cell r="M424">
            <v>0</v>
          </cell>
        </row>
        <row r="425">
          <cell r="E425" t="str">
            <v>Tani Mulyo, UD/Bastian</v>
          </cell>
          <cell r="I425">
            <v>940000</v>
          </cell>
          <cell r="L425">
            <v>940000</v>
          </cell>
          <cell r="M425">
            <v>0</v>
          </cell>
        </row>
        <row r="426">
          <cell r="E426" t="str">
            <v>Tani Mulyo, UD/Bastian</v>
          </cell>
          <cell r="I426">
            <v>600000</v>
          </cell>
          <cell r="L426">
            <v>600000</v>
          </cell>
          <cell r="M426">
            <v>0</v>
          </cell>
        </row>
        <row r="427">
          <cell r="E427" t="str">
            <v>Tani Mulyo, UD/Bastian</v>
          </cell>
          <cell r="I427">
            <v>2580000</v>
          </cell>
          <cell r="L427">
            <v>0</v>
          </cell>
          <cell r="M427">
            <v>2580000</v>
          </cell>
        </row>
        <row r="428">
          <cell r="E428" t="str">
            <v>Tani Mulyo, UD/Bastian</v>
          </cell>
          <cell r="I428">
            <v>4124800</v>
          </cell>
          <cell r="L428">
            <v>0</v>
          </cell>
          <cell r="M428">
            <v>4124800</v>
          </cell>
        </row>
        <row r="429">
          <cell r="E429" t="str">
            <v>Tani Mulyo, UD/Bastian</v>
          </cell>
          <cell r="I429">
            <v>4680000</v>
          </cell>
          <cell r="L429">
            <v>0</v>
          </cell>
          <cell r="M429">
            <v>4680000</v>
          </cell>
        </row>
        <row r="430">
          <cell r="E430" t="str">
            <v>Tretan Tani/Anam</v>
          </cell>
          <cell r="I430">
            <v>5880000</v>
          </cell>
          <cell r="L430">
            <v>0</v>
          </cell>
          <cell r="M430">
            <v>5880000</v>
          </cell>
        </row>
        <row r="431">
          <cell r="E431" t="str">
            <v>Tretan Tani/Anam</v>
          </cell>
          <cell r="I431">
            <v>2295000</v>
          </cell>
          <cell r="L431">
            <v>0</v>
          </cell>
          <cell r="M431">
            <v>2295000</v>
          </cell>
        </row>
        <row r="432">
          <cell r="E432" t="str">
            <v>Tretan Tani/Anam</v>
          </cell>
          <cell r="I432">
            <v>3825000</v>
          </cell>
          <cell r="L432">
            <v>0</v>
          </cell>
          <cell r="M432">
            <v>3825000</v>
          </cell>
        </row>
        <row r="433">
          <cell r="E433" t="str">
            <v>Wahana Pundikarsa Abadi, PT</v>
          </cell>
          <cell r="I433">
            <v>7795200</v>
          </cell>
          <cell r="L433">
            <v>0</v>
          </cell>
          <cell r="M433">
            <v>7795200</v>
          </cell>
        </row>
        <row r="434">
          <cell r="E434" t="str">
            <v>Wijaya/Retty</v>
          </cell>
          <cell r="I434">
            <v>2248000</v>
          </cell>
          <cell r="L434">
            <v>0</v>
          </cell>
          <cell r="M434">
            <v>2248000</v>
          </cell>
        </row>
        <row r="435">
          <cell r="E435" t="str">
            <v>Wijaya/Retty</v>
          </cell>
          <cell r="I435">
            <v>4765000</v>
          </cell>
          <cell r="L435">
            <v>0</v>
          </cell>
          <cell r="M435">
            <v>4765000</v>
          </cell>
        </row>
        <row r="436">
          <cell r="E436" t="str">
            <v>Wijaya/Retty</v>
          </cell>
          <cell r="I436">
            <v>4920000</v>
          </cell>
          <cell r="L436">
            <v>0</v>
          </cell>
          <cell r="M436">
            <v>4920000</v>
          </cell>
        </row>
        <row r="437">
          <cell r="E437" t="str">
            <v>Wira Tani, UD</v>
          </cell>
          <cell r="I437">
            <v>4660000</v>
          </cell>
          <cell r="L437">
            <v>3500000</v>
          </cell>
          <cell r="M437">
            <v>1160000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D26003380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B26003229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B26001402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D26000735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D26001257</v>
          </cell>
          <cell r="AP14">
            <v>0</v>
          </cell>
          <cell r="AQ14">
            <v>0</v>
          </cell>
          <cell r="AV14">
            <v>5325000</v>
          </cell>
        </row>
        <row r="15">
          <cell r="E15" t="str">
            <v>D26001258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B26001582</v>
          </cell>
          <cell r="AP16">
            <v>0</v>
          </cell>
          <cell r="AQ16">
            <v>0</v>
          </cell>
          <cell r="AV16">
            <v>15770000</v>
          </cell>
        </row>
        <row r="17">
          <cell r="E17" t="str">
            <v>B26001651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B26002060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D26002172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B26002962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D25013604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B26000149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D26001878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B26001775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B26002516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B26002892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D26003118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D26003305</v>
          </cell>
          <cell r="AP28">
            <v>0</v>
          </cell>
          <cell r="AQ28">
            <v>0</v>
          </cell>
          <cell r="AV28">
            <v>0</v>
          </cell>
        </row>
        <row r="29">
          <cell r="E29">
            <v>260022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D26003444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B26000698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T26000040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D26003121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T25000266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B25013635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B25013636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D25016962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B25016685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B26002238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B26002239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B26002807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D26002949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T26000221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T26000255</v>
          </cell>
          <cell r="AP44">
            <v>0</v>
          </cell>
          <cell r="AQ44">
            <v>0</v>
          </cell>
          <cell r="AV44">
            <v>3700000</v>
          </cell>
        </row>
        <row r="45">
          <cell r="E45" t="str">
            <v>R25000092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D26001073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D26001074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B26003248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B26003250</v>
          </cell>
          <cell r="AP49">
            <v>0</v>
          </cell>
          <cell r="AQ49">
            <v>0</v>
          </cell>
          <cell r="AV49">
            <v>12000000</v>
          </cell>
        </row>
        <row r="50">
          <cell r="E50" t="str">
            <v>B25016283</v>
          </cell>
          <cell r="AP50">
            <v>0</v>
          </cell>
          <cell r="AQ50">
            <v>0</v>
          </cell>
          <cell r="AV50">
            <v>161150000</v>
          </cell>
        </row>
        <row r="51">
          <cell r="E51" t="str">
            <v>B25016284</v>
          </cell>
          <cell r="AP51">
            <v>0</v>
          </cell>
          <cell r="AQ51">
            <v>0</v>
          </cell>
          <cell r="AV51">
            <v>50550000</v>
          </cell>
        </row>
        <row r="52">
          <cell r="E52" t="str">
            <v>D26001142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D26002954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D26002955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D26003335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D26002020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D26002074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D26003212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D26002421</v>
          </cell>
          <cell r="AP59">
            <v>0</v>
          </cell>
          <cell r="AQ59">
            <v>0</v>
          </cell>
          <cell r="AV59">
            <v>2946000</v>
          </cell>
        </row>
        <row r="60">
          <cell r="E60" t="str">
            <v>T26000164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D26002777</v>
          </cell>
          <cell r="AP61">
            <v>0</v>
          </cell>
          <cell r="AQ61">
            <v>0</v>
          </cell>
          <cell r="AV61">
            <v>1740000</v>
          </cell>
        </row>
        <row r="62">
          <cell r="E62" t="str">
            <v>D26002801</v>
          </cell>
          <cell r="AP62">
            <v>0</v>
          </cell>
          <cell r="AQ62">
            <v>0</v>
          </cell>
          <cell r="AV62">
            <v>1440000</v>
          </cell>
        </row>
        <row r="63">
          <cell r="E63" t="str">
            <v>D26003081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D26003101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D26003266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D26003327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D26003293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D26003294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D26000375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B26001258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B26001658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D26001772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B26001815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B26002217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B26003086</v>
          </cell>
          <cell r="AP75">
            <v>0</v>
          </cell>
          <cell r="AQ75">
            <v>0</v>
          </cell>
          <cell r="AV75">
            <v>79000000</v>
          </cell>
        </row>
        <row r="76">
          <cell r="E76" t="str">
            <v>B26003154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B26002420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D26002694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B26002540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D25016973</v>
          </cell>
          <cell r="AP80">
            <v>0</v>
          </cell>
          <cell r="AQ80">
            <v>0</v>
          </cell>
          <cell r="AV80">
            <v>5000000</v>
          </cell>
        </row>
        <row r="81">
          <cell r="E81" t="str">
            <v>D26003400</v>
          </cell>
          <cell r="AP81">
            <v>0</v>
          </cell>
          <cell r="AQ81">
            <v>0</v>
          </cell>
          <cell r="AV81">
            <v>7200000</v>
          </cell>
        </row>
        <row r="82">
          <cell r="E82" t="str">
            <v>D25018878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T25001869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D26000099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D26001690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B26001707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B26001722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B26001797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B26001992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B26002223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B26002370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B26002522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N26000025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B26003078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D26003243</v>
          </cell>
          <cell r="AP95">
            <v>0</v>
          </cell>
          <cell r="AQ95">
            <v>0</v>
          </cell>
          <cell r="AV95">
            <v>49750000</v>
          </cell>
        </row>
        <row r="96">
          <cell r="E96" t="str">
            <v>B26003191</v>
          </cell>
          <cell r="AP96">
            <v>0</v>
          </cell>
          <cell r="AQ96">
            <v>0</v>
          </cell>
          <cell r="AV96">
            <v>38500000</v>
          </cell>
        </row>
        <row r="97">
          <cell r="E97" t="str">
            <v>D26003464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D26000209</v>
          </cell>
          <cell r="AP98">
            <v>0</v>
          </cell>
          <cell r="AQ98">
            <v>0</v>
          </cell>
          <cell r="AV98">
            <v>3500000</v>
          </cell>
        </row>
        <row r="99">
          <cell r="E99" t="str">
            <v>B26001115</v>
          </cell>
          <cell r="AP99">
            <v>0</v>
          </cell>
          <cell r="AQ99">
            <v>0</v>
          </cell>
          <cell r="AV99">
            <v>3795000</v>
          </cell>
        </row>
        <row r="100">
          <cell r="E100" t="str">
            <v>B26001116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T26000098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D26001469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D26001603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B26002030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B26002428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D26002628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B26002916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D26001110</v>
          </cell>
          <cell r="AP108">
            <v>0</v>
          </cell>
          <cell r="AQ108">
            <v>0</v>
          </cell>
          <cell r="AV108">
            <v>5884000</v>
          </cell>
        </row>
        <row r="109">
          <cell r="E109" t="str">
            <v>D26001939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D26001940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B26001843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D26002381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D26002382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D26002720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N26000024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B26003016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B26003017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B26003018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B25016839</v>
          </cell>
          <cell r="AP119">
            <v>0</v>
          </cell>
          <cell r="AQ119">
            <v>0</v>
          </cell>
          <cell r="AV119">
            <v>5300000</v>
          </cell>
        </row>
        <row r="120">
          <cell r="E120">
            <v>260008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B26001067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D26001141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B26001925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B26001948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D26002072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D26002399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D26003052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D26003065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T26000224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T26000275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B26000949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B26001134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D26001706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D26002751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B26002698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D26003051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D25019513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B26000096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B26000131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D26000074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D26000098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D26000109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D26000207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B26000766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D26001183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B26001162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B26001461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B26001838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D26000288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B26001492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D26002746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D26001216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B26001011</v>
          </cell>
          <cell r="AP153">
            <v>0</v>
          </cell>
          <cell r="AQ153">
            <v>0</v>
          </cell>
          <cell r="AV153">
            <v>3760000</v>
          </cell>
        </row>
        <row r="154">
          <cell r="E154" t="str">
            <v>B26001114</v>
          </cell>
          <cell r="AP154">
            <v>0</v>
          </cell>
          <cell r="AQ154">
            <v>0</v>
          </cell>
          <cell r="AV154">
            <v>1240000</v>
          </cell>
        </row>
        <row r="155">
          <cell r="E155" t="str">
            <v>B26002558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B26002799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L23000053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D24005367</v>
          </cell>
          <cell r="AP158">
            <v>0</v>
          </cell>
          <cell r="AQ158">
            <v>0</v>
          </cell>
          <cell r="AV158">
            <v>1000000</v>
          </cell>
        </row>
        <row r="159">
          <cell r="E159" t="str">
            <v>B26002570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B26000136</v>
          </cell>
          <cell r="AP160">
            <v>0</v>
          </cell>
          <cell r="AQ160">
            <v>0</v>
          </cell>
          <cell r="AV160">
            <v>10000000</v>
          </cell>
        </row>
        <row r="161">
          <cell r="E161" t="str">
            <v>D26000208</v>
          </cell>
          <cell r="AP161">
            <v>0</v>
          </cell>
          <cell r="AQ161">
            <v>0</v>
          </cell>
          <cell r="AV161">
            <v>10419000</v>
          </cell>
        </row>
        <row r="162">
          <cell r="E162" t="str">
            <v>D26001256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B26001705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D26001977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D26002260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B26002429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B26002578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B26002871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B26003005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D26003463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B25016713</v>
          </cell>
          <cell r="AP171">
            <v>0</v>
          </cell>
          <cell r="AQ171">
            <v>0</v>
          </cell>
          <cell r="AV171">
            <v>1720000</v>
          </cell>
        </row>
        <row r="172">
          <cell r="E172" t="str">
            <v>D25019220</v>
          </cell>
          <cell r="AP172">
            <v>0</v>
          </cell>
          <cell r="AQ172">
            <v>0</v>
          </cell>
          <cell r="AV172">
            <v>1750000</v>
          </cell>
        </row>
        <row r="173">
          <cell r="E173" t="str">
            <v>D25019249</v>
          </cell>
          <cell r="AP173">
            <v>0</v>
          </cell>
          <cell r="AQ173">
            <v>0</v>
          </cell>
          <cell r="AV173">
            <v>1800000</v>
          </cell>
        </row>
        <row r="174">
          <cell r="E174" t="str">
            <v>D25019291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D25019449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B26000018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B26000036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D26000067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B26000277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B26000503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D26000639</v>
          </cell>
          <cell r="AP181">
            <v>0</v>
          </cell>
          <cell r="AQ181">
            <v>0</v>
          </cell>
          <cell r="AV181">
            <v>0</v>
          </cell>
        </row>
        <row r="182">
          <cell r="E182" t="str">
            <v>D26000680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D26000704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D26001245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D26001249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D26001321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D26001350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D26001617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B26002292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B26002297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B26002900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B26002976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D26003189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B26002606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Z26000583</v>
          </cell>
          <cell r="AP195">
            <v>0</v>
          </cell>
          <cell r="AQ195">
            <v>0</v>
          </cell>
          <cell r="AV195">
            <v>9900000</v>
          </cell>
        </row>
        <row r="196">
          <cell r="E196" t="str">
            <v>Z26000600</v>
          </cell>
          <cell r="AP196">
            <v>0</v>
          </cell>
          <cell r="AQ196">
            <v>0</v>
          </cell>
          <cell r="AV196">
            <v>29800000</v>
          </cell>
        </row>
        <row r="197">
          <cell r="E197" t="str">
            <v>T25000256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D25015128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D25016443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B25014326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D25016655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D25016794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D25016795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D25016961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D25016961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D25016961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D25016965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D25017238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D25017452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D25017452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D25017453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D25017788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D25017788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D25017788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D25017789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D25017790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D25018075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D25018076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D25018076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D25018077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D25018249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D25018249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D25018250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D25018468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D25018468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D25018526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D25018527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B25016302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B25016302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B25016302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B25016303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D25018894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D25018894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D25018894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D25018895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D25018895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D25018895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D25018895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D25019161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D25019167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D25019167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D25019260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D25019260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D25019260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D25019261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D25019262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D25019262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D25019519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D25019519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D25019519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D25019519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D25019520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D25019715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D25019716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D25019716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D26000239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D26000239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D26000240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D26000240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D26000543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D26000544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D26000544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D26000545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D26000545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D26000990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D26000991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D26000991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D26000991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D26000992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D26000992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D26000992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D26001308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D26001308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D26001309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D26001550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D26001550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D26001550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D26001550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D26001551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D26001552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D26001552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D26001711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D26001711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D26001712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D26001712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D26001712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D26001712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D26001713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D26001952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D26001952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D26001952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D26001952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D26001952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D26001953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D26001953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D26002263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D26002263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D26002263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D26002264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D26002475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D26002475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D26002475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D26002669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D26002669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D26002669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D26002670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D26002670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D26002671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D26002671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D26002742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D26002743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D26002930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D26002930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D26002930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D26002930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D26002930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D26002930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D26002931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D26002931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D26002989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D26002989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D26003172</v>
          </cell>
          <cell r="AP322">
            <v>0</v>
          </cell>
          <cell r="AQ322">
            <v>50000000</v>
          </cell>
          <cell r="AV322">
            <v>0</v>
          </cell>
        </row>
        <row r="323">
          <cell r="E323" t="str">
            <v>D26003172</v>
          </cell>
          <cell r="AP323">
            <v>0</v>
          </cell>
          <cell r="AQ323">
            <v>492250000</v>
          </cell>
          <cell r="AV323">
            <v>0</v>
          </cell>
        </row>
        <row r="324">
          <cell r="E324" t="str">
            <v>D26003172</v>
          </cell>
          <cell r="AP324">
            <v>0</v>
          </cell>
          <cell r="AQ324">
            <v>488000000</v>
          </cell>
          <cell r="AV324">
            <v>0</v>
          </cell>
        </row>
        <row r="325">
          <cell r="E325" t="str">
            <v>D26003172</v>
          </cell>
          <cell r="AP325">
            <v>0</v>
          </cell>
          <cell r="AQ325">
            <v>488000000</v>
          </cell>
          <cell r="AV325">
            <v>0</v>
          </cell>
        </row>
        <row r="326">
          <cell r="E326" t="str">
            <v>D26003172</v>
          </cell>
          <cell r="AP326">
            <v>0</v>
          </cell>
          <cell r="AQ326">
            <v>488000000</v>
          </cell>
          <cell r="AV326">
            <v>0</v>
          </cell>
        </row>
        <row r="327">
          <cell r="E327" t="str">
            <v>D26003172</v>
          </cell>
          <cell r="AP327">
            <v>0</v>
          </cell>
          <cell r="AQ327">
            <v>488000000</v>
          </cell>
          <cell r="AV327">
            <v>0</v>
          </cell>
        </row>
        <row r="328">
          <cell r="E328" t="str">
            <v>B26003171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B26003172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B26003173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D26003391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D26003392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D26003393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B26003223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D26003404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D25019182</v>
          </cell>
          <cell r="AP336">
            <v>0</v>
          </cell>
          <cell r="AQ336">
            <v>0</v>
          </cell>
          <cell r="AV336">
            <v>9080000</v>
          </cell>
        </row>
        <row r="337">
          <cell r="E337" t="str">
            <v>B25016701</v>
          </cell>
          <cell r="AP337">
            <v>0</v>
          </cell>
          <cell r="AQ337">
            <v>0</v>
          </cell>
          <cell r="AV337">
            <v>65920000</v>
          </cell>
        </row>
        <row r="338">
          <cell r="E338" t="str">
            <v>D26001075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D26001150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D26001849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D26001872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D26001904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D26002423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T26000190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B26002813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B26003177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D26003273</v>
          </cell>
          <cell r="AP347">
            <v>0</v>
          </cell>
          <cell r="AQ347">
            <v>0</v>
          </cell>
          <cell r="AV347">
            <v>3000000</v>
          </cell>
        </row>
        <row r="348">
          <cell r="E348" t="str">
            <v>D26003274</v>
          </cell>
          <cell r="AP348">
            <v>0</v>
          </cell>
          <cell r="AQ348">
            <v>0</v>
          </cell>
          <cell r="AV348">
            <v>20840000</v>
          </cell>
        </row>
        <row r="349">
          <cell r="E349" t="str">
            <v>D26003299</v>
          </cell>
          <cell r="AP349">
            <v>0</v>
          </cell>
          <cell r="AQ349">
            <v>0</v>
          </cell>
          <cell r="AV349">
            <v>4700000</v>
          </cell>
        </row>
        <row r="350">
          <cell r="E350" t="str">
            <v>D26003304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Z26000624</v>
          </cell>
          <cell r="AP351">
            <v>0</v>
          </cell>
          <cell r="AQ351">
            <v>0</v>
          </cell>
          <cell r="AV351">
            <v>2590000</v>
          </cell>
        </row>
        <row r="352">
          <cell r="E352" t="str">
            <v>D26003288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Z26000591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Z26000602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T26000243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T26000244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B26000646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B26000648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B26001037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B26001038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B26001062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D25016698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D26003415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D26000989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D26001773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B26001794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B26002720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B26003144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B26000714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D26002456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D26002953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B26003110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D25006386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D26000905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B26001177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D26001671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B26001724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B26002319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N26000032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B26000151</v>
          </cell>
          <cell r="AP380">
            <v>0</v>
          </cell>
          <cell r="AQ380">
            <v>0</v>
          </cell>
          <cell r="AV380">
            <v>2500000</v>
          </cell>
        </row>
        <row r="381">
          <cell r="E381" t="str">
            <v>B26001557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D26001708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D25019679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D25019723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B26000334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B26000384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B26000390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B26000860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D26002031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D26002105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D26002145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D26002163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B26002669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 t="str">
            <v>D26001756</v>
          </cell>
          <cell r="AP394">
            <v>0</v>
          </cell>
          <cell r="AQ394">
            <v>0</v>
          </cell>
          <cell r="AV394">
            <v>900000</v>
          </cell>
        </row>
        <row r="395">
          <cell r="E395" t="str">
            <v>D26001757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D26003278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D26003103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D26003276</v>
          </cell>
          <cell r="AP398">
            <v>0</v>
          </cell>
          <cell r="AQ398">
            <v>0</v>
          </cell>
          <cell r="AV398">
            <v>850000</v>
          </cell>
        </row>
        <row r="399">
          <cell r="E399" t="str">
            <v>Z26000031</v>
          </cell>
          <cell r="AP399">
            <v>0</v>
          </cell>
          <cell r="AQ399">
            <v>0</v>
          </cell>
          <cell r="AV399">
            <v>8500000</v>
          </cell>
        </row>
        <row r="400">
          <cell r="E400" t="str">
            <v>Z26000511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B25012277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B25016665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D25019575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D26000527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D26000528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D26000537</v>
          </cell>
          <cell r="AP406">
            <v>0</v>
          </cell>
          <cell r="AQ406">
            <v>0</v>
          </cell>
          <cell r="AV406">
            <v>69345000</v>
          </cell>
        </row>
        <row r="407">
          <cell r="E407" t="str">
            <v>B26000535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D26000574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B26000909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B26000910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D26000998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D26001168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D26001203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B26001335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B26001404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B26001514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B26001516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B26001549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D26001806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D26001818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>
            <v>260011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D26002028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D26002057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D26002189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D26002190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B26002541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B26002542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B26002627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B26002628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B26002630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D26002957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D26003262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D26003268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D26003279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D26003296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D26003297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D26003324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D26003331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D26003332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B26003178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Z26000359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D26001473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D26001474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B26001423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D26002590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D26002902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T25001848</v>
          </cell>
          <cell r="AP447">
            <v>0</v>
          </cell>
          <cell r="AQ447">
            <v>0</v>
          </cell>
          <cell r="AV447">
            <v>3700000</v>
          </cell>
        </row>
        <row r="448">
          <cell r="E448" t="str">
            <v>D26000419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B26000844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B26001355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D26001483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D26001484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D26003152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D26001647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D26003522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R25000117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R25000118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R25000123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R25000137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R25000139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R26000010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R26000011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R26000012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R26000013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D25017747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D25019190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B26003036</v>
          </cell>
          <cell r="AP467">
            <v>0</v>
          </cell>
          <cell r="AQ467">
            <v>0</v>
          </cell>
          <cell r="AV467">
            <v>4200000</v>
          </cell>
        </row>
        <row r="468">
          <cell r="E468" t="str">
            <v>D25017981</v>
          </cell>
          <cell r="AP468">
            <v>0</v>
          </cell>
          <cell r="AQ468">
            <v>0</v>
          </cell>
          <cell r="AV468">
            <v>10000000</v>
          </cell>
        </row>
        <row r="469">
          <cell r="E469" t="str">
            <v>D25019585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T26000022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D26002532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B26002957</v>
          </cell>
          <cell r="AP472">
            <v>0</v>
          </cell>
          <cell r="AQ472">
            <v>0</v>
          </cell>
          <cell r="AV472">
            <v>5560000</v>
          </cell>
        </row>
        <row r="473">
          <cell r="E473" t="str">
            <v>D26003528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D26001737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D26002458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D26003120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D26003270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D26003434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B26000883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B26002556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B26003163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T25001847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B26003166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D25017632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B25015486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B25016160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B25016541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D25019609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B26000809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B26001272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D26002126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D26002127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D26002853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B26003031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T26000250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D26003490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B25016801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D26000133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B26001156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D26002611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D25019374</v>
          </cell>
          <cell r="AP501">
            <v>0</v>
          </cell>
          <cell r="AQ501">
            <v>0</v>
          </cell>
          <cell r="AV501">
            <v>8100000</v>
          </cell>
        </row>
        <row r="502">
          <cell r="E502" t="str">
            <v>B26001356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B26001361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B26002311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D26002519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D26003149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D26003150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D26003179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T26000129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B26001892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D26002425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B26002796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D26003070</v>
          </cell>
          <cell r="AP513">
            <v>0</v>
          </cell>
          <cell r="AQ513">
            <v>0</v>
          </cell>
          <cell r="AV513">
            <v>1875000</v>
          </cell>
        </row>
        <row r="514">
          <cell r="E514" t="str">
            <v>B26002964</v>
          </cell>
          <cell r="AP514">
            <v>0</v>
          </cell>
          <cell r="AQ514">
            <v>0</v>
          </cell>
          <cell r="AV514">
            <v>5800000</v>
          </cell>
        </row>
        <row r="515">
          <cell r="E515" t="str">
            <v>B26002982</v>
          </cell>
          <cell r="AP515">
            <v>0</v>
          </cell>
          <cell r="AQ515">
            <v>0</v>
          </cell>
          <cell r="AV515">
            <v>3100000</v>
          </cell>
        </row>
        <row r="516">
          <cell r="E516" t="str">
            <v>B26002924</v>
          </cell>
          <cell r="AP516">
            <v>0</v>
          </cell>
          <cell r="AQ516">
            <v>0</v>
          </cell>
          <cell r="AV516">
            <v>2600000</v>
          </cell>
        </row>
        <row r="517">
          <cell r="E517" t="str">
            <v>B26000551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B26002604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D26003347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B25014931</v>
          </cell>
          <cell r="AP520">
            <v>0</v>
          </cell>
          <cell r="AQ520">
            <v>0</v>
          </cell>
          <cell r="AV520">
            <v>164000000</v>
          </cell>
        </row>
        <row r="521">
          <cell r="E521" t="str">
            <v>B25015950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D25018926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D25019593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D25019706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D25019710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B26000138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D26000224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D26000755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D26000858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D26001091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B26001141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B26001288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D26001535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D26001594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D26001609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D26001683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D26001715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D26001857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B26001812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B26001813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B26001918</v>
          </cell>
          <cell r="AP541">
            <v>0</v>
          </cell>
          <cell r="AQ541">
            <v>0</v>
          </cell>
          <cell r="AV541">
            <v>0</v>
          </cell>
        </row>
        <row r="542">
          <cell r="E542" t="str">
            <v>B26001964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D26002205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D26002400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D26002838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D26002872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D26002948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B26002886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D26003223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D26003271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D26003272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D26003311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D26003298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B26001086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D26003280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D26003281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D26000034</v>
          </cell>
          <cell r="AP557">
            <v>0</v>
          </cell>
          <cell r="AQ557">
            <v>0</v>
          </cell>
          <cell r="AV557">
            <v>11260000</v>
          </cell>
        </row>
        <row r="558">
          <cell r="E558" t="str">
            <v>D26000124</v>
          </cell>
          <cell r="AP558">
            <v>0</v>
          </cell>
          <cell r="AQ558">
            <v>0</v>
          </cell>
          <cell r="AV558">
            <v>38740000</v>
          </cell>
        </row>
        <row r="559">
          <cell r="E559" t="str">
            <v>D26000124</v>
          </cell>
          <cell r="AP559">
            <v>0</v>
          </cell>
          <cell r="AQ559">
            <v>0</v>
          </cell>
          <cell r="AV559">
            <v>52160000</v>
          </cell>
        </row>
        <row r="560">
          <cell r="E560" t="str">
            <v>D26000127</v>
          </cell>
          <cell r="AP560">
            <v>0</v>
          </cell>
          <cell r="AQ560">
            <v>0</v>
          </cell>
          <cell r="AV560">
            <v>14250000</v>
          </cell>
        </row>
        <row r="561">
          <cell r="E561" t="str">
            <v>T26000002</v>
          </cell>
          <cell r="AP561">
            <v>0</v>
          </cell>
          <cell r="AQ561">
            <v>0</v>
          </cell>
          <cell r="AV561">
            <v>1590000</v>
          </cell>
        </row>
        <row r="562">
          <cell r="E562" t="str">
            <v>T26000002</v>
          </cell>
          <cell r="AP562">
            <v>0</v>
          </cell>
          <cell r="AQ562">
            <v>0</v>
          </cell>
          <cell r="AV562">
            <v>1910000</v>
          </cell>
        </row>
        <row r="563">
          <cell r="E563" t="str">
            <v>B26000213</v>
          </cell>
          <cell r="AP563">
            <v>0</v>
          </cell>
          <cell r="AQ563">
            <v>0</v>
          </cell>
          <cell r="AV563">
            <v>8700000</v>
          </cell>
        </row>
        <row r="564">
          <cell r="E564" t="str">
            <v>B26000406</v>
          </cell>
          <cell r="AP564">
            <v>0</v>
          </cell>
          <cell r="AQ564">
            <v>0</v>
          </cell>
          <cell r="AV564">
            <v>16500000</v>
          </cell>
        </row>
        <row r="565">
          <cell r="E565" t="str">
            <v>B26000808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B26001003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B26001291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B26001301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B26001546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B26001584</v>
          </cell>
          <cell r="AP570">
            <v>0</v>
          </cell>
          <cell r="AQ570">
            <v>0</v>
          </cell>
          <cell r="AV570">
            <v>46705000</v>
          </cell>
        </row>
        <row r="571">
          <cell r="E571" t="str">
            <v>B26001611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B26001624</v>
          </cell>
          <cell r="AP572">
            <v>0</v>
          </cell>
          <cell r="AQ572">
            <v>0</v>
          </cell>
          <cell r="AV572">
            <v>36500000</v>
          </cell>
        </row>
        <row r="573">
          <cell r="E573" t="str">
            <v>B26001630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B26001699</v>
          </cell>
          <cell r="AP574">
            <v>0</v>
          </cell>
          <cell r="AQ574">
            <v>0</v>
          </cell>
          <cell r="AV574">
            <v>29650000</v>
          </cell>
        </row>
        <row r="575">
          <cell r="E575" t="str">
            <v>B26001759</v>
          </cell>
          <cell r="AP575">
            <v>0</v>
          </cell>
          <cell r="AQ575">
            <v>0</v>
          </cell>
          <cell r="AV575">
            <v>26000000</v>
          </cell>
        </row>
        <row r="576">
          <cell r="E576" t="str">
            <v>D26001896</v>
          </cell>
          <cell r="AP576">
            <v>0</v>
          </cell>
          <cell r="AQ576">
            <v>0</v>
          </cell>
          <cell r="AV576">
            <v>48000000</v>
          </cell>
        </row>
        <row r="577">
          <cell r="E577" t="str">
            <v>D26001943</v>
          </cell>
          <cell r="AP577">
            <v>0</v>
          </cell>
          <cell r="AQ577">
            <v>0</v>
          </cell>
          <cell r="AV577">
            <v>26280000</v>
          </cell>
        </row>
        <row r="578">
          <cell r="E578" t="str">
            <v>B26002010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B26002013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D26002323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D26002370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B26002282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D26002478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B26002406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D26002719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D26002792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B26002694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T26000198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D26003006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B26002872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B26002877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B26002950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D26003171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B26003077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D26003238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D26003479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T26000044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B26002567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T26000186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B26003198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B26003199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B26003211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B26002532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B26001020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B26001077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D26002819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D26003222</v>
          </cell>
          <cell r="AP607">
            <v>0</v>
          </cell>
          <cell r="AQ607">
            <v>0</v>
          </cell>
          <cell r="AV607">
            <v>3900000</v>
          </cell>
        </row>
        <row r="608">
          <cell r="E608" t="str">
            <v>B26003122</v>
          </cell>
          <cell r="AP608">
            <v>0</v>
          </cell>
          <cell r="AQ608">
            <v>0</v>
          </cell>
          <cell r="AV608">
            <v>900000</v>
          </cell>
        </row>
        <row r="609">
          <cell r="E609" t="str">
            <v>B26003224</v>
          </cell>
          <cell r="AP609">
            <v>0</v>
          </cell>
          <cell r="AQ609">
            <v>0</v>
          </cell>
          <cell r="AV609">
            <v>14298800</v>
          </cell>
        </row>
        <row r="610">
          <cell r="E610" t="str">
            <v>D25017245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T25001852k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B26001145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D26001379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D26001511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T26000102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B26001729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B26002566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T26000207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D26003077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R26000002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B26000319</v>
          </cell>
          <cell r="AP621">
            <v>0</v>
          </cell>
          <cell r="AQ621">
            <v>0</v>
          </cell>
          <cell r="AV621">
            <v>1700000</v>
          </cell>
        </row>
        <row r="622">
          <cell r="E622" t="str">
            <v>D26001100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B26001632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D26002566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D26003508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D26003509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R25000110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R25000112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D26002890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B26000017</v>
          </cell>
          <cell r="AP630">
            <v>500</v>
          </cell>
          <cell r="AQ630">
            <v>0</v>
          </cell>
          <cell r="AV630">
            <v>2687000</v>
          </cell>
        </row>
        <row r="631">
          <cell r="E631" t="str">
            <v>D26000130</v>
          </cell>
          <cell r="AP631">
            <v>0</v>
          </cell>
          <cell r="AQ631">
            <v>0</v>
          </cell>
          <cell r="AV631">
            <v>550000</v>
          </cell>
        </row>
        <row r="632">
          <cell r="E632" t="str">
            <v>B26001470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D26001890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B26002614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D26003061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D26003062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D26003213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B25015814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B25015842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B25016842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D25019422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D25019489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D25019666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D26000624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D26001160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D26001161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D26001996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D26002101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D26002102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D26002369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D26002474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B26002896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D26003138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D26003210</v>
          </cell>
          <cell r="AP654">
            <v>0</v>
          </cell>
          <cell r="AQ654">
            <v>0</v>
          </cell>
          <cell r="AV654">
            <v>300000000</v>
          </cell>
        </row>
        <row r="655">
          <cell r="E655" t="str">
            <v>D26003210</v>
          </cell>
          <cell r="AP655">
            <v>0</v>
          </cell>
          <cell r="AQ655">
            <v>0</v>
          </cell>
          <cell r="AV655">
            <v>200000000</v>
          </cell>
        </row>
        <row r="656">
          <cell r="E656" t="str">
            <v>D26003210</v>
          </cell>
          <cell r="AP656">
            <v>0</v>
          </cell>
          <cell r="AQ656">
            <v>0</v>
          </cell>
          <cell r="AV656">
            <v>280000000</v>
          </cell>
        </row>
        <row r="657">
          <cell r="E657" t="str">
            <v>D26003233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D26003301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D26003329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D26003488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D26001338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D26002283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D25017231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B26000677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D26001068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D26002813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B26002975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B26002983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D25018439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B25016097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D25018769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D25018770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D25018813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D25018838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D25019180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D25019218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B25016789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B25016790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D25019273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D25019547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D25019548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D26000094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D26001588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D26001629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D26001673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B26001596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B26001912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D26002087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B26001952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D26002121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D26002137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D26002286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D26002383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D26002879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D26003197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D26003198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D26003203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B26003195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B26001777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D26003230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B26000075</v>
          </cell>
          <cell r="AP701">
            <v>0</v>
          </cell>
          <cell r="AQ701">
            <v>0</v>
          </cell>
          <cell r="AV701">
            <v>3280000</v>
          </cell>
        </row>
        <row r="702">
          <cell r="E702" t="str">
            <v>B26001577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D25019326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D26000844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T25001781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B26002590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D26003029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B26003203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T26000256</v>
          </cell>
          <cell r="AP709">
            <v>0</v>
          </cell>
          <cell r="AQ709">
            <v>0</v>
          </cell>
          <cell r="AV709">
            <v>7800000</v>
          </cell>
        </row>
        <row r="710">
          <cell r="E710" t="str">
            <v>B26002202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D26000025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D26001778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B26002000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B26002003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D26002690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D26003290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T26000264</v>
          </cell>
          <cell r="AP717">
            <v>0</v>
          </cell>
          <cell r="AQ717">
            <v>0</v>
          </cell>
          <cell r="AV717">
            <v>3700000</v>
          </cell>
        </row>
        <row r="718">
          <cell r="E718" t="str">
            <v>B26000027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D26002603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D26002164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B26002140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B25016413</v>
          </cell>
          <cell r="AP722">
            <v>0</v>
          </cell>
          <cell r="AQ722">
            <v>0</v>
          </cell>
          <cell r="AV722">
            <v>4000000</v>
          </cell>
        </row>
        <row r="723">
          <cell r="E723" t="str">
            <v>B25015318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B25015319</v>
          </cell>
          <cell r="AP724">
            <v>0</v>
          </cell>
          <cell r="AQ724">
            <v>0</v>
          </cell>
          <cell r="AV724">
            <v>1150000</v>
          </cell>
        </row>
        <row r="725">
          <cell r="E725" t="str">
            <v>B25015415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D25017912</v>
          </cell>
          <cell r="AP726">
            <v>0</v>
          </cell>
          <cell r="AQ726">
            <v>0</v>
          </cell>
          <cell r="AV726">
            <v>3400000</v>
          </cell>
        </row>
        <row r="727">
          <cell r="E727" t="str">
            <v>B25015523</v>
          </cell>
          <cell r="AP727">
            <v>0</v>
          </cell>
          <cell r="AQ727">
            <v>0</v>
          </cell>
          <cell r="AV727">
            <v>1700000</v>
          </cell>
        </row>
        <row r="728">
          <cell r="E728" t="str">
            <v>D25018187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D25018248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D25018273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N25000073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B25015953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D25018350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D25018354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B25016052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D25018680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B25016296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D25018697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D25018734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D25018763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D25018876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B25016497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B25016502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D25019009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B25016772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D25019274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B25017014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D25019561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B25017039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B25017045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B25017053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D25019633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B25017108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D26000134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B26000170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B26000173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B26000241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B26000345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B26000346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B26000382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B26000635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B26000688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D26000805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D26000859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B26000821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B26000846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B26000901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B26000902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B26000944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D26001057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D26001103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B26001169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D26001404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D26001427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B26001452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D26001539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N26000015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D26001613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D26001669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B26001619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B26001634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D26001841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B26001710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D26001856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B26001841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D26001985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D26002012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B26001935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B26002007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B26002089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B26002142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D26002257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B26002316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D26002507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B26002391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B26002392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B26002422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B26002451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D26002666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D26003357</v>
          </cell>
          <cell r="AP800">
            <v>0</v>
          </cell>
          <cell r="AQ800">
            <v>0</v>
          </cell>
          <cell r="AV800">
            <v>730000</v>
          </cell>
        </row>
        <row r="801">
          <cell r="E801" t="str">
            <v>B25015269</v>
          </cell>
          <cell r="AP801">
            <v>0</v>
          </cell>
          <cell r="AQ801">
            <v>0</v>
          </cell>
          <cell r="AV801">
            <v>23580000</v>
          </cell>
        </row>
        <row r="802">
          <cell r="E802" t="str">
            <v>B25015270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D25017684</v>
          </cell>
          <cell r="AP803">
            <v>0</v>
          </cell>
          <cell r="AQ803">
            <v>0</v>
          </cell>
          <cell r="AV803">
            <v>16675000</v>
          </cell>
        </row>
        <row r="804">
          <cell r="E804" t="str">
            <v>T25001754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D25017920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D25018112</v>
          </cell>
          <cell r="AP806">
            <v>0</v>
          </cell>
          <cell r="AQ806">
            <v>0</v>
          </cell>
          <cell r="AV806">
            <v>2100000</v>
          </cell>
        </row>
        <row r="807">
          <cell r="E807" t="str">
            <v>D25018463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B25016134</v>
          </cell>
          <cell r="AP808">
            <v>0</v>
          </cell>
          <cell r="AQ808">
            <v>0</v>
          </cell>
          <cell r="AV808">
            <v>6784800</v>
          </cell>
        </row>
        <row r="809">
          <cell r="E809" t="str">
            <v>B25016274</v>
          </cell>
          <cell r="AP809">
            <v>0</v>
          </cell>
          <cell r="AQ809">
            <v>0</v>
          </cell>
          <cell r="AV809">
            <v>37800000</v>
          </cell>
        </row>
        <row r="810">
          <cell r="E810" t="str">
            <v>B25016379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D25018868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D25019071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D25019310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T25001890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B25016917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B25016953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B25016954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D25019577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D25019632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D25019655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B25017134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B26001260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B26001261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B26001279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D26001464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B26001473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B26001564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B26001654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D26001836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B26001734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D26001865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B26001874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D26002073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B26002068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B26002121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D26002315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D26002342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D26002426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B26002302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D26002479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B26003085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D26003322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B25014620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D25017216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D25018150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D25018927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B25017021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B25017029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B26000563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B26000564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B26000717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B26000888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D26000960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D26001019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D26001020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B26002503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B26002504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D26002747</v>
          </cell>
          <cell r="AP858">
            <v>0</v>
          </cell>
          <cell r="AQ858">
            <v>0</v>
          </cell>
          <cell r="AV858">
            <v>16020000</v>
          </cell>
        </row>
        <row r="859">
          <cell r="E859" t="str">
            <v>D26002816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B26002739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B26002740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B26002772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B26002808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D26003027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B26003023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B26000743</v>
          </cell>
          <cell r="AP866">
            <v>0</v>
          </cell>
          <cell r="AQ866">
            <v>0</v>
          </cell>
          <cell r="AV866">
            <v>2220000</v>
          </cell>
        </row>
        <row r="867">
          <cell r="E867" t="str">
            <v>D26000981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D26001365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D26001465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B26002691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B26002778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B26002783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B26003200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D26000427</v>
          </cell>
          <cell r="AP874">
            <v>0</v>
          </cell>
          <cell r="AQ874">
            <v>0</v>
          </cell>
          <cell r="AV874">
            <v>200000000</v>
          </cell>
        </row>
        <row r="875">
          <cell r="E875" t="str">
            <v>D26002253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D26002970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B26002836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B26002834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T26000017</v>
          </cell>
          <cell r="AP879">
            <v>0</v>
          </cell>
          <cell r="AQ879">
            <v>0</v>
          </cell>
          <cell r="AV879">
            <v>492000</v>
          </cell>
        </row>
        <row r="880">
          <cell r="E880" t="str">
            <v>B26000383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B26000794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B26001540</v>
          </cell>
          <cell r="AP882">
            <v>0</v>
          </cell>
          <cell r="AQ882">
            <v>0</v>
          </cell>
          <cell r="AV882">
            <v>900000</v>
          </cell>
        </row>
        <row r="883">
          <cell r="E883" t="str">
            <v>B26001542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B26001781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B26002475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 t="str">
            <v>B26002535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B26002536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 t="str">
            <v>B26002537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B26000165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D26000559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B26003181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D26001866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D26002115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B26002201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D26002473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B26002315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B26002397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B26002414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B26002425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B26002717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B26002745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D26002903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B26003012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B26003148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B26003221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D26001174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B26001346</v>
          </cell>
          <cell r="AP907">
            <v>0</v>
          </cell>
          <cell r="AQ907">
            <v>0</v>
          </cell>
          <cell r="AV907">
            <v>920000</v>
          </cell>
        </row>
        <row r="908">
          <cell r="E908" t="str">
            <v>B26001347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B26001497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B26001498</v>
          </cell>
          <cell r="AP910">
            <v>0</v>
          </cell>
          <cell r="AQ910">
            <v>0</v>
          </cell>
          <cell r="AV910">
            <v>7500000</v>
          </cell>
        </row>
        <row r="911">
          <cell r="E911" t="str">
            <v>B26001510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B26001511</v>
          </cell>
          <cell r="AP912">
            <v>0</v>
          </cell>
          <cell r="AQ912">
            <v>0</v>
          </cell>
          <cell r="AV912">
            <v>460000</v>
          </cell>
        </row>
        <row r="913">
          <cell r="E913" t="str">
            <v>D26002348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D26002349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B26002513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B26002514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B26002526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D26002941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T26000203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B26003039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B26003089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D26000760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D26000761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D26001498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D26001843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D26002308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B26002195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B26003165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B25016419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D25018994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B26000198</v>
          </cell>
          <cell r="AP931">
            <v>0</v>
          </cell>
          <cell r="AQ931">
            <v>0</v>
          </cell>
          <cell r="AV931">
            <v>8007500</v>
          </cell>
        </row>
        <row r="932">
          <cell r="E932" t="str">
            <v>B26000496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B26000914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B26001150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D26001233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>
            <v>260009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B26002303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>
            <v>260015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B26002360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B26002404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D26002577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D26002963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D26003045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B26003128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B26003147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D26003372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D26003382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T26000263</v>
          </cell>
          <cell r="AP948">
            <v>0</v>
          </cell>
          <cell r="AQ948">
            <v>0</v>
          </cell>
          <cell r="AV948">
            <v>1322000</v>
          </cell>
        </row>
        <row r="949">
          <cell r="E949" t="str">
            <v>B26002933</v>
          </cell>
          <cell r="AP949">
            <v>0</v>
          </cell>
          <cell r="AQ949">
            <v>0</v>
          </cell>
          <cell r="AV949">
            <v>339500</v>
          </cell>
        </row>
        <row r="950">
          <cell r="E950" t="str">
            <v>D26003136</v>
          </cell>
          <cell r="AP950">
            <v>0</v>
          </cell>
          <cell r="AQ950">
            <v>0</v>
          </cell>
          <cell r="AV950">
            <v>3500000</v>
          </cell>
        </row>
        <row r="951">
          <cell r="E951" t="str">
            <v>B26003251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T26000032</v>
          </cell>
          <cell r="AP952">
            <v>0</v>
          </cell>
          <cell r="AQ952">
            <v>0</v>
          </cell>
          <cell r="AV952">
            <v>6100000</v>
          </cell>
        </row>
        <row r="953">
          <cell r="E953" t="str">
            <v>B26002978</v>
          </cell>
          <cell r="AP953">
            <v>0</v>
          </cell>
          <cell r="AQ953">
            <v>0</v>
          </cell>
          <cell r="AV953">
            <v>5850000</v>
          </cell>
        </row>
        <row r="954">
          <cell r="E954" t="str">
            <v>T26000274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D26001038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B26001445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B26001808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D26001947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B26002137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B26002138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B26003230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B26003231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D26003497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D26003378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B26003073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D26001610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B26003100</v>
          </cell>
          <cell r="AP967">
            <v>0</v>
          </cell>
          <cell r="AQ967">
            <v>0</v>
          </cell>
          <cell r="AV967">
            <v>21200000</v>
          </cell>
        </row>
        <row r="968">
          <cell r="E968" t="str">
            <v>D25017170</v>
          </cell>
          <cell r="AP968">
            <v>0</v>
          </cell>
          <cell r="AQ968">
            <v>0</v>
          </cell>
          <cell r="AV968">
            <v>2000000</v>
          </cell>
        </row>
        <row r="969">
          <cell r="E969" t="str">
            <v>D25019292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B26002913</v>
          </cell>
          <cell r="AP970">
            <v>0</v>
          </cell>
          <cell r="AQ970">
            <v>0</v>
          </cell>
          <cell r="AV970">
            <v>9100000</v>
          </cell>
        </row>
        <row r="971">
          <cell r="E971" t="str">
            <v>D25019509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D25019536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B26001031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B26001189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D26001514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D26001807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D26001930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B26001882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D26001999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B26002180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B26002383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B26002663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B26002687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D26002883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B26002837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D26003088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D26003124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B26002958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D26003395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D26003453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D26003507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B26001524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B26001955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D26000969</v>
          </cell>
          <cell r="AP994">
            <v>0</v>
          </cell>
          <cell r="AQ994">
            <v>0</v>
          </cell>
          <cell r="AV994">
            <v>2250000</v>
          </cell>
        </row>
        <row r="995">
          <cell r="E995" t="str">
            <v>B26001006</v>
          </cell>
          <cell r="AP995">
            <v>0</v>
          </cell>
          <cell r="AQ995">
            <v>0</v>
          </cell>
          <cell r="AV995">
            <v>1665000</v>
          </cell>
        </row>
        <row r="996">
          <cell r="E996" t="str">
            <v>D26001232</v>
          </cell>
          <cell r="AP996">
            <v>0</v>
          </cell>
          <cell r="AQ996">
            <v>0</v>
          </cell>
          <cell r="AV996">
            <v>3500000</v>
          </cell>
        </row>
        <row r="997">
          <cell r="E997" t="str">
            <v>B26001216</v>
          </cell>
          <cell r="AP997">
            <v>0</v>
          </cell>
          <cell r="AQ997">
            <v>0</v>
          </cell>
          <cell r="AV997">
            <v>5312500</v>
          </cell>
        </row>
        <row r="998">
          <cell r="E998" t="str">
            <v>D26001299</v>
          </cell>
          <cell r="AP998">
            <v>0</v>
          </cell>
          <cell r="AQ998">
            <v>0</v>
          </cell>
          <cell r="AV998">
            <v>32375000</v>
          </cell>
        </row>
        <row r="999">
          <cell r="E999" t="str">
            <v>D26001337</v>
          </cell>
          <cell r="AP999">
            <v>0</v>
          </cell>
          <cell r="AQ999">
            <v>0</v>
          </cell>
          <cell r="AV999">
            <v>10950000</v>
          </cell>
        </row>
        <row r="1000">
          <cell r="E1000" t="str">
            <v>B26001267</v>
          </cell>
          <cell r="AP1000">
            <v>0</v>
          </cell>
          <cell r="AQ1000">
            <v>0</v>
          </cell>
          <cell r="AV1000">
            <v>76750000</v>
          </cell>
        </row>
        <row r="1001">
          <cell r="E1001" t="str">
            <v>B26001268</v>
          </cell>
          <cell r="AP1001">
            <v>0</v>
          </cell>
          <cell r="AQ1001">
            <v>0</v>
          </cell>
          <cell r="AV1001">
            <v>49800000</v>
          </cell>
        </row>
        <row r="1002">
          <cell r="E1002" t="str">
            <v>B26001299</v>
          </cell>
          <cell r="AP1002">
            <v>0</v>
          </cell>
          <cell r="AQ1002">
            <v>0</v>
          </cell>
          <cell r="AV1002">
            <v>5400000</v>
          </cell>
        </row>
        <row r="1003">
          <cell r="E1003" t="str">
            <v>D26001358</v>
          </cell>
          <cell r="AP1003">
            <v>0</v>
          </cell>
          <cell r="AQ1003">
            <v>0</v>
          </cell>
          <cell r="AV1003">
            <v>45000</v>
          </cell>
        </row>
        <row r="1004">
          <cell r="E1004" t="str">
            <v>B26001381</v>
          </cell>
          <cell r="AP1004">
            <v>0</v>
          </cell>
          <cell r="AQ1004">
            <v>0</v>
          </cell>
          <cell r="AV1004">
            <v>2930000</v>
          </cell>
        </row>
        <row r="1005">
          <cell r="E1005" t="str">
            <v>D26001538</v>
          </cell>
          <cell r="AP1005">
            <v>0</v>
          </cell>
          <cell r="AQ1005">
            <v>0</v>
          </cell>
          <cell r="AV1005">
            <v>8200000</v>
          </cell>
        </row>
        <row r="1006">
          <cell r="E1006" t="str">
            <v>B26001761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D26001949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B26002065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D26002331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D26002358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B26002371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B26002449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B26002450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B26002461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D26002646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B26002533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B26002603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B26002987</v>
          </cell>
          <cell r="AP1018">
            <v>0</v>
          </cell>
          <cell r="AQ1018">
            <v>0</v>
          </cell>
          <cell r="AV1018">
            <v>200000000</v>
          </cell>
        </row>
        <row r="1019">
          <cell r="E1019" t="str">
            <v>B26003176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D26003399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D26003418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B26003246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D26003504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B26003047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B26003048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D25018318</v>
          </cell>
          <cell r="AP1026">
            <v>0</v>
          </cell>
          <cell r="AQ1026">
            <v>0</v>
          </cell>
          <cell r="AV1026">
            <v>3648000</v>
          </cell>
        </row>
        <row r="1027">
          <cell r="E1027" t="str">
            <v>B25016149</v>
          </cell>
          <cell r="AP1027">
            <v>0</v>
          </cell>
          <cell r="AQ1027">
            <v>0</v>
          </cell>
          <cell r="AV1027">
            <v>4000000</v>
          </cell>
        </row>
        <row r="1028">
          <cell r="E1028" t="str">
            <v>D25018794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B25016637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D25019217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B25017070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D26000070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D26000171</v>
          </cell>
          <cell r="AP1033">
            <v>0</v>
          </cell>
          <cell r="AQ1033">
            <v>0</v>
          </cell>
          <cell r="AV1033">
            <v>5400000</v>
          </cell>
        </row>
        <row r="1034">
          <cell r="E1034" t="str">
            <v>B26000275</v>
          </cell>
          <cell r="AP1034">
            <v>0</v>
          </cell>
          <cell r="AQ1034">
            <v>0</v>
          </cell>
          <cell r="AV1034">
            <v>1400000</v>
          </cell>
        </row>
        <row r="1035">
          <cell r="E1035" t="str">
            <v>B26000391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D26000687</v>
          </cell>
          <cell r="AP1036">
            <v>0</v>
          </cell>
          <cell r="AQ1036">
            <v>0</v>
          </cell>
          <cell r="AV1036">
            <v>5180000</v>
          </cell>
        </row>
        <row r="1037">
          <cell r="E1037" t="str">
            <v>B26000720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B26000748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B26000776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B26000866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D26000946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B26001227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B26001240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B26001285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D26001403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B26001463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D26001691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B26001656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D26001780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B26001768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B26002104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B26002132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D26002239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B26002621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B26002622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D26002863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D26002987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D26003020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B26002955</v>
          </cell>
          <cell r="AP1059">
            <v>0</v>
          </cell>
          <cell r="AQ1059">
            <v>0</v>
          </cell>
          <cell r="AV1059">
            <v>5000000</v>
          </cell>
        </row>
        <row r="1060">
          <cell r="E1060" t="str">
            <v>D26003483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D26003501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B26001184</v>
          </cell>
          <cell r="AP1062">
            <v>0</v>
          </cell>
          <cell r="AQ1062">
            <v>0</v>
          </cell>
          <cell r="AV1062">
            <v>23000000</v>
          </cell>
        </row>
        <row r="1063">
          <cell r="E1063" t="str">
            <v>B26003216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D26002230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D26002558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B26001103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D25017712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B26000012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B26000534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B26000987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B26001168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D26003468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B26003049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B26001993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B26002322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B26002500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D26001126</v>
          </cell>
          <cell r="AP1077">
            <v>0</v>
          </cell>
          <cell r="AQ1077">
            <v>0</v>
          </cell>
          <cell r="AV1077">
            <v>3150000</v>
          </cell>
        </row>
        <row r="1078">
          <cell r="E1078" t="str">
            <v>B26001124</v>
          </cell>
          <cell r="AP1078">
            <v>0</v>
          </cell>
          <cell r="AQ1078">
            <v>0</v>
          </cell>
          <cell r="AV1078">
            <v>8050000</v>
          </cell>
        </row>
        <row r="1079">
          <cell r="E1079" t="str">
            <v>B26001126</v>
          </cell>
          <cell r="AP1079">
            <v>0</v>
          </cell>
          <cell r="AQ1079">
            <v>0</v>
          </cell>
          <cell r="AV1079">
            <v>1532400</v>
          </cell>
        </row>
        <row r="1080">
          <cell r="E1080" t="str">
            <v>B26001128</v>
          </cell>
          <cell r="AP1080">
            <v>0</v>
          </cell>
          <cell r="AQ1080">
            <v>0</v>
          </cell>
          <cell r="AV1080">
            <v>6634500</v>
          </cell>
        </row>
        <row r="1081">
          <cell r="E1081" t="str">
            <v>D26001529</v>
          </cell>
          <cell r="AP1081">
            <v>0</v>
          </cell>
          <cell r="AQ1081">
            <v>0</v>
          </cell>
          <cell r="AV1081">
            <v>4800000</v>
          </cell>
        </row>
        <row r="1082">
          <cell r="E1082" t="str">
            <v>D26002061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D26002062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B26001954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D26002107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D26002185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B26002116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B26002117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B26002118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B26002476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D26002772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D26002773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B26002682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D26002934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B26002971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B26003168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B26003169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B26003170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L26000012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B25009852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D26000095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B26000435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B26000767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D26001251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D26001556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D26001557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D26002538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T25001794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D26003163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B25016838</v>
          </cell>
          <cell r="AP1110">
            <v>0</v>
          </cell>
          <cell r="AQ1110">
            <v>0</v>
          </cell>
          <cell r="AV1110">
            <v>6187250</v>
          </cell>
        </row>
        <row r="1111">
          <cell r="E1111" t="str">
            <v>D26000090</v>
          </cell>
          <cell r="AP1111">
            <v>0</v>
          </cell>
          <cell r="AQ1111">
            <v>0</v>
          </cell>
          <cell r="AV1111">
            <v>3812750</v>
          </cell>
        </row>
        <row r="1112">
          <cell r="E1112" t="str">
            <v>B26001795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B26001820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B26000176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B26000177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B26000178</v>
          </cell>
          <cell r="AP1116">
            <v>0</v>
          </cell>
          <cell r="AQ1116">
            <v>0</v>
          </cell>
          <cell r="AV1116">
            <v>0</v>
          </cell>
        </row>
        <row r="1117">
          <cell r="E1117" t="str">
            <v>D26002371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D26002944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D26003208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>
            <v>260020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B26003010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B26003011</v>
          </cell>
          <cell r="AP1122">
            <v>0</v>
          </cell>
          <cell r="AQ1122">
            <v>0</v>
          </cell>
          <cell r="AV1122">
            <v>3570000</v>
          </cell>
        </row>
        <row r="1123">
          <cell r="E1123" t="str">
            <v>B26002652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B26002891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D25019205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D26000957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D26001869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D26003164</v>
          </cell>
          <cell r="AP1128">
            <v>0</v>
          </cell>
          <cell r="AQ1128">
            <v>0</v>
          </cell>
          <cell r="AV1128">
            <v>313750000</v>
          </cell>
        </row>
        <row r="1129">
          <cell r="E1129" t="str">
            <v>D26003165</v>
          </cell>
          <cell r="AP1129">
            <v>0</v>
          </cell>
          <cell r="AQ1129">
            <v>0</v>
          </cell>
          <cell r="AV1129">
            <v>186250000</v>
          </cell>
        </row>
        <row r="1130">
          <cell r="E1130" t="str">
            <v>D26003165</v>
          </cell>
          <cell r="AP1130">
            <v>0</v>
          </cell>
          <cell r="AQ1130">
            <v>0</v>
          </cell>
          <cell r="AV1130">
            <v>350000000</v>
          </cell>
        </row>
        <row r="1131">
          <cell r="E1131" t="str">
            <v>D26003165</v>
          </cell>
          <cell r="AP1131">
            <v>0</v>
          </cell>
          <cell r="AQ1131">
            <v>0</v>
          </cell>
          <cell r="AV1131">
            <v>113750000</v>
          </cell>
        </row>
        <row r="1132">
          <cell r="E1132" t="str">
            <v>D26003204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D26003205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D26003450</v>
          </cell>
          <cell r="AP1134">
            <v>0</v>
          </cell>
          <cell r="AQ1134">
            <v>0</v>
          </cell>
          <cell r="AV1134">
            <v>100000000</v>
          </cell>
        </row>
        <row r="1135">
          <cell r="E1135" t="str">
            <v>D26003469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T26000148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T26000171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B26002762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B26002930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B26001307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T26000029</v>
          </cell>
          <cell r="AP1141">
            <v>0</v>
          </cell>
          <cell r="AQ1141">
            <v>0</v>
          </cell>
          <cell r="AV1141">
            <v>4700000</v>
          </cell>
        </row>
        <row r="1142">
          <cell r="E1142" t="str">
            <v>B26000825</v>
          </cell>
          <cell r="AP1142">
            <v>0</v>
          </cell>
          <cell r="AQ1142">
            <v>0</v>
          </cell>
          <cell r="AV1142">
            <v>4700000</v>
          </cell>
        </row>
        <row r="1143">
          <cell r="E1143" t="str">
            <v>B26001980</v>
          </cell>
          <cell r="AP1143">
            <v>0</v>
          </cell>
          <cell r="AQ1143">
            <v>0</v>
          </cell>
          <cell r="AV1143">
            <v>2140000</v>
          </cell>
        </row>
        <row r="1144">
          <cell r="E1144" t="str">
            <v>D26002713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D26002714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T24001625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D24017664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T25001722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D25017959</v>
          </cell>
          <cell r="AP1149">
            <v>0</v>
          </cell>
          <cell r="AQ1149">
            <v>0</v>
          </cell>
          <cell r="AV1149">
            <v>124200000</v>
          </cell>
        </row>
        <row r="1150">
          <cell r="E1150" t="str">
            <v>D25018410</v>
          </cell>
          <cell r="AP1150">
            <v>0</v>
          </cell>
          <cell r="AQ1150">
            <v>0</v>
          </cell>
          <cell r="AV1150">
            <v>25800000</v>
          </cell>
        </row>
        <row r="1151">
          <cell r="E1151" t="str">
            <v>B25016093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D25018716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D25019055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B25016834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D25019534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D25019598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D25019599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D26000145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D26000152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D26000153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D26000154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D26000257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D26000590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B26000573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D26000830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B26000819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B26000881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D26000937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T26000065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D26001210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B26001129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D26001333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D26001437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D26001533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D26001636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T26000104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B26001741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D26001845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D26001988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D26002036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D26002142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D26002144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D26002274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D26002292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B26002204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D26002432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D26002662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D26002924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D26002959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D26002978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D26003055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B26002931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D26003308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D26003313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D26003454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D26003460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D26003486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B26000800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T26000215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B26002647</v>
          </cell>
          <cell r="AP1200">
            <v>0</v>
          </cell>
          <cell r="AQ1200">
            <v>0</v>
          </cell>
          <cell r="AV1200">
            <v>20240000</v>
          </cell>
        </row>
        <row r="1201">
          <cell r="E1201" t="str">
            <v>D26000219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B26001024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T26000270</v>
          </cell>
          <cell r="AP1203">
            <v>0</v>
          </cell>
          <cell r="AQ1203">
            <v>0</v>
          </cell>
          <cell r="AV1203">
            <v>450000</v>
          </cell>
        </row>
        <row r="1204">
          <cell r="E1204" t="str">
            <v>B26001367</v>
          </cell>
          <cell r="AP1204">
            <v>0</v>
          </cell>
          <cell r="AQ1204">
            <v>0</v>
          </cell>
          <cell r="AV1204">
            <v>19550000</v>
          </cell>
        </row>
        <row r="1205">
          <cell r="E1205" t="str">
            <v>B26001427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D26002113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B26003238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T26000063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D25017818</v>
          </cell>
          <cell r="AP1209">
            <v>0</v>
          </cell>
          <cell r="AQ1209">
            <v>0</v>
          </cell>
          <cell r="AV1209">
            <v>40000000</v>
          </cell>
        </row>
        <row r="1210">
          <cell r="E1210" t="str">
            <v>D25017818</v>
          </cell>
          <cell r="AP1210">
            <v>0</v>
          </cell>
          <cell r="AQ1210">
            <v>0</v>
          </cell>
          <cell r="AV1210">
            <v>42605000</v>
          </cell>
        </row>
        <row r="1211">
          <cell r="E1211" t="str">
            <v>B25015360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D25017985</v>
          </cell>
          <cell r="AP1212">
            <v>0</v>
          </cell>
          <cell r="AQ1212">
            <v>0</v>
          </cell>
          <cell r="AV1212">
            <v>2395000</v>
          </cell>
        </row>
        <row r="1213">
          <cell r="E1213" t="str">
            <v>B25015596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D25018121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D25018128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B25015983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D25018460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D25018475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D25018537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D25018561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B25016286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D25018733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D25018751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B25016434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B25016498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D25018991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B25016567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B25016636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B25016679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B25016681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B25016699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B25016741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B25016752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B25016905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D25019569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D25019570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B25017037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D25019649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D25019684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B26000039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D26000167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D26000229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D26000230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B26000332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B26000365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B26000367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B26000374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B26000403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B26000404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B26000411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B26000412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B26000490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B26000588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D26000673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B26000683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B26000863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B26000864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D26001128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D26001139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B26001217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B26001290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B26001399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D26001433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D26001490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B26001553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B26001554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D26001765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B26001798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B26001803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B26001909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B26001929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B26001930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B26002090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D26002158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Z26000404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Z26000411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Z26000412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Z26000413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Z26000414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Z26000415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Z26000418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Z26000478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Z26000484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Z26000492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Z26000531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Z26000657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D26001682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D26003068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T26000220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D25019225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B26000054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B25014223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D25017624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B25015823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D25018213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Z25003166</v>
          </cell>
          <cell r="AP1296">
            <v>0</v>
          </cell>
          <cell r="AQ1296">
            <v>0</v>
          </cell>
          <cell r="AV1296">
            <v>3410000</v>
          </cell>
        </row>
        <row r="1297">
          <cell r="E1297" t="str">
            <v>Z25003166</v>
          </cell>
          <cell r="AP1297">
            <v>0</v>
          </cell>
          <cell r="AQ1297">
            <v>0</v>
          </cell>
          <cell r="AV1297">
            <v>15930000</v>
          </cell>
        </row>
        <row r="1298">
          <cell r="E1298" t="str">
            <v>Z25003169</v>
          </cell>
          <cell r="AP1298">
            <v>0</v>
          </cell>
          <cell r="AQ1298">
            <v>0</v>
          </cell>
          <cell r="AV1298">
            <v>54270000</v>
          </cell>
        </row>
        <row r="1299">
          <cell r="E1299" t="str">
            <v>B25016175</v>
          </cell>
          <cell r="AP1299">
            <v>0</v>
          </cell>
          <cell r="AQ1299">
            <v>0</v>
          </cell>
          <cell r="AV1299">
            <v>3430000</v>
          </cell>
        </row>
        <row r="1300">
          <cell r="E1300" t="str">
            <v>B25016271</v>
          </cell>
          <cell r="AP1300">
            <v>0</v>
          </cell>
          <cell r="AQ1300">
            <v>0</v>
          </cell>
          <cell r="AV1300">
            <v>38760000</v>
          </cell>
        </row>
        <row r="1301">
          <cell r="E1301" t="str">
            <v>D25018881</v>
          </cell>
          <cell r="AP1301">
            <v>0</v>
          </cell>
          <cell r="AQ1301">
            <v>0</v>
          </cell>
          <cell r="AV1301">
            <v>4400000</v>
          </cell>
        </row>
        <row r="1302">
          <cell r="E1302" t="str">
            <v>D25018971</v>
          </cell>
          <cell r="AP1302">
            <v>0</v>
          </cell>
          <cell r="AQ1302">
            <v>0</v>
          </cell>
          <cell r="AV1302">
            <v>9800000</v>
          </cell>
        </row>
        <row r="1303">
          <cell r="E1303" t="str">
            <v>Z25003294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B25016697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Z25003321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D25019448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D25019496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D25019504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Z25003354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B25017019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B25017026</v>
          </cell>
          <cell r="AP1311">
            <v>0</v>
          </cell>
          <cell r="AQ1311">
            <v>0</v>
          </cell>
          <cell r="AV1311">
            <v>0</v>
          </cell>
        </row>
        <row r="1312">
          <cell r="E1312" t="str">
            <v>Z25003356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D25019620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Z25003374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Z25003397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B26000429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D26000565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Z26000091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D26000711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D26000775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D26000776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D26001205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Z26000194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B26001638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D26001751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D26001824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D26001832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B26001738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D26001880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D26001881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D26001882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D26001883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Z26000329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Z26000349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D26002089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D26002192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D26002316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Z26000466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B26002534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B26002605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D26003226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B26003175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B26001989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B26002505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D26003492</v>
          </cell>
          <cell r="AP1345">
            <v>0</v>
          </cell>
          <cell r="AQ1345">
            <v>0</v>
          </cell>
          <cell r="AV1345">
            <v>3750000</v>
          </cell>
        </row>
        <row r="1346">
          <cell r="E1346" t="str">
            <v>T26000280K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D26003496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D26003190</v>
          </cell>
          <cell r="AP1348">
            <v>0</v>
          </cell>
          <cell r="AQ1348">
            <v>0</v>
          </cell>
          <cell r="AV1348">
            <v>12000000</v>
          </cell>
        </row>
        <row r="1349">
          <cell r="E1349" t="str">
            <v>D26000790</v>
          </cell>
          <cell r="AP1349">
            <v>0</v>
          </cell>
          <cell r="AQ1349">
            <v>0</v>
          </cell>
          <cell r="AV1349">
            <v>437500</v>
          </cell>
        </row>
        <row r="1350">
          <cell r="E1350" t="str">
            <v>B26000754</v>
          </cell>
          <cell r="AP1350">
            <v>0</v>
          </cell>
          <cell r="AQ1350">
            <v>0</v>
          </cell>
          <cell r="AV1350">
            <v>1520000</v>
          </cell>
        </row>
        <row r="1351">
          <cell r="E1351" t="str">
            <v>D26000874</v>
          </cell>
          <cell r="AP1351">
            <v>0</v>
          </cell>
          <cell r="AQ1351">
            <v>0</v>
          </cell>
          <cell r="AV1351">
            <v>1625000</v>
          </cell>
        </row>
        <row r="1352">
          <cell r="E1352" t="str">
            <v>D26000875</v>
          </cell>
          <cell r="AP1352">
            <v>0</v>
          </cell>
          <cell r="AQ1352">
            <v>0</v>
          </cell>
          <cell r="AV1352">
            <v>420000</v>
          </cell>
        </row>
        <row r="1353">
          <cell r="E1353" t="str">
            <v>D26003200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D26003218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B26003161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B26003162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B26000239</v>
          </cell>
          <cell r="AP1357">
            <v>0</v>
          </cell>
          <cell r="AQ1357">
            <v>0</v>
          </cell>
          <cell r="AV1357">
            <v>9000000</v>
          </cell>
        </row>
        <row r="1358">
          <cell r="E1358" t="str">
            <v>B26000240</v>
          </cell>
          <cell r="AP1358">
            <v>0</v>
          </cell>
          <cell r="AQ1358">
            <v>0</v>
          </cell>
          <cell r="AV1358">
            <v>11805000</v>
          </cell>
        </row>
        <row r="1359">
          <cell r="E1359" t="str">
            <v>B26000745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B26000746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D26001239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T26000083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D26001277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D26001287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B26001228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B26001248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B26001264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B26001275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B26001390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B26002071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B26002072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D26002365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D26002887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D26002888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B26002884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B26002953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B26003060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D26003323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B26003150</v>
          </cell>
          <cell r="AP1379">
            <v>0</v>
          </cell>
          <cell r="AQ1379">
            <v>0</v>
          </cell>
          <cell r="AV1379">
            <v>3480000</v>
          </cell>
        </row>
        <row r="1380">
          <cell r="E1380" t="str">
            <v>T26000257</v>
          </cell>
          <cell r="AP1380">
            <v>0</v>
          </cell>
          <cell r="AQ1380">
            <v>0</v>
          </cell>
          <cell r="AV1380">
            <v>6300000</v>
          </cell>
        </row>
        <row r="1381">
          <cell r="E1381" t="str">
            <v>T26000025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B26001440</v>
          </cell>
          <cell r="AP1382">
            <v>0</v>
          </cell>
          <cell r="AQ1382">
            <v>0</v>
          </cell>
          <cell r="AV1382">
            <v>470000</v>
          </cell>
        </row>
        <row r="1383">
          <cell r="E1383" t="str">
            <v>B26001923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D26002385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B26002589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B26003056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D26000757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B26002262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D26003518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D26001933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D26001934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D26001935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B26002455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B26002456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B26002457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B26002458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D26000765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D26000806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D26001212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D26001281</v>
          </cell>
          <cell r="AP1400">
            <v>0</v>
          </cell>
          <cell r="AQ1400">
            <v>0</v>
          </cell>
          <cell r="AV1400">
            <v>4300000</v>
          </cell>
        </row>
        <row r="1401">
          <cell r="E1401" t="str">
            <v>T26000218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B26002907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D25019385</v>
          </cell>
          <cell r="AP1403">
            <v>0</v>
          </cell>
          <cell r="AQ1403">
            <v>0</v>
          </cell>
          <cell r="AV1403">
            <v>3000000</v>
          </cell>
        </row>
        <row r="1404">
          <cell r="E1404" t="str">
            <v>B26002918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T26000235k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T26000237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D26000223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B26001389</v>
          </cell>
          <cell r="AP1408">
            <v>0</v>
          </cell>
          <cell r="AQ1408">
            <v>0</v>
          </cell>
          <cell r="AV1408">
            <v>4075000</v>
          </cell>
        </row>
        <row r="1409">
          <cell r="E1409" t="str">
            <v>B26001896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B26001897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B26002357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B26002358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B26002481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D26002685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T26000189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B26002921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B26003025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B25016550</v>
          </cell>
          <cell r="AP1418">
            <v>0</v>
          </cell>
          <cell r="AQ1418">
            <v>0</v>
          </cell>
          <cell r="AV1418">
            <v>15000000</v>
          </cell>
        </row>
        <row r="1419">
          <cell r="E1419" t="str">
            <v>D25019411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B25017052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B26000047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B26000244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B26000701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D26000758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B26001359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B26001578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B26001629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B26001675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B26001704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D26001945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D26002457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D26002552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B26002879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D26000861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B25016228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B25016798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B25016802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B25017093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D26000237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B26000783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B26001561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D26003097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B26002996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T25001720K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B25016022</v>
          </cell>
          <cell r="AP1445">
            <v>0</v>
          </cell>
          <cell r="AQ1445">
            <v>0</v>
          </cell>
          <cell r="AV1445">
            <v>31500000</v>
          </cell>
        </row>
        <row r="1446">
          <cell r="E1446" t="str">
            <v>D25018937</v>
          </cell>
          <cell r="AP1446">
            <v>0</v>
          </cell>
          <cell r="AQ1446">
            <v>0</v>
          </cell>
          <cell r="AV1446">
            <v>46200000</v>
          </cell>
        </row>
        <row r="1447">
          <cell r="E1447" t="str">
            <v>B25016519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B25016610</v>
          </cell>
          <cell r="AP1448">
            <v>0</v>
          </cell>
          <cell r="AQ1448">
            <v>0</v>
          </cell>
          <cell r="AV1448">
            <v>17000000</v>
          </cell>
        </row>
        <row r="1449">
          <cell r="E1449" t="str">
            <v>D25019343</v>
          </cell>
          <cell r="AP1449">
            <v>0</v>
          </cell>
          <cell r="AQ1449">
            <v>0</v>
          </cell>
          <cell r="AV1449">
            <v>50000000</v>
          </cell>
        </row>
        <row r="1450">
          <cell r="E1450" t="str">
            <v>B26000267</v>
          </cell>
          <cell r="AP1450">
            <v>0</v>
          </cell>
          <cell r="AQ1450">
            <v>0</v>
          </cell>
          <cell r="AV1450">
            <v>25400000</v>
          </cell>
        </row>
        <row r="1451">
          <cell r="E1451" t="str">
            <v>B26000268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B26000284</v>
          </cell>
          <cell r="AP1452">
            <v>0</v>
          </cell>
          <cell r="AQ1452">
            <v>0</v>
          </cell>
          <cell r="AV1452">
            <v>68700000</v>
          </cell>
        </row>
        <row r="1453">
          <cell r="E1453" t="str">
            <v>B26000323</v>
          </cell>
          <cell r="AP1453">
            <v>0</v>
          </cell>
          <cell r="AQ1453">
            <v>0</v>
          </cell>
          <cell r="AV1453">
            <v>8640000</v>
          </cell>
        </row>
        <row r="1454">
          <cell r="E1454" t="str">
            <v>D26000387</v>
          </cell>
          <cell r="AP1454">
            <v>0</v>
          </cell>
          <cell r="AQ1454">
            <v>0</v>
          </cell>
          <cell r="AV1454">
            <v>5400000</v>
          </cell>
        </row>
        <row r="1455">
          <cell r="E1455" t="str">
            <v>D26000391</v>
          </cell>
          <cell r="AP1455">
            <v>0</v>
          </cell>
          <cell r="AQ1455">
            <v>0</v>
          </cell>
          <cell r="AV1455">
            <v>4335000</v>
          </cell>
        </row>
        <row r="1456">
          <cell r="E1456" t="str">
            <v>B26000395</v>
          </cell>
          <cell r="AP1456">
            <v>0</v>
          </cell>
          <cell r="AQ1456">
            <v>0</v>
          </cell>
          <cell r="AV1456">
            <v>8160000</v>
          </cell>
        </row>
        <row r="1457">
          <cell r="E1457" t="str">
            <v>B26000666</v>
          </cell>
          <cell r="AP1457">
            <v>0</v>
          </cell>
          <cell r="AQ1457">
            <v>0</v>
          </cell>
          <cell r="AV1457">
            <v>13040000</v>
          </cell>
        </row>
        <row r="1458">
          <cell r="E1458" t="str">
            <v>D26000737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D26000873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D26000882</v>
          </cell>
          <cell r="AP1460">
            <v>0</v>
          </cell>
          <cell r="AQ1460">
            <v>0</v>
          </cell>
          <cell r="AV1460">
            <v>136080000</v>
          </cell>
        </row>
        <row r="1461">
          <cell r="E1461" t="str">
            <v>D26000884</v>
          </cell>
          <cell r="AP1461">
            <v>0</v>
          </cell>
          <cell r="AQ1461">
            <v>0</v>
          </cell>
          <cell r="AV1461">
            <v>90720000</v>
          </cell>
        </row>
        <row r="1462">
          <cell r="E1462" t="str">
            <v>B26000827</v>
          </cell>
          <cell r="AP1462">
            <v>0</v>
          </cell>
          <cell r="AQ1462">
            <v>0</v>
          </cell>
          <cell r="AV1462">
            <v>35150000</v>
          </cell>
        </row>
        <row r="1463">
          <cell r="E1463" t="str">
            <v>B26000831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B26000872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D26000914</v>
          </cell>
          <cell r="AP1465">
            <v>0</v>
          </cell>
          <cell r="AQ1465">
            <v>0</v>
          </cell>
          <cell r="AV1465">
            <v>20400000</v>
          </cell>
        </row>
        <row r="1466">
          <cell r="E1466" t="str">
            <v>B26000926</v>
          </cell>
          <cell r="AP1466">
            <v>0</v>
          </cell>
          <cell r="AQ1466">
            <v>0</v>
          </cell>
          <cell r="AV1466">
            <v>14400000</v>
          </cell>
        </row>
        <row r="1467">
          <cell r="E1467" t="str">
            <v>D26001016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B26001032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B26001033</v>
          </cell>
          <cell r="AP1469">
            <v>0</v>
          </cell>
          <cell r="AQ1469">
            <v>0</v>
          </cell>
          <cell r="AV1469">
            <v>42825000</v>
          </cell>
        </row>
        <row r="1470">
          <cell r="E1470" t="str">
            <v>B26001047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D26001140</v>
          </cell>
          <cell r="AP1471">
            <v>0</v>
          </cell>
          <cell r="AQ1471">
            <v>0</v>
          </cell>
          <cell r="AV1471">
            <v>102000000</v>
          </cell>
        </row>
        <row r="1472">
          <cell r="E1472" t="str">
            <v>D26001157</v>
          </cell>
          <cell r="AP1472">
            <v>0</v>
          </cell>
          <cell r="AQ1472">
            <v>0</v>
          </cell>
          <cell r="AV1472">
            <v>1800000</v>
          </cell>
        </row>
        <row r="1473">
          <cell r="E1473" t="str">
            <v>B26001163</v>
          </cell>
          <cell r="AP1473">
            <v>0</v>
          </cell>
          <cell r="AQ1473">
            <v>0</v>
          </cell>
          <cell r="AV1473">
            <v>14400000</v>
          </cell>
        </row>
        <row r="1474">
          <cell r="E1474" t="str">
            <v>D26001214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B26001239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D26001300</v>
          </cell>
          <cell r="AP1476">
            <v>0</v>
          </cell>
          <cell r="AQ1476">
            <v>0</v>
          </cell>
          <cell r="AV1476">
            <v>54000000</v>
          </cell>
        </row>
        <row r="1477">
          <cell r="E1477" t="str">
            <v>D26001326</v>
          </cell>
          <cell r="AP1477">
            <v>0</v>
          </cell>
          <cell r="AQ1477">
            <v>0</v>
          </cell>
          <cell r="AV1477">
            <v>5400000</v>
          </cell>
        </row>
        <row r="1478">
          <cell r="E1478" t="str">
            <v>D26001367</v>
          </cell>
          <cell r="AP1478">
            <v>0</v>
          </cell>
          <cell r="AQ1478">
            <v>0</v>
          </cell>
          <cell r="AV1478">
            <v>8520000</v>
          </cell>
        </row>
        <row r="1479">
          <cell r="E1479" t="str">
            <v>D26001574</v>
          </cell>
          <cell r="AP1479">
            <v>0</v>
          </cell>
          <cell r="AQ1479">
            <v>0</v>
          </cell>
          <cell r="AV1479">
            <v>7000000</v>
          </cell>
        </row>
        <row r="1480">
          <cell r="E1480" t="str">
            <v>B26001560</v>
          </cell>
          <cell r="AP1480">
            <v>0</v>
          </cell>
          <cell r="AQ1480">
            <v>0</v>
          </cell>
          <cell r="AV1480">
            <v>425000</v>
          </cell>
        </row>
        <row r="1481">
          <cell r="E1481" t="str">
            <v>D26001685</v>
          </cell>
          <cell r="AP1481">
            <v>0</v>
          </cell>
          <cell r="AQ1481">
            <v>0</v>
          </cell>
          <cell r="AV1481">
            <v>5050000</v>
          </cell>
        </row>
        <row r="1482">
          <cell r="E1482" t="str">
            <v>D26001686</v>
          </cell>
          <cell r="AP1482">
            <v>0</v>
          </cell>
          <cell r="AQ1482">
            <v>0</v>
          </cell>
          <cell r="AV1482">
            <v>8400000</v>
          </cell>
        </row>
        <row r="1483">
          <cell r="E1483" t="str">
            <v>D26001687</v>
          </cell>
          <cell r="AP1483">
            <v>0</v>
          </cell>
          <cell r="AQ1483">
            <v>0</v>
          </cell>
          <cell r="AV1483">
            <v>1890000</v>
          </cell>
        </row>
        <row r="1484">
          <cell r="E1484" t="str">
            <v>D26001742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D26001796</v>
          </cell>
          <cell r="AP1485">
            <v>0</v>
          </cell>
          <cell r="AQ1485">
            <v>0</v>
          </cell>
          <cell r="AV1485">
            <v>7375000</v>
          </cell>
        </row>
        <row r="1486">
          <cell r="E1486" t="str">
            <v>B26001730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D26001867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B26001840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B26001854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B26001859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T26000139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B26002153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D26002256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B26002228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D26002440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B26002270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B26002324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B26002346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D26002522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D26002622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D26002648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D26002811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D26003032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D26003033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D26003048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T26000231k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B26002959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B26002960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B26002973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D26003187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D26003196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D26003321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B26003111</v>
          </cell>
          <cell r="AP1513">
            <v>0</v>
          </cell>
          <cell r="AQ1513">
            <v>0</v>
          </cell>
          <cell r="AV1513">
            <v>2250000</v>
          </cell>
        </row>
        <row r="1514">
          <cell r="E1514" t="str">
            <v>B26003112</v>
          </cell>
          <cell r="AP1514">
            <v>0</v>
          </cell>
          <cell r="AQ1514">
            <v>0</v>
          </cell>
          <cell r="AV1514">
            <v>2250000</v>
          </cell>
        </row>
        <row r="1515">
          <cell r="E1515" t="str">
            <v>B26003113</v>
          </cell>
          <cell r="AP1515">
            <v>0</v>
          </cell>
          <cell r="AQ1515">
            <v>0</v>
          </cell>
          <cell r="AV1515">
            <v>2850000</v>
          </cell>
        </row>
        <row r="1516">
          <cell r="E1516" t="str">
            <v>B26003114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B26003115</v>
          </cell>
          <cell r="AP1517">
            <v>0</v>
          </cell>
          <cell r="AQ1517">
            <v>0</v>
          </cell>
          <cell r="AV1517">
            <v>2850000</v>
          </cell>
        </row>
        <row r="1518">
          <cell r="E1518" t="str">
            <v>B26003116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B26003123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B26003124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B26003167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D26003495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D26003512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D26002181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D26002182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D26002310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D26002311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B26002579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B26002704</v>
          </cell>
          <cell r="AP1529">
            <v>0</v>
          </cell>
          <cell r="AQ1529">
            <v>0</v>
          </cell>
          <cell r="AV1529">
            <v>0</v>
          </cell>
        </row>
        <row r="1530">
          <cell r="E1530" t="str">
            <v>C26000142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B25016384</v>
          </cell>
          <cell r="AP1531">
            <v>0</v>
          </cell>
          <cell r="AQ1531">
            <v>0</v>
          </cell>
          <cell r="AV1531">
            <v>9000000</v>
          </cell>
        </row>
        <row r="1532">
          <cell r="E1532" t="str">
            <v>D25019393</v>
          </cell>
          <cell r="AP1532">
            <v>0</v>
          </cell>
          <cell r="AQ1532">
            <v>0</v>
          </cell>
          <cell r="AV1532">
            <v>6570000</v>
          </cell>
        </row>
        <row r="1533">
          <cell r="E1533" t="str">
            <v>D25019652</v>
          </cell>
          <cell r="AP1533">
            <v>0</v>
          </cell>
          <cell r="AQ1533">
            <v>0</v>
          </cell>
          <cell r="AV1533">
            <v>2280000</v>
          </cell>
        </row>
        <row r="1534">
          <cell r="E1534" t="str">
            <v>B26000606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B26000956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B26001207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B26002317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T26000229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T26000230</v>
          </cell>
          <cell r="AP1539">
            <v>0</v>
          </cell>
          <cell r="AQ1539">
            <v>0</v>
          </cell>
          <cell r="AV1539">
            <v>1700000</v>
          </cell>
        </row>
        <row r="1540">
          <cell r="E1540" t="str">
            <v>D26001151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D26001766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B26001763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B26001974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B26002320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B26002434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B26002435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D26002836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T26000192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D26003242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D26003435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D26003470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B26001196</v>
          </cell>
          <cell r="AP1552">
            <v>0</v>
          </cell>
          <cell r="AQ1552">
            <v>0</v>
          </cell>
          <cell r="AV1552">
            <v>1600000</v>
          </cell>
        </row>
        <row r="1553">
          <cell r="E1553" t="str">
            <v>B26001196</v>
          </cell>
          <cell r="AP1553">
            <v>0</v>
          </cell>
          <cell r="AQ1553">
            <v>0</v>
          </cell>
          <cell r="AV1553">
            <v>3520000</v>
          </cell>
        </row>
        <row r="1554">
          <cell r="E1554" t="str">
            <v>B26001197</v>
          </cell>
          <cell r="AP1554">
            <v>0</v>
          </cell>
          <cell r="AQ1554">
            <v>0</v>
          </cell>
          <cell r="AV1554">
            <v>5660000</v>
          </cell>
        </row>
        <row r="1555">
          <cell r="E1555" t="str">
            <v>B26001198</v>
          </cell>
          <cell r="AP1555">
            <v>0</v>
          </cell>
          <cell r="AQ1555">
            <v>0</v>
          </cell>
          <cell r="AV1555">
            <v>4180000</v>
          </cell>
        </row>
        <row r="1556">
          <cell r="E1556" t="str">
            <v>B26001199</v>
          </cell>
          <cell r="AP1556">
            <v>0</v>
          </cell>
          <cell r="AQ1556">
            <v>0</v>
          </cell>
          <cell r="AV1556">
            <v>1172500</v>
          </cell>
        </row>
        <row r="1557">
          <cell r="E1557" t="str">
            <v>B26001200</v>
          </cell>
          <cell r="AP1557">
            <v>0</v>
          </cell>
          <cell r="AQ1557">
            <v>0</v>
          </cell>
          <cell r="AV1557">
            <v>97500</v>
          </cell>
        </row>
        <row r="1558">
          <cell r="E1558" t="str">
            <v>D26001307</v>
          </cell>
          <cell r="AP1558">
            <v>0</v>
          </cell>
          <cell r="AQ1558">
            <v>0</v>
          </cell>
          <cell r="AV1558">
            <v>2064000</v>
          </cell>
        </row>
        <row r="1559">
          <cell r="E1559" t="str">
            <v>B26001786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B26001787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B26001788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B26001789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B26001791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B26002020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B26002021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B26002022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D26002249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B26002521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B26002523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B26002524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B26002525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B26002812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B26003103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B26003135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B26003136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B26003137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B26003139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L26000010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D26003403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B26001901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B26002107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C26000151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B26002062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B26003247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D26001846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D26002410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D26003123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D26003309</v>
          </cell>
          <cell r="AP1588">
            <v>0</v>
          </cell>
          <cell r="AQ1588">
            <v>0</v>
          </cell>
          <cell r="AV1588">
            <v>457500000</v>
          </cell>
        </row>
        <row r="1589">
          <cell r="E1589" t="str">
            <v>D26003375</v>
          </cell>
          <cell r="AP1589">
            <v>0</v>
          </cell>
          <cell r="AQ1589">
            <v>0</v>
          </cell>
          <cell r="AV1589">
            <v>178500000</v>
          </cell>
        </row>
        <row r="1590">
          <cell r="E1590" t="str">
            <v>D26003390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B25005869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D25010517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B26000617</v>
          </cell>
          <cell r="AP1593">
            <v>0</v>
          </cell>
          <cell r="AQ1593">
            <v>0</v>
          </cell>
          <cell r="AV1593">
            <v>13454000</v>
          </cell>
        </row>
        <row r="1594">
          <cell r="E1594" t="str">
            <v>D26002255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D26003104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D26003515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D26003516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D26003527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B26002777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B26003120</v>
          </cell>
          <cell r="AP1600">
            <v>0</v>
          </cell>
          <cell r="AQ1600">
            <v>0</v>
          </cell>
          <cell r="AV1600">
            <v>4275000</v>
          </cell>
        </row>
        <row r="1601">
          <cell r="E1601" t="str">
            <v>B26003121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D26001797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D25018930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C26000174</v>
          </cell>
          <cell r="AP1604">
            <v>0</v>
          </cell>
          <cell r="AQ1604">
            <v>0</v>
          </cell>
          <cell r="AV1604">
            <v>616000</v>
          </cell>
        </row>
        <row r="1605">
          <cell r="E1605" t="str">
            <v>C26000175</v>
          </cell>
          <cell r="AP1605">
            <v>0</v>
          </cell>
          <cell r="AQ1605">
            <v>0</v>
          </cell>
          <cell r="AV1605">
            <v>212000</v>
          </cell>
        </row>
        <row r="1606">
          <cell r="E1606" t="str">
            <v>C26000176</v>
          </cell>
          <cell r="AP1606">
            <v>0</v>
          </cell>
          <cell r="AQ1606">
            <v>0</v>
          </cell>
          <cell r="AV1606">
            <v>184000</v>
          </cell>
        </row>
        <row r="1607">
          <cell r="E1607" t="str">
            <v>C26000181</v>
          </cell>
          <cell r="AP1607">
            <v>0</v>
          </cell>
          <cell r="AQ1607">
            <v>0</v>
          </cell>
          <cell r="AV1607">
            <v>810000</v>
          </cell>
        </row>
        <row r="1608">
          <cell r="E1608" t="str">
            <v>C26000183</v>
          </cell>
          <cell r="AP1608">
            <v>0</v>
          </cell>
          <cell r="AQ1608">
            <v>0</v>
          </cell>
          <cell r="AV1608">
            <v>543000</v>
          </cell>
        </row>
        <row r="1609">
          <cell r="E1609" t="str">
            <v>C26000184</v>
          </cell>
          <cell r="AP1609">
            <v>0</v>
          </cell>
          <cell r="AQ1609">
            <v>0</v>
          </cell>
          <cell r="AV1609">
            <v>92000</v>
          </cell>
        </row>
        <row r="1610">
          <cell r="E1610" t="str">
            <v>D26003405</v>
          </cell>
          <cell r="AP1610">
            <v>0</v>
          </cell>
          <cell r="AQ1610">
            <v>0</v>
          </cell>
          <cell r="AV1610">
            <v>1575000</v>
          </cell>
        </row>
        <row r="1611">
          <cell r="E1611" t="str">
            <v>C26000187</v>
          </cell>
          <cell r="AP1611">
            <v>0</v>
          </cell>
          <cell r="AQ1611">
            <v>0</v>
          </cell>
          <cell r="AV1611">
            <v>341000</v>
          </cell>
        </row>
        <row r="1612">
          <cell r="E1612" t="str">
            <v>C26000188</v>
          </cell>
          <cell r="AP1612">
            <v>0</v>
          </cell>
          <cell r="AQ1612">
            <v>0</v>
          </cell>
          <cell r="AV1612">
            <v>129000</v>
          </cell>
        </row>
        <row r="1613">
          <cell r="E1613" t="str">
            <v>T26000149K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D26001055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D26001521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D26001554</v>
          </cell>
          <cell r="AP1616">
            <v>0</v>
          </cell>
          <cell r="AQ1616">
            <v>0</v>
          </cell>
          <cell r="AV1616">
            <v>1000000</v>
          </cell>
        </row>
        <row r="1617">
          <cell r="E1617" t="str">
            <v>D26001568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B26001889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D26002000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B26002156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B26002509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D26002749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D26003092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B26003119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D26001386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D26001392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B26002785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D26003116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Z26000236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Z26000335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Z26000520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Z26000617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B26003194</v>
          </cell>
          <cell r="AP1633">
            <v>0</v>
          </cell>
          <cell r="AQ1633">
            <v>0</v>
          </cell>
          <cell r="AV1633">
            <v>1900000</v>
          </cell>
        </row>
        <row r="1634">
          <cell r="E1634" t="str">
            <v>Z26000581</v>
          </cell>
          <cell r="AP1634">
            <v>0</v>
          </cell>
          <cell r="AQ1634">
            <v>0</v>
          </cell>
          <cell r="AV1634">
            <v>2025000</v>
          </cell>
        </row>
        <row r="1635">
          <cell r="E1635" t="str">
            <v>D26002848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B26002247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B26002887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B26002888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D26003517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T25001533K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T25001617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T26000086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D25017894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D25017895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D25017897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T25001556K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D26002748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D26003237</v>
          </cell>
          <cell r="AP1648">
            <v>0</v>
          </cell>
          <cell r="AQ1648">
            <v>0</v>
          </cell>
          <cell r="AV1648">
            <v>4970000</v>
          </cell>
        </row>
        <row r="1649">
          <cell r="E1649" t="str">
            <v>D26000840</v>
          </cell>
          <cell r="AP1649">
            <v>0</v>
          </cell>
          <cell r="AQ1649">
            <v>0</v>
          </cell>
          <cell r="AV1649">
            <v>2900000</v>
          </cell>
        </row>
        <row r="1650">
          <cell r="E1650" t="str">
            <v>B26001123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B26001136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B26001590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B26001591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D26002416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B26002645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Z26000020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Z26000021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Z26000024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Z26000231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Z26000232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Z26000606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Z26000607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Z26000632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D26002833</v>
          </cell>
          <cell r="AP1664">
            <v>800</v>
          </cell>
          <cell r="AQ1664">
            <v>0</v>
          </cell>
          <cell r="AV1664">
            <v>8794000</v>
          </cell>
        </row>
        <row r="1665">
          <cell r="E1665" t="str">
            <v>D25018525</v>
          </cell>
          <cell r="AP1665">
            <v>0</v>
          </cell>
          <cell r="AQ1665">
            <v>0</v>
          </cell>
          <cell r="AV1665">
            <v>119520000</v>
          </cell>
        </row>
        <row r="1666">
          <cell r="E1666" t="str">
            <v>D25018606</v>
          </cell>
          <cell r="AP1666">
            <v>0</v>
          </cell>
          <cell r="AQ1666">
            <v>0</v>
          </cell>
          <cell r="AV1666">
            <v>17010000</v>
          </cell>
        </row>
        <row r="1667">
          <cell r="E1667" t="str">
            <v>B25016177</v>
          </cell>
          <cell r="AP1667">
            <v>0</v>
          </cell>
          <cell r="AQ1667">
            <v>0</v>
          </cell>
          <cell r="AV1667">
            <v>3240000</v>
          </cell>
        </row>
        <row r="1668">
          <cell r="E1668" t="str">
            <v>B25016825</v>
          </cell>
          <cell r="AP1668">
            <v>0</v>
          </cell>
          <cell r="AQ1668">
            <v>0</v>
          </cell>
          <cell r="AV1668">
            <v>7700000</v>
          </cell>
        </row>
        <row r="1669">
          <cell r="E1669" t="str">
            <v>B25016837</v>
          </cell>
          <cell r="AP1669">
            <v>0</v>
          </cell>
          <cell r="AQ1669">
            <v>0</v>
          </cell>
          <cell r="AV1669">
            <v>42075000</v>
          </cell>
        </row>
        <row r="1670">
          <cell r="E1670" t="str">
            <v>B25017008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D25019579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D26000036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D26000149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D26000150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B26000166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B26000347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D26000810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B26000982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B26000983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B26001042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B26001049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D26001275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D26001314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B26001274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B26001388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B26001410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B26001446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B26001574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B26001580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D26001839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B26001745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D26002091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D26002297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D26002682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D26002683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D26002710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D26002907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D26002913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D26002914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B26002910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B26003009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B26003174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B25016619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D25019634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B25013215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B25013285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E23005700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B25008183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B26001004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D26002404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B26002150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D26000664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B26002728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D26000899</v>
          </cell>
          <cell r="AP1714">
            <v>0</v>
          </cell>
          <cell r="AQ1714">
            <v>0</v>
          </cell>
          <cell r="AV1714">
            <v>4500</v>
          </cell>
        </row>
        <row r="1715">
          <cell r="E1715" t="str">
            <v>T26000064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T26000089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B26002113</v>
          </cell>
          <cell r="AP1717">
            <v>0</v>
          </cell>
          <cell r="AQ1717">
            <v>0</v>
          </cell>
          <cell r="AV1717">
            <v>14595500</v>
          </cell>
        </row>
        <row r="1718">
          <cell r="E1718" t="str">
            <v>B26002495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B26002496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B26003241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D26000811</v>
          </cell>
          <cell r="AP1721">
            <v>0</v>
          </cell>
          <cell r="AQ1721">
            <v>0</v>
          </cell>
          <cell r="AV1721">
            <v>1350000</v>
          </cell>
        </row>
        <row r="1722">
          <cell r="E1722" t="str">
            <v>D26002364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D26002487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B26002339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D26002621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B26003118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D25015654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D26002401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T25001854</v>
          </cell>
          <cell r="AP1729">
            <v>0</v>
          </cell>
          <cell r="AQ1729">
            <v>0</v>
          </cell>
          <cell r="AV1729">
            <v>2000000</v>
          </cell>
        </row>
        <row r="1730">
          <cell r="E1730" t="str">
            <v>D25019148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B26000046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B26000125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B26000508</v>
          </cell>
          <cell r="AP1733">
            <v>0</v>
          </cell>
          <cell r="AQ1733">
            <v>0</v>
          </cell>
          <cell r="AV1733">
            <v>0</v>
          </cell>
        </row>
        <row r="1734">
          <cell r="E1734" t="str">
            <v>B26001344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D26002160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B26002874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D26001318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Z26000424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B26000001</v>
          </cell>
          <cell r="AP1739">
            <v>0</v>
          </cell>
          <cell r="AQ1739">
            <v>0</v>
          </cell>
          <cell r="AV1739">
            <v>3852500</v>
          </cell>
        </row>
        <row r="1740">
          <cell r="E1740" t="str">
            <v>B26000001</v>
          </cell>
          <cell r="AP1740">
            <v>9647500</v>
          </cell>
          <cell r="AQ1740">
            <v>0</v>
          </cell>
          <cell r="AV1740">
            <v>0</v>
          </cell>
        </row>
        <row r="1741">
          <cell r="E1741" t="str">
            <v>B26000052</v>
          </cell>
          <cell r="AP1741">
            <v>0</v>
          </cell>
          <cell r="AQ1741">
            <v>0</v>
          </cell>
          <cell r="AV1741">
            <v>17840000</v>
          </cell>
        </row>
        <row r="1742">
          <cell r="E1742" t="str">
            <v>B26000053</v>
          </cell>
          <cell r="AP1742">
            <v>0</v>
          </cell>
          <cell r="AQ1742">
            <v>0</v>
          </cell>
          <cell r="AV1742">
            <v>1290000</v>
          </cell>
        </row>
        <row r="1743">
          <cell r="E1743" t="str">
            <v>B26000062</v>
          </cell>
          <cell r="AP1743">
            <v>0</v>
          </cell>
          <cell r="AQ1743">
            <v>0</v>
          </cell>
          <cell r="AV1743">
            <v>50000000</v>
          </cell>
        </row>
        <row r="1744">
          <cell r="E1744" t="str">
            <v>B26000102</v>
          </cell>
          <cell r="AP1744">
            <v>0</v>
          </cell>
          <cell r="AQ1744">
            <v>0</v>
          </cell>
          <cell r="AV1744">
            <v>6000000</v>
          </cell>
        </row>
        <row r="1745">
          <cell r="E1745" t="str">
            <v>D26000066</v>
          </cell>
          <cell r="AP1745">
            <v>0</v>
          </cell>
          <cell r="AQ1745">
            <v>0</v>
          </cell>
          <cell r="AV1745">
            <v>8062500</v>
          </cell>
        </row>
        <row r="1746">
          <cell r="E1746" t="str">
            <v>D26000222</v>
          </cell>
          <cell r="AP1746">
            <v>0</v>
          </cell>
          <cell r="AQ1746">
            <v>0</v>
          </cell>
          <cell r="AV1746">
            <v>25750000</v>
          </cell>
        </row>
        <row r="1747">
          <cell r="E1747" t="str">
            <v>D26000314</v>
          </cell>
          <cell r="AP1747">
            <v>0</v>
          </cell>
          <cell r="AQ1747">
            <v>0</v>
          </cell>
          <cell r="AV1747">
            <v>1070000</v>
          </cell>
        </row>
        <row r="1748">
          <cell r="E1748" t="str">
            <v>B26000311</v>
          </cell>
          <cell r="AP1748">
            <v>0</v>
          </cell>
          <cell r="AQ1748">
            <v>0</v>
          </cell>
          <cell r="AV1748">
            <v>11340000</v>
          </cell>
        </row>
        <row r="1749">
          <cell r="E1749" t="str">
            <v>B26000314</v>
          </cell>
          <cell r="AP1749">
            <v>0</v>
          </cell>
          <cell r="AQ1749">
            <v>0</v>
          </cell>
          <cell r="AV1749">
            <v>18000000</v>
          </cell>
        </row>
        <row r="1750">
          <cell r="E1750" t="str">
            <v>D26000382</v>
          </cell>
          <cell r="AP1750">
            <v>0</v>
          </cell>
          <cell r="AQ1750">
            <v>0</v>
          </cell>
          <cell r="AV1750">
            <v>11162500</v>
          </cell>
        </row>
        <row r="1751">
          <cell r="E1751" t="str">
            <v>D26000383</v>
          </cell>
          <cell r="AP1751">
            <v>0</v>
          </cell>
          <cell r="AQ1751">
            <v>0</v>
          </cell>
          <cell r="AV1751">
            <v>180500000</v>
          </cell>
        </row>
        <row r="1752">
          <cell r="E1752" t="str">
            <v>D26000460</v>
          </cell>
          <cell r="AP1752">
            <v>0</v>
          </cell>
          <cell r="AQ1752">
            <v>0</v>
          </cell>
          <cell r="AV1752">
            <v>420000</v>
          </cell>
        </row>
        <row r="1753">
          <cell r="E1753" t="str">
            <v>D26000513</v>
          </cell>
          <cell r="AP1753">
            <v>0</v>
          </cell>
          <cell r="AQ1753">
            <v>0</v>
          </cell>
          <cell r="AV1753">
            <v>139650000</v>
          </cell>
        </row>
        <row r="1754">
          <cell r="E1754" t="str">
            <v>D26000514</v>
          </cell>
          <cell r="AP1754">
            <v>0</v>
          </cell>
          <cell r="AQ1754">
            <v>0</v>
          </cell>
          <cell r="AV1754">
            <v>25062500</v>
          </cell>
        </row>
        <row r="1755">
          <cell r="E1755" t="str">
            <v>D26000514</v>
          </cell>
          <cell r="AP1755">
            <v>0</v>
          </cell>
          <cell r="AQ1755">
            <v>0</v>
          </cell>
          <cell r="AV1755">
            <v>12717500</v>
          </cell>
        </row>
        <row r="1756">
          <cell r="E1756" t="str">
            <v>D26000515</v>
          </cell>
          <cell r="AP1756">
            <v>0</v>
          </cell>
          <cell r="AQ1756">
            <v>0</v>
          </cell>
          <cell r="AV1756">
            <v>16100000</v>
          </cell>
        </row>
        <row r="1757">
          <cell r="E1757" t="str">
            <v>B26000502</v>
          </cell>
          <cell r="AP1757">
            <v>0</v>
          </cell>
          <cell r="AQ1757">
            <v>0</v>
          </cell>
          <cell r="AV1757">
            <v>3000000</v>
          </cell>
        </row>
        <row r="1758">
          <cell r="E1758" t="str">
            <v>B26000531</v>
          </cell>
          <cell r="AP1758">
            <v>0</v>
          </cell>
          <cell r="AQ1758">
            <v>0</v>
          </cell>
          <cell r="AV1758">
            <v>5040000</v>
          </cell>
        </row>
        <row r="1759">
          <cell r="E1759" t="str">
            <v>B26000580</v>
          </cell>
          <cell r="AP1759">
            <v>0</v>
          </cell>
          <cell r="AQ1759">
            <v>0</v>
          </cell>
          <cell r="AV1759">
            <v>2300000</v>
          </cell>
        </row>
        <row r="1760">
          <cell r="E1760" t="str">
            <v>D26000633</v>
          </cell>
          <cell r="AP1760">
            <v>0</v>
          </cell>
          <cell r="AQ1760">
            <v>0</v>
          </cell>
          <cell r="AV1760">
            <v>1800000</v>
          </cell>
        </row>
        <row r="1761">
          <cell r="E1761" t="str">
            <v>D26000655</v>
          </cell>
          <cell r="AP1761">
            <v>0</v>
          </cell>
          <cell r="AQ1761">
            <v>0</v>
          </cell>
          <cell r="AV1761">
            <v>16125000</v>
          </cell>
        </row>
        <row r="1762">
          <cell r="E1762" t="str">
            <v>B26000665</v>
          </cell>
          <cell r="AP1762">
            <v>0</v>
          </cell>
          <cell r="AQ1762">
            <v>0</v>
          </cell>
          <cell r="AV1762">
            <v>16050000</v>
          </cell>
        </row>
        <row r="1763">
          <cell r="E1763" t="str">
            <v>B26000679</v>
          </cell>
          <cell r="AP1763">
            <v>0</v>
          </cell>
          <cell r="AQ1763">
            <v>0</v>
          </cell>
          <cell r="AV1763">
            <v>7980000</v>
          </cell>
        </row>
        <row r="1764">
          <cell r="E1764" t="str">
            <v>D26000708</v>
          </cell>
          <cell r="AP1764">
            <v>0</v>
          </cell>
          <cell r="AQ1764">
            <v>0</v>
          </cell>
          <cell r="AV1764">
            <v>2565000</v>
          </cell>
        </row>
        <row r="1765">
          <cell r="E1765" t="str">
            <v>D26000712</v>
          </cell>
          <cell r="AP1765">
            <v>0</v>
          </cell>
          <cell r="AQ1765">
            <v>0</v>
          </cell>
          <cell r="AV1765">
            <v>36960000</v>
          </cell>
        </row>
        <row r="1766">
          <cell r="E1766" t="str">
            <v>B26000731</v>
          </cell>
          <cell r="AP1766">
            <v>0</v>
          </cell>
          <cell r="AQ1766">
            <v>0</v>
          </cell>
          <cell r="AV1766">
            <v>5412500</v>
          </cell>
        </row>
        <row r="1767">
          <cell r="E1767" t="str">
            <v>D26000812</v>
          </cell>
          <cell r="AP1767">
            <v>0</v>
          </cell>
          <cell r="AQ1767">
            <v>0</v>
          </cell>
          <cell r="AV1767">
            <v>5347500</v>
          </cell>
        </row>
        <row r="1768">
          <cell r="E1768" t="str">
            <v>B26000778</v>
          </cell>
          <cell r="AP1768">
            <v>0</v>
          </cell>
          <cell r="AQ1768">
            <v>0</v>
          </cell>
          <cell r="AV1768">
            <v>67937500</v>
          </cell>
        </row>
        <row r="1769">
          <cell r="E1769" t="str">
            <v>D26000848</v>
          </cell>
          <cell r="AP1769">
            <v>0</v>
          </cell>
          <cell r="AQ1769">
            <v>0</v>
          </cell>
          <cell r="AV1769">
            <v>300665000</v>
          </cell>
        </row>
        <row r="1770">
          <cell r="E1770" t="str">
            <v>B26000811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B26000842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B26000843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B26000894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B26000895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B26000907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D26001026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D26001084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B26001113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D26001153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D26001171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D26001172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B26001146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D26001224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B26001218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B26001219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D26001283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D26001297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B26001238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B26001295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D26001383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D26001466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B26001433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B26001434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B26001459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D26001631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D26001632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D26001684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D26001732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B26001655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B26001670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D26001858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D26001859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D26001902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B26001821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B26001822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B26001869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B26001870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D26002052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B26001985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B26001986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B26002054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B26002055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B26002133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B26002134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D26002277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D26002374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B26002209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B26002291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B26002318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B26002327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B26002334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B26002335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D26002656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B26002549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D26002680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D26002736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D26002737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B26002619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B26002620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D26002845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B26002737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B26002738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D26002984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D26002985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N26000027</v>
          </cell>
          <cell r="AP1835">
            <v>0</v>
          </cell>
          <cell r="AQ1835">
            <v>0</v>
          </cell>
          <cell r="AV1835">
            <v>1250000</v>
          </cell>
        </row>
        <row r="1836">
          <cell r="E1836" t="str">
            <v>D26003050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B26002897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B26002898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B26002965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B26002970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D26003169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B26003000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B26003001</v>
          </cell>
          <cell r="AP1843">
            <v>0</v>
          </cell>
          <cell r="AQ1843">
            <v>0</v>
          </cell>
          <cell r="AV1843">
            <v>74250000</v>
          </cell>
        </row>
        <row r="1844">
          <cell r="E1844" t="str">
            <v>B26003024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D26003232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B26003053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B26003087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B26003096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B26003097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B26003098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B26003143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D26003374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D26003428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D26003429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D26003440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D26003498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D26003499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D26003503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D26002272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D26002273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B26002699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T26000196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B26002932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B26003226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B26003227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B26003239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B26003240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D26003513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D26001875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D26001969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B26002625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D26001733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B26001753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D26001879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B26002716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B26000870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D26000924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D26001053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D26001062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B26001055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D26001319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B26001537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B26001550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B26002752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D26003246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B26000315</v>
          </cell>
          <cell r="AP1886">
            <v>0</v>
          </cell>
          <cell r="AQ1886">
            <v>0</v>
          </cell>
          <cell r="AV1886">
            <v>19500000</v>
          </cell>
        </row>
        <row r="1887">
          <cell r="E1887" t="str">
            <v>B26001243</v>
          </cell>
          <cell r="AP1887">
            <v>0</v>
          </cell>
          <cell r="AQ1887">
            <v>0</v>
          </cell>
          <cell r="AV1887">
            <v>19500000</v>
          </cell>
        </row>
        <row r="1888">
          <cell r="E1888" t="str">
            <v>D26001524</v>
          </cell>
          <cell r="AP1888">
            <v>0</v>
          </cell>
          <cell r="AQ1888">
            <v>0</v>
          </cell>
          <cell r="AV1888">
            <v>1730000</v>
          </cell>
        </row>
        <row r="1889">
          <cell r="E1889" t="str">
            <v>B26001576</v>
          </cell>
          <cell r="AP1889">
            <v>0</v>
          </cell>
          <cell r="AQ1889">
            <v>0</v>
          </cell>
          <cell r="AV1889">
            <v>19500000</v>
          </cell>
        </row>
        <row r="1890">
          <cell r="E1890" t="str">
            <v>D26002300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B26002308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B26002309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B26002864</v>
          </cell>
          <cell r="AP1893">
            <v>0</v>
          </cell>
          <cell r="AQ1893">
            <v>0</v>
          </cell>
          <cell r="AV1893">
            <v>4280000</v>
          </cell>
        </row>
        <row r="1894">
          <cell r="E1894" t="str">
            <v>B26002980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B26003032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D26003425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D25016516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N25000063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D26003524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B26000678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B26003037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D26003487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D25017524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B25015180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B25015962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D25018402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B25016026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D25019077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B26000050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B26000726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D26000942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D26001481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D26001580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D26002530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B25015817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B25016025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B26000049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B26001029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T26000092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T26000093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D26000315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B26000653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D26001184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D26002063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D26002119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D26002183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B26002218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B26002219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B26002288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Z25003333</v>
          </cell>
          <cell r="AP1930">
            <v>0</v>
          </cell>
          <cell r="AQ1930">
            <v>0</v>
          </cell>
          <cell r="AV1930">
            <v>12600000</v>
          </cell>
        </row>
        <row r="1931">
          <cell r="E1931" t="str">
            <v>Z25003346</v>
          </cell>
          <cell r="AP1931">
            <v>0</v>
          </cell>
          <cell r="AQ1931">
            <v>0</v>
          </cell>
          <cell r="AV1931">
            <v>37200000</v>
          </cell>
        </row>
        <row r="1932">
          <cell r="E1932" t="str">
            <v>Z25003348</v>
          </cell>
          <cell r="AP1932">
            <v>0</v>
          </cell>
          <cell r="AQ1932">
            <v>0</v>
          </cell>
          <cell r="AV1932">
            <v>200000</v>
          </cell>
        </row>
        <row r="1933">
          <cell r="E1933" t="str">
            <v>Z25003358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Z25003375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Z26000012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Z26000029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Z26000094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Z26000102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Z26000130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Z26000153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Z26000177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Z26000220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Z26000279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Z26000372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Z26000427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Z26000437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Z26000549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Z26000550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D25018617</v>
          </cell>
          <cell r="AP1949">
            <v>0</v>
          </cell>
          <cell r="AQ1949">
            <v>0</v>
          </cell>
          <cell r="AV1949">
            <v>0</v>
          </cell>
        </row>
        <row r="1950">
          <cell r="E1950" t="str">
            <v>B25016247</v>
          </cell>
          <cell r="AP1950">
            <v>0</v>
          </cell>
          <cell r="AQ1950">
            <v>0</v>
          </cell>
          <cell r="AV1950">
            <v>0</v>
          </cell>
        </row>
        <row r="1951">
          <cell r="E1951" t="str">
            <v>B25016267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B25016447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B25016509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B25016792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D25019469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B26000118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D26000102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B26000292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B26000293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B26000528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B26000572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B26000621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B26000671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B26000696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B26000829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B26000865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B26001201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B26001289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B26001340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B26001341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B26001348</v>
          </cell>
          <cell r="AP1971">
            <v>0</v>
          </cell>
          <cell r="AQ1971">
            <v>0</v>
          </cell>
          <cell r="AV1971">
            <v>0</v>
          </cell>
        </row>
        <row r="1972">
          <cell r="E1972" t="str">
            <v>B26001383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B26001464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B26001551</v>
          </cell>
          <cell r="AP1974">
            <v>0</v>
          </cell>
          <cell r="AQ1974">
            <v>0</v>
          </cell>
          <cell r="AV1974">
            <v>0</v>
          </cell>
        </row>
        <row r="1975">
          <cell r="E1975" t="str">
            <v>B26001698</v>
          </cell>
          <cell r="AP1975">
            <v>0</v>
          </cell>
          <cell r="AQ1975">
            <v>0</v>
          </cell>
          <cell r="AV1975">
            <v>0</v>
          </cell>
        </row>
        <row r="1976">
          <cell r="E1976" t="str">
            <v>B26001774</v>
          </cell>
          <cell r="AP1976">
            <v>0</v>
          </cell>
          <cell r="AQ1976">
            <v>0</v>
          </cell>
          <cell r="AV1976">
            <v>0</v>
          </cell>
        </row>
        <row r="1977">
          <cell r="E1977" t="str">
            <v>B26001779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B26001782</v>
          </cell>
          <cell r="AP1978">
            <v>0</v>
          </cell>
          <cell r="AQ1978">
            <v>0</v>
          </cell>
          <cell r="AV1978">
            <v>0</v>
          </cell>
        </row>
        <row r="1979">
          <cell r="E1979" t="str">
            <v>D26001928</v>
          </cell>
          <cell r="AP1979">
            <v>0</v>
          </cell>
          <cell r="AQ1979">
            <v>0</v>
          </cell>
          <cell r="AV1979">
            <v>282494825</v>
          </cell>
        </row>
        <row r="1980">
          <cell r="E1980" t="str">
            <v>D26001938</v>
          </cell>
          <cell r="AP1980">
            <v>0</v>
          </cell>
          <cell r="AQ1980">
            <v>0</v>
          </cell>
          <cell r="AV1980">
            <v>217505175</v>
          </cell>
        </row>
        <row r="1981">
          <cell r="E1981" t="str">
            <v>D26001938</v>
          </cell>
          <cell r="AP1981">
            <v>0</v>
          </cell>
          <cell r="AQ1981">
            <v>0</v>
          </cell>
          <cell r="AV1981">
            <v>250000000</v>
          </cell>
        </row>
        <row r="1982">
          <cell r="E1982" t="str">
            <v>D26002098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D26002167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D26002270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B26002210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D26002437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D26002488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D26002500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D26002516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D26002615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D26002699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D26002784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D26002787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D26002794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D26002832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D26003076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D26003078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D26003192</v>
          </cell>
          <cell r="AP1998">
            <v>0</v>
          </cell>
          <cell r="AQ1998">
            <v>0</v>
          </cell>
          <cell r="AV1998">
            <v>0</v>
          </cell>
        </row>
        <row r="1999">
          <cell r="E1999" t="str">
            <v>D26003199</v>
          </cell>
          <cell r="AP1999">
            <v>0</v>
          </cell>
          <cell r="AQ1999">
            <v>0</v>
          </cell>
          <cell r="AV1999">
            <v>0</v>
          </cell>
        </row>
        <row r="2000">
          <cell r="E2000" t="str">
            <v>D26003303</v>
          </cell>
          <cell r="AP2000">
            <v>0</v>
          </cell>
          <cell r="AQ2000">
            <v>0</v>
          </cell>
          <cell r="AV2000">
            <v>0</v>
          </cell>
        </row>
        <row r="2001">
          <cell r="E2001" t="str">
            <v>D26003333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D26003478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B26000380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T26000253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T26000254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B25002140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B26001581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B26002005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B26002040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B26002051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D26002357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T26000183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B26002629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D26002977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D26003024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B26002908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B26003228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Z26000140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Z26000160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Z26000402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Z26000605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Z26000609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B25016892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D25019399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B25016922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B26001649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B26001714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D26002696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B26002616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C25000307</v>
          </cell>
          <cell r="AP2030">
            <v>0</v>
          </cell>
          <cell r="AQ2030">
            <v>0</v>
          </cell>
          <cell r="AV2030">
            <v>42000</v>
          </cell>
        </row>
        <row r="2031">
          <cell r="E2031" t="str">
            <v>D24015365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D24015541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C25000192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C25000195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C25000196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C25000197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C25000198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C25000445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B25008299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B25008808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B25009712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M25000081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D25018593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B26000145</v>
          </cell>
          <cell r="AP2044">
            <v>0</v>
          </cell>
          <cell r="AQ2044">
            <v>0</v>
          </cell>
          <cell r="AV2044">
            <v>588500</v>
          </cell>
        </row>
        <row r="2045">
          <cell r="E2045" t="str">
            <v>B26000146</v>
          </cell>
          <cell r="AP2045">
            <v>0</v>
          </cell>
          <cell r="AQ2045">
            <v>0</v>
          </cell>
          <cell r="AV2045">
            <v>232500</v>
          </cell>
        </row>
        <row r="2046">
          <cell r="E2046" t="str">
            <v>D26000177</v>
          </cell>
          <cell r="AP2046">
            <v>0</v>
          </cell>
          <cell r="AQ2046">
            <v>0</v>
          </cell>
          <cell r="AV2046">
            <v>1179000</v>
          </cell>
        </row>
        <row r="2047">
          <cell r="E2047" t="str">
            <v>D26003341</v>
          </cell>
          <cell r="AP2047">
            <v>0</v>
          </cell>
          <cell r="AQ2047">
            <v>0</v>
          </cell>
          <cell r="AV2047">
            <v>57600000</v>
          </cell>
        </row>
        <row r="2048">
          <cell r="E2048" t="str">
            <v>B26003249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B26003252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D26003461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D25018553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D26001327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B25016972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B26000326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B26001041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B26001680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D26002752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D26002753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D26001769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B26001766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B26001767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T26000124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D26001924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B26002166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D26002309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D26002350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N26000021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D26002389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B26002354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B26002441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B26002442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D26002880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B26002782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D26003098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D26003099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D26003139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D26003355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D26003371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B26000288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D26000885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D26001196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D26001745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D26001800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D26001801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D26001817</v>
          </cell>
          <cell r="AP2085">
            <v>0</v>
          </cell>
          <cell r="AQ2085">
            <v>0</v>
          </cell>
          <cell r="AV2085">
            <v>40750000</v>
          </cell>
        </row>
        <row r="2086">
          <cell r="E2086" t="str">
            <v>B26001712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D26002019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B26001898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D26002042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B26002167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B26002168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D26002971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D26003067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D26003126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D26003261</v>
          </cell>
          <cell r="AP2095">
            <v>0</v>
          </cell>
          <cell r="AQ2095">
            <v>0</v>
          </cell>
          <cell r="AV2095">
            <v>6750000</v>
          </cell>
        </row>
        <row r="2096">
          <cell r="E2096" t="str">
            <v>B26003180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D26003481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B26000037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D26000089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D26001302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D26001303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B26001765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D26002387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D26002388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T26000122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Z26000519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Z26000652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D26000752</v>
          </cell>
          <cell r="AP2108">
            <v>0</v>
          </cell>
          <cell r="AQ2108">
            <v>0</v>
          </cell>
          <cell r="AV2108">
            <v>6970000</v>
          </cell>
        </row>
        <row r="2109">
          <cell r="E2109" t="str">
            <v>D26003087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D26003122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B26002988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T26000251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D26003277</v>
          </cell>
          <cell r="AP2113">
            <v>0</v>
          </cell>
          <cell r="AQ2113">
            <v>0</v>
          </cell>
          <cell r="AV2113">
            <v>133000000</v>
          </cell>
        </row>
        <row r="2114">
          <cell r="E2114" t="str">
            <v>D26003277</v>
          </cell>
          <cell r="AP2114">
            <v>0</v>
          </cell>
          <cell r="AQ2114">
            <v>0</v>
          </cell>
          <cell r="AV2114">
            <v>43000000</v>
          </cell>
        </row>
        <row r="2115">
          <cell r="E2115" t="str">
            <v>D26003277</v>
          </cell>
          <cell r="AP2115">
            <v>0</v>
          </cell>
          <cell r="AQ2115">
            <v>0</v>
          </cell>
          <cell r="AV2115">
            <v>90000000</v>
          </cell>
        </row>
        <row r="2116">
          <cell r="E2116" t="str">
            <v>D26000093</v>
          </cell>
          <cell r="AP2116">
            <v>0</v>
          </cell>
          <cell r="AQ2116">
            <v>0</v>
          </cell>
          <cell r="AV2116">
            <v>5600000</v>
          </cell>
        </row>
        <row r="2117">
          <cell r="E2117" t="str">
            <v>B26000913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B26000357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D26000440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B26002313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D26003151</v>
          </cell>
          <cell r="AP2121">
            <v>0</v>
          </cell>
          <cell r="AQ2121">
            <v>0</v>
          </cell>
          <cell r="AV2121">
            <v>14200000</v>
          </cell>
        </row>
        <row r="2122">
          <cell r="E2122" t="str">
            <v>D26003451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D25014407</v>
          </cell>
          <cell r="AP2123">
            <v>0</v>
          </cell>
          <cell r="AQ2123">
            <v>0</v>
          </cell>
          <cell r="AV2123">
            <v>525000000</v>
          </cell>
        </row>
        <row r="2124">
          <cell r="E2124" t="str">
            <v>D26003452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D26001468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D26001781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B26002909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B26002911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B26000171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D26001079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T25001881k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T26000023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B26001319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D26002055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B25016739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B25016739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B25016739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B25016740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B25016740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D25019250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D25019250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D25019250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B25016887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B25016947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D26001633</v>
          </cell>
          <cell r="AP2145">
            <v>0</v>
          </cell>
          <cell r="AQ2145">
            <v>125000000</v>
          </cell>
          <cell r="AV2145">
            <v>0</v>
          </cell>
        </row>
        <row r="2146">
          <cell r="E2146" t="str">
            <v>D26001633</v>
          </cell>
          <cell r="AP2146">
            <v>0</v>
          </cell>
          <cell r="AQ2146">
            <v>125000000</v>
          </cell>
          <cell r="AV2146">
            <v>0</v>
          </cell>
        </row>
        <row r="2147">
          <cell r="E2147" t="str">
            <v>D26001633</v>
          </cell>
          <cell r="AP2147">
            <v>0</v>
          </cell>
          <cell r="AQ2147">
            <v>125000000</v>
          </cell>
          <cell r="AV2147">
            <v>0</v>
          </cell>
        </row>
        <row r="2148">
          <cell r="E2148" t="str">
            <v>D26001633</v>
          </cell>
          <cell r="AP2148">
            <v>0</v>
          </cell>
          <cell r="AQ2148">
            <v>125000000</v>
          </cell>
          <cell r="AV2148">
            <v>0</v>
          </cell>
        </row>
        <row r="2149">
          <cell r="E2149" t="str">
            <v>D26001633</v>
          </cell>
          <cell r="AP2149">
            <v>0</v>
          </cell>
          <cell r="AQ2149">
            <v>125000000</v>
          </cell>
          <cell r="AV2149">
            <v>0</v>
          </cell>
        </row>
        <row r="2150">
          <cell r="E2150" t="str">
            <v>D26001633</v>
          </cell>
          <cell r="AP2150">
            <v>0</v>
          </cell>
          <cell r="AQ2150">
            <v>125000000</v>
          </cell>
          <cell r="AV2150">
            <v>0</v>
          </cell>
        </row>
        <row r="2151">
          <cell r="E2151" t="str">
            <v>D26001633</v>
          </cell>
          <cell r="AP2151">
            <v>0</v>
          </cell>
          <cell r="AQ2151">
            <v>125000000</v>
          </cell>
          <cell r="AV2151">
            <v>0</v>
          </cell>
        </row>
        <row r="2152">
          <cell r="E2152" t="str">
            <v>D26001633</v>
          </cell>
          <cell r="AP2152">
            <v>0</v>
          </cell>
          <cell r="AQ2152">
            <v>125000000</v>
          </cell>
          <cell r="AV2152">
            <v>0</v>
          </cell>
        </row>
        <row r="2153">
          <cell r="E2153" t="str">
            <v>D26001633</v>
          </cell>
          <cell r="AP2153">
            <v>0</v>
          </cell>
          <cell r="AQ2153">
            <v>125000000</v>
          </cell>
          <cell r="AV2153">
            <v>0</v>
          </cell>
        </row>
        <row r="2154">
          <cell r="E2154" t="str">
            <v>D26001633</v>
          </cell>
          <cell r="AP2154">
            <v>0</v>
          </cell>
          <cell r="AQ2154">
            <v>129687500</v>
          </cell>
          <cell r="AV2154">
            <v>0</v>
          </cell>
        </row>
        <row r="2155">
          <cell r="E2155" t="str">
            <v>D25017428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B26001089</v>
          </cell>
          <cell r="AP2156">
            <v>0</v>
          </cell>
          <cell r="AQ2156">
            <v>0</v>
          </cell>
          <cell r="AV2156">
            <v>3600000</v>
          </cell>
        </row>
        <row r="2157">
          <cell r="E2157" t="str">
            <v>B26001313</v>
          </cell>
          <cell r="AP2157">
            <v>0</v>
          </cell>
          <cell r="AQ2157">
            <v>0</v>
          </cell>
          <cell r="AV2157">
            <v>9100000</v>
          </cell>
        </row>
        <row r="2158">
          <cell r="E2158" t="str">
            <v>B26001585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B26002847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B26003057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D26003319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T25001655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D26000630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D26000631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T26000033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B26001613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T26000165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D26003030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D26003031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D26003040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T26000216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D26003356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B26001164</v>
          </cell>
          <cell r="AP2173">
            <v>0</v>
          </cell>
          <cell r="AQ2173">
            <v>0</v>
          </cell>
          <cell r="AV2173">
            <v>21429000</v>
          </cell>
        </row>
        <row r="2174">
          <cell r="E2174" t="str">
            <v>D26001298</v>
          </cell>
          <cell r="AP2174">
            <v>0</v>
          </cell>
          <cell r="AQ2174">
            <v>0</v>
          </cell>
          <cell r="AV2174">
            <v>32375000</v>
          </cell>
        </row>
        <row r="2175">
          <cell r="E2175" t="str">
            <v>D26001313</v>
          </cell>
          <cell r="AP2175">
            <v>0</v>
          </cell>
          <cell r="AQ2175">
            <v>0</v>
          </cell>
          <cell r="AV2175">
            <v>6196000</v>
          </cell>
        </row>
        <row r="2176">
          <cell r="E2176" t="str">
            <v>D26001313</v>
          </cell>
          <cell r="AP2176">
            <v>0</v>
          </cell>
          <cell r="AQ2176">
            <v>0</v>
          </cell>
          <cell r="AV2176">
            <v>14629000</v>
          </cell>
        </row>
        <row r="2177">
          <cell r="E2177" t="str">
            <v>D26001380</v>
          </cell>
          <cell r="AP2177">
            <v>0</v>
          </cell>
          <cell r="AQ2177">
            <v>0</v>
          </cell>
          <cell r="AV2177">
            <v>1480000</v>
          </cell>
        </row>
        <row r="2178">
          <cell r="E2178" t="str">
            <v>D26001382</v>
          </cell>
          <cell r="AP2178">
            <v>0</v>
          </cell>
          <cell r="AQ2178">
            <v>0</v>
          </cell>
          <cell r="AV2178">
            <v>3891000</v>
          </cell>
        </row>
        <row r="2179">
          <cell r="E2179" t="str">
            <v>D26001428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B26001435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D26001644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D26001645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D26001854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B26001851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D26002080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B26002052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B26002100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D26002778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T26000222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D26001794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D26001811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D26002569</v>
          </cell>
          <cell r="AP2192">
            <v>0</v>
          </cell>
          <cell r="AQ2192">
            <v>6270000</v>
          </cell>
          <cell r="AV2192">
            <v>0</v>
          </cell>
        </row>
        <row r="2193">
          <cell r="E2193" t="str">
            <v>B26002671</v>
          </cell>
          <cell r="AP2193">
            <v>0</v>
          </cell>
          <cell r="AQ2193">
            <v>1430000</v>
          </cell>
          <cell r="AV2193">
            <v>0</v>
          </cell>
        </row>
        <row r="2194">
          <cell r="E2194" t="str">
            <v>B26002672</v>
          </cell>
          <cell r="AP2194">
            <v>0</v>
          </cell>
          <cell r="AQ2194">
            <v>10548000</v>
          </cell>
          <cell r="AV2194">
            <v>0</v>
          </cell>
        </row>
        <row r="2195">
          <cell r="E2195" t="str">
            <v>B26002674</v>
          </cell>
          <cell r="AP2195">
            <v>0</v>
          </cell>
          <cell r="AQ2195">
            <v>4575000</v>
          </cell>
          <cell r="AV2195">
            <v>0</v>
          </cell>
        </row>
        <row r="2196">
          <cell r="E2196" t="str">
            <v>B26002674</v>
          </cell>
          <cell r="AP2196">
            <v>0</v>
          </cell>
          <cell r="AQ2196">
            <v>23425000</v>
          </cell>
          <cell r="AV2196">
            <v>0</v>
          </cell>
        </row>
        <row r="2197">
          <cell r="E2197" t="str">
            <v>B26002736</v>
          </cell>
          <cell r="AP2197">
            <v>0</v>
          </cell>
          <cell r="AQ2197">
            <v>1575000</v>
          </cell>
          <cell r="AV2197">
            <v>0</v>
          </cell>
        </row>
        <row r="2198">
          <cell r="E2198" t="str">
            <v>D26003344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D26003353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B26002954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B26002893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D26001146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B26001472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B26001555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B26002323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T25000698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T25000700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D25017210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D25018775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D25018776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D25019491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B25016962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D26001199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D25018010</v>
          </cell>
          <cell r="AP2214">
            <v>0</v>
          </cell>
          <cell r="AQ2214">
            <v>0</v>
          </cell>
          <cell r="AV2214">
            <v>72080000</v>
          </cell>
        </row>
        <row r="2215">
          <cell r="E2215" t="str">
            <v>D25018011</v>
          </cell>
          <cell r="AP2215">
            <v>0</v>
          </cell>
          <cell r="AQ2215">
            <v>0</v>
          </cell>
          <cell r="AV2215">
            <v>51550000</v>
          </cell>
        </row>
        <row r="2216">
          <cell r="E2216" t="str">
            <v>B26001039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D26001222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B25015004</v>
          </cell>
          <cell r="AP2218">
            <v>0</v>
          </cell>
          <cell r="AQ2218">
            <v>0</v>
          </cell>
          <cell r="AV2218">
            <v>79000600</v>
          </cell>
        </row>
        <row r="2219">
          <cell r="E2219" t="str">
            <v>B25015067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D25017412</v>
          </cell>
          <cell r="AP2220">
            <v>0</v>
          </cell>
          <cell r="AQ2220">
            <v>0</v>
          </cell>
          <cell r="AV2220">
            <v>32113200</v>
          </cell>
        </row>
        <row r="2221">
          <cell r="E2221" t="str">
            <v>B25015250</v>
          </cell>
          <cell r="AP2221">
            <v>0</v>
          </cell>
          <cell r="AQ2221">
            <v>0</v>
          </cell>
          <cell r="AV2221">
            <v>35400000</v>
          </cell>
        </row>
        <row r="2222">
          <cell r="E2222" t="str">
            <v>B25015395</v>
          </cell>
          <cell r="AP2222">
            <v>0</v>
          </cell>
          <cell r="AQ2222">
            <v>0</v>
          </cell>
          <cell r="AV2222">
            <v>23600000</v>
          </cell>
        </row>
        <row r="2223">
          <cell r="E2223" t="str">
            <v>D25017843</v>
          </cell>
          <cell r="AP2223">
            <v>0</v>
          </cell>
          <cell r="AQ2223">
            <v>0</v>
          </cell>
          <cell r="AV2223">
            <v>126500000</v>
          </cell>
        </row>
        <row r="2224">
          <cell r="E2224" t="str">
            <v>B25015533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D25017972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D25018032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B25015677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D25018648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D25018929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B25016629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D25019093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D25019171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B25016746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D25019258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B25017047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B25017107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B25017109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D26000485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D26000506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D26000575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D26000852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D26001446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D26001587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D26001625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D26001850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D26002100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D26002356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D26002976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D26003028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D26003039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D26003086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B26003035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D26003206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T22000046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T22000053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T22000087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T22000122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T22000134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T22000139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T22000141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T22000167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T22000207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T22000231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T22000254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T22000265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T22000282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T22000316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T22000338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T22000378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T22000394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T22000405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T22000425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T22000456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T22000472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T22000491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T22000520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T22000560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T22000561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T22000580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T22000604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T22000664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T22000725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T22000772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T22000799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T23000003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T23000012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T23000013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T23000057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T23000064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T23000087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T23000120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D23001207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T23000149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T23000180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T23000184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T23000187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T23000252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T23000257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T23000275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T23000285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T23000332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T23000355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T23000382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T23000419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T23000426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T23000485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T23000492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T23000504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T23000507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T23000508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T23000509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T23000522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T23000524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T23000577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T23000584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T23000594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T23000630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T23000644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T23000686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T23000695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T23000741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T23000742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T23000772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T23000781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T23000782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T23000809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T23000845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T23000846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T23000860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T23000881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T23000884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T23000911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T23000912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T23000914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T23000919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T23000924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T23000935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T23000936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T23000986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T23000989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T23000994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T23000998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T23000999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T23001024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T23001025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T23001026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T23001057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T23001090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T23001094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T23001095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T23001103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T24000001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T24000018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T24000040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T24000113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T24000118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T24000126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T24000149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T24000166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T24000175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T24000176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T24000250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T24000251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T24000260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T24000265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T24000279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T24000299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T24000376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T24000384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T24000391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T24000392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T24000419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T24000448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T24000488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T24000489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T24000495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T24000496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T24000497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T24000498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T24000499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T24000519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T24000527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T24000598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T24000600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T24000601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T24000602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T24000603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T24000612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T24000631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T24000635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T24000673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T24000717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T24000718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T24000719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T24000720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T24000726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T24000727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T24000754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T24000755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T24000787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T24000936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T24000937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T24000938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T24000939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T24000946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T24000983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T24000984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T24000985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T24001077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T24001078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T24001079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T24001085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T24001086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T24001087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T24001088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T24001108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T24001119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T24001120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T24001121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T24001210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T24001211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T24001215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T24001220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T24001241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T24001249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T24001250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T24001265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T24001359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T24001360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T24001361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T24001369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T24001372</v>
          </cell>
          <cell r="AP2432">
            <v>0</v>
          </cell>
          <cell r="AQ2432">
            <v>0</v>
          </cell>
          <cell r="AV2432">
            <v>0</v>
          </cell>
        </row>
        <row r="2433">
          <cell r="E2433" t="str">
            <v>T24001380</v>
          </cell>
          <cell r="AP2433">
            <v>0</v>
          </cell>
          <cell r="AQ2433">
            <v>0</v>
          </cell>
          <cell r="AV2433">
            <v>0</v>
          </cell>
        </row>
        <row r="2434">
          <cell r="E2434" t="str">
            <v>T24001423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T24001424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T24001446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T24001447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T24001638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T24001639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T24001651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T24001652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T24001653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T24001654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T24001655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T24001697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T24001717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T24001721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T24001842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T25000023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T25000025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T25000026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T25000027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T25000028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T25000029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T25000035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T25000036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T25000091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T25000142</v>
          </cell>
          <cell r="AP2458">
            <v>0</v>
          </cell>
          <cell r="AQ2458">
            <v>0</v>
          </cell>
          <cell r="AV2458">
            <v>0</v>
          </cell>
        </row>
        <row r="2459">
          <cell r="E2459" t="str">
            <v>T25000157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T25000158</v>
          </cell>
          <cell r="AP2460">
            <v>0</v>
          </cell>
          <cell r="AQ2460">
            <v>0</v>
          </cell>
          <cell r="AV2460">
            <v>0</v>
          </cell>
        </row>
        <row r="2461">
          <cell r="E2461" t="str">
            <v>T25000161</v>
          </cell>
          <cell r="AP2461">
            <v>0</v>
          </cell>
          <cell r="AQ2461">
            <v>0</v>
          </cell>
          <cell r="AV2461">
            <v>0</v>
          </cell>
        </row>
        <row r="2462">
          <cell r="E2462" t="str">
            <v>T25000171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T25000172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T25000178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T25000328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T25000329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T25000357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T25000363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T25000364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T25000365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T25000366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T25000367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T25000368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T25000372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T25000432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T25000523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T25000546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T25000547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T25000548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T25000558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T25000559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T25000563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T25000564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T25000578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T25000626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T25000685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T25000686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T25000702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T25000706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T25000707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T25000734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T25000735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T25000740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T25000764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T25000770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R25000015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T25000878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T25000886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T25000887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T25000888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T25000895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T25000902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T25000903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T25000912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T25000914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T25000915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C25000475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T25000936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T25000956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T25000957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T25000958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D25009205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T25000988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T25000997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T25000999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T25001020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T25001022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T25001023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T25001024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T25001025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T25001033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T25001062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T25001078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T25001110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T25001162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T25001165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T25001173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T25001189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T25001203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T25001207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T25001222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T25001269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T25001294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T25001317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T25001323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T25001329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T25001330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T25001336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T25001343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T25001395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T25001408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T25001452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T25001456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T25001457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T25001458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T25001459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T25001460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T25001463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T25001464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T25001485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T25001497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T25001546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T25001592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T25001593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T25001604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T25001608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T25001627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T25001628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T25001629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T25001630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T25001683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T25001712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T25001729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T25001741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T25001742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T25001746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T25001750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T25001751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T25001752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T25001756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T25001757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T25001764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T25001765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T25001766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T25001767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T25001768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T25001769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T25001807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T25001832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T25001896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T26000004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T26000005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T26000007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T26000011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T26000012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T26000015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T26000020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T26000048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T26000069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T26000080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T26000084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T26000112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T26000113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T26000119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T26000130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T26000131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T26000137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T26000138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T26000141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T26000260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T26000266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T26000267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T26000276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T26000277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T26000278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T26000282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D25016915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B25016903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D25019699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T26000001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M26000038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M26000039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M26000040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M26000041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M26000042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M26000044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B26000953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B26002880</v>
          </cell>
          <cell r="AP2618">
            <v>0</v>
          </cell>
          <cell r="AQ2618">
            <v>0</v>
          </cell>
          <cell r="AV2618">
            <v>3860000</v>
          </cell>
        </row>
        <row r="2619">
          <cell r="E2619" t="str">
            <v>Z26000115</v>
          </cell>
          <cell r="AP2619">
            <v>2000000</v>
          </cell>
          <cell r="AQ2619">
            <v>0</v>
          </cell>
          <cell r="AV2619">
            <v>0</v>
          </cell>
        </row>
        <row r="2620">
          <cell r="E2620" t="str">
            <v>Z26000569</v>
          </cell>
          <cell r="AP2620">
            <v>0</v>
          </cell>
          <cell r="AQ2620">
            <v>0</v>
          </cell>
          <cell r="AV2620">
            <v>11664000</v>
          </cell>
        </row>
        <row r="2621">
          <cell r="E2621" t="str">
            <v>Z26000579</v>
          </cell>
          <cell r="AP2621">
            <v>0</v>
          </cell>
          <cell r="AQ2621">
            <v>0</v>
          </cell>
          <cell r="AV2621">
            <v>4530000</v>
          </cell>
        </row>
        <row r="2622">
          <cell r="E2622" t="str">
            <v>Z26000585</v>
          </cell>
          <cell r="AP2622">
            <v>0</v>
          </cell>
          <cell r="AQ2622">
            <v>0</v>
          </cell>
          <cell r="AV2622">
            <v>840000</v>
          </cell>
        </row>
        <row r="2623">
          <cell r="E2623" t="str">
            <v>Z26000640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Z26000650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D25019320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B25016987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B25016996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B25016997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B26000162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D26000376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D26000585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D26000586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D26000864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D26000929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D26001042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B26001102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D26001825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D26001826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B26001830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B26002061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B26002811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B26002815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B26002599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Z25003207</v>
          </cell>
          <cell r="AP2644">
            <v>0</v>
          </cell>
          <cell r="AQ2644">
            <v>0</v>
          </cell>
          <cell r="AV2644">
            <v>10000000</v>
          </cell>
        </row>
        <row r="2645">
          <cell r="E2645" t="str">
            <v>Z26000041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Z26000292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T26000125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Z26000633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Z26000636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Z26000637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B26001144</v>
          </cell>
          <cell r="AP2651">
            <v>0</v>
          </cell>
          <cell r="AQ2651">
            <v>0</v>
          </cell>
          <cell r="AV2651">
            <v>0</v>
          </cell>
        </row>
        <row r="2652">
          <cell r="E2652" t="str">
            <v>D26001810</v>
          </cell>
          <cell r="AP2652">
            <v>0</v>
          </cell>
          <cell r="AQ2652">
            <v>0</v>
          </cell>
          <cell r="AV2652">
            <v>61125000</v>
          </cell>
        </row>
        <row r="2653">
          <cell r="E2653" t="str">
            <v>B26002675</v>
          </cell>
          <cell r="AP2653">
            <v>0</v>
          </cell>
          <cell r="AQ2653">
            <v>0</v>
          </cell>
          <cell r="AV2653">
            <v>68500000</v>
          </cell>
        </row>
        <row r="2654">
          <cell r="E2654" t="str">
            <v>D26003102</v>
          </cell>
          <cell r="AP2654">
            <v>0</v>
          </cell>
          <cell r="AQ2654">
            <v>0</v>
          </cell>
          <cell r="AV2654">
            <v>97240000</v>
          </cell>
        </row>
        <row r="2655">
          <cell r="E2655" t="str">
            <v>D26003113</v>
          </cell>
          <cell r="AP2655">
            <v>0</v>
          </cell>
          <cell r="AQ2655">
            <v>0</v>
          </cell>
          <cell r="AV2655">
            <v>4875000</v>
          </cell>
        </row>
        <row r="2656">
          <cell r="E2656" t="str">
            <v>D26003231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B26003155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D26003354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D26003494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D26003502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T25001898</v>
          </cell>
          <cell r="AP2661">
            <v>0</v>
          </cell>
          <cell r="AQ2661">
            <v>0</v>
          </cell>
          <cell r="AV2661">
            <v>5400000</v>
          </cell>
        </row>
        <row r="2662">
          <cell r="E2662" t="str">
            <v>B26002445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T26000182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B26002527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B26000464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B26001015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B26001016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D26002143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D26002276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D26000017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B26001154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B26001167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B26001222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B26001223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B26001686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D26002213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B26002946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D26003330</v>
          </cell>
          <cell r="AP2678">
            <v>0</v>
          </cell>
          <cell r="AQ2678">
            <v>0</v>
          </cell>
          <cell r="AV2678">
            <v>100000000</v>
          </cell>
        </row>
        <row r="2679">
          <cell r="E2679" t="str">
            <v>D26003330</v>
          </cell>
          <cell r="AP2679">
            <v>0</v>
          </cell>
          <cell r="AQ2679">
            <v>0</v>
          </cell>
          <cell r="AV2679">
            <v>100000000</v>
          </cell>
        </row>
        <row r="2680">
          <cell r="E2680" t="str">
            <v>B26000048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D26000472</v>
          </cell>
          <cell r="AP2681">
            <v>0</v>
          </cell>
          <cell r="AQ2681">
            <v>0</v>
          </cell>
          <cell r="AV2681">
            <v>100625000</v>
          </cell>
        </row>
        <row r="2682">
          <cell r="E2682" t="str">
            <v>D26000473</v>
          </cell>
          <cell r="AP2682">
            <v>0</v>
          </cell>
          <cell r="AQ2682">
            <v>0</v>
          </cell>
          <cell r="AV2682">
            <v>48580000</v>
          </cell>
        </row>
        <row r="2683">
          <cell r="E2683" t="str">
            <v>T26000028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B26000832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D26002037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D26002038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D26003346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B26001984</v>
          </cell>
          <cell r="AP2688">
            <v>0</v>
          </cell>
          <cell r="AQ2688">
            <v>0</v>
          </cell>
          <cell r="AV2688">
            <v>75764000</v>
          </cell>
        </row>
        <row r="2689">
          <cell r="E2689" t="str">
            <v>B26002004</v>
          </cell>
          <cell r="AP2689">
            <v>0</v>
          </cell>
          <cell r="AQ2689">
            <v>0</v>
          </cell>
          <cell r="AV2689">
            <v>11390000</v>
          </cell>
        </row>
        <row r="2690">
          <cell r="E2690" t="str">
            <v>B26002128</v>
          </cell>
          <cell r="AP2690">
            <v>0</v>
          </cell>
          <cell r="AQ2690">
            <v>0</v>
          </cell>
          <cell r="AV2690">
            <v>12846000</v>
          </cell>
        </row>
        <row r="2691">
          <cell r="E2691" t="str">
            <v>D26003430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B25015599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B26000354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D26000448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B26000835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D26000920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B26000897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D26000963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B26001369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D26001450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D26001453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D26001482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D26001492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D26002109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D26002495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D26003144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B26002600</v>
          </cell>
          <cell r="AP2707">
            <v>0</v>
          </cell>
          <cell r="AQ2707">
            <v>0</v>
          </cell>
          <cell r="AV2707">
            <v>20000000</v>
          </cell>
        </row>
        <row r="2708">
          <cell r="E2708" t="str">
            <v>B26001296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D26001432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B26001645</v>
          </cell>
          <cell r="AP2710">
            <v>0</v>
          </cell>
          <cell r="AQ2710">
            <v>0</v>
          </cell>
          <cell r="AV2710">
            <v>46400000</v>
          </cell>
        </row>
        <row r="2711">
          <cell r="E2711" t="str">
            <v>D26001058</v>
          </cell>
          <cell r="AP2711">
            <v>0</v>
          </cell>
          <cell r="AQ2711">
            <v>0</v>
          </cell>
          <cell r="AV2711">
            <v>16850000</v>
          </cell>
        </row>
        <row r="2712">
          <cell r="E2712" t="str">
            <v>D26001059</v>
          </cell>
          <cell r="AP2712">
            <v>0</v>
          </cell>
          <cell r="AQ2712">
            <v>0</v>
          </cell>
          <cell r="AV2712">
            <v>6000000</v>
          </cell>
        </row>
        <row r="2713">
          <cell r="E2713" t="str">
            <v>B26003236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D26000628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D26000641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T26000077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B26001913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B26001914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D26003263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D26003264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D26003345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B26001807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B26002193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B26002580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D26002835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Z26000325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Z26000373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Z26000546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Z26000596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D26001951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D26001995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B26002110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B26002111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D26002237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D26002291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D26002412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D26002413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D26002414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D26002460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D26002525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B26002417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D26002739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D26002740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D26002759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D26002760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D26002761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D26002762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D26002763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D26002837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D26002877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D26002878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D26002884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D26002894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D26003211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D26003240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D26003241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B26003138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D26003339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D26003401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D26003402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T25001634K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T25001713K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T26000058K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T26000245K</v>
          </cell>
          <cell r="AP2764">
            <v>0</v>
          </cell>
          <cell r="AQ2764">
            <v>0</v>
          </cell>
          <cell r="AV2764">
            <v>1300000</v>
          </cell>
        </row>
        <row r="2765">
          <cell r="E2765" t="str">
            <v>B26002949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L26000007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B25016369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B26002714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T25001240K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D26003275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D26003427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T26000031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T26000049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T26000056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B26001091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B26001121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B26001122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B26001127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D26001370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D26001592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B26001587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T26000126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B26001938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D26002043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D26002069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D26002083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B26002591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B26002592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B26002792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B26002793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D26003417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D26000800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B26001342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B26001343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B26001522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B26001852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B26001853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D26002332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D26002745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D26003047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B26002903</v>
          </cell>
          <cell r="AP2801">
            <v>0</v>
          </cell>
          <cell r="AQ2801">
            <v>0</v>
          </cell>
          <cell r="AV2801">
            <v>9750000</v>
          </cell>
        </row>
        <row r="2802">
          <cell r="E2802" t="str">
            <v>B26003013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B26002934</v>
          </cell>
          <cell r="AP2803">
            <v>0</v>
          </cell>
          <cell r="AQ2803">
            <v>0</v>
          </cell>
          <cell r="AV2803">
            <v>3720000</v>
          </cell>
        </row>
        <row r="2804">
          <cell r="E2804" t="str">
            <v>B25016045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D25018821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B25016696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B25017117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B25017118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B26000110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B26000111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D26000050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D26000159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D26000160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T26000010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B26000174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D26000481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B26000547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B26000548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B26000549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B26000820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D26000934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D26001000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D26001001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D26001252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D26001253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D26001397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D26001406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B26001746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B26001747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B26001748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B26001749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B26001827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B26001828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B26002469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D26002604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D26002605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D26002606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D26002667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D26002668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B26002869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B26002905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B26002906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B26002989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T26000081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D26001649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T26000107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B26001915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D26002738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D26002335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D26002336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D26000966</v>
          </cell>
          <cell r="AP2851">
            <v>0</v>
          </cell>
          <cell r="AQ2851">
            <v>0</v>
          </cell>
          <cell r="AV2851">
            <v>60400000</v>
          </cell>
        </row>
        <row r="2852">
          <cell r="E2852" t="str">
            <v>B26001804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D26002103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D26002810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B26001208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D26002886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B25016542</v>
          </cell>
          <cell r="AP2857">
            <v>0</v>
          </cell>
          <cell r="AQ2857">
            <v>0</v>
          </cell>
          <cell r="AV2857">
            <v>1700000</v>
          </cell>
        </row>
        <row r="2858">
          <cell r="E2858" t="str">
            <v>B26001414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D26000532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B26002459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Z26000565</v>
          </cell>
          <cell r="AP2861">
            <v>0</v>
          </cell>
          <cell r="AQ2861">
            <v>0</v>
          </cell>
          <cell r="AV2861">
            <v>660000</v>
          </cell>
        </row>
        <row r="2862">
          <cell r="E2862" t="str">
            <v>Z26000568</v>
          </cell>
          <cell r="AP2862">
            <v>0</v>
          </cell>
          <cell r="AQ2862">
            <v>0</v>
          </cell>
          <cell r="AV2862">
            <v>129600000</v>
          </cell>
        </row>
        <row r="2863">
          <cell r="E2863" t="str">
            <v>Z26000570</v>
          </cell>
          <cell r="AP2863">
            <v>0</v>
          </cell>
          <cell r="AQ2863">
            <v>0</v>
          </cell>
          <cell r="AV2863">
            <v>14600000</v>
          </cell>
        </row>
        <row r="2864">
          <cell r="E2864" t="str">
            <v>D26003186</v>
          </cell>
          <cell r="AP2864">
            <v>0</v>
          </cell>
          <cell r="AQ2864">
            <v>0</v>
          </cell>
          <cell r="AV2864">
            <v>20212500</v>
          </cell>
        </row>
        <row r="2865">
          <cell r="E2865" t="str">
            <v>Z26000586</v>
          </cell>
          <cell r="AP2865">
            <v>0</v>
          </cell>
          <cell r="AQ2865">
            <v>0</v>
          </cell>
          <cell r="AV2865">
            <v>1890000</v>
          </cell>
        </row>
        <row r="2866">
          <cell r="E2866" t="str">
            <v>Z26000592</v>
          </cell>
          <cell r="AP2866">
            <v>0</v>
          </cell>
          <cell r="AQ2866">
            <v>0</v>
          </cell>
          <cell r="AV2866">
            <v>3400000</v>
          </cell>
        </row>
        <row r="2867">
          <cell r="E2867" t="str">
            <v>Z26000594</v>
          </cell>
          <cell r="AP2867">
            <v>0</v>
          </cell>
          <cell r="AQ2867">
            <v>0</v>
          </cell>
          <cell r="AV2867">
            <v>13500000</v>
          </cell>
        </row>
        <row r="2868">
          <cell r="E2868" t="str">
            <v>Z26000595</v>
          </cell>
          <cell r="AP2868">
            <v>0</v>
          </cell>
          <cell r="AQ2868">
            <v>0</v>
          </cell>
          <cell r="AV2868">
            <v>4050000</v>
          </cell>
        </row>
        <row r="2869">
          <cell r="E2869" t="str">
            <v>Z26000598</v>
          </cell>
          <cell r="AP2869">
            <v>0</v>
          </cell>
          <cell r="AQ2869">
            <v>0</v>
          </cell>
          <cell r="AV2869">
            <v>7500000</v>
          </cell>
        </row>
        <row r="2870">
          <cell r="E2870" t="str">
            <v>B26003101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Z26000630</v>
          </cell>
          <cell r="AP2871">
            <v>0</v>
          </cell>
          <cell r="AQ2871">
            <v>0</v>
          </cell>
          <cell r="AV2871">
            <v>14535000</v>
          </cell>
        </row>
        <row r="2872">
          <cell r="E2872" t="str">
            <v>Z26000631</v>
          </cell>
          <cell r="AP2872">
            <v>0</v>
          </cell>
          <cell r="AQ2872">
            <v>0</v>
          </cell>
          <cell r="AV2872">
            <v>7900000</v>
          </cell>
        </row>
        <row r="2873">
          <cell r="E2873" t="str">
            <v>Z26000634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Z26000639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Z26000641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Z26000642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Z26000647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Z26000655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Z26000656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Z26000659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D25019317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D25019601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D26000157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D26000158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B26000947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B26000948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B26000966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B26001118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B26001119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B26001249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B26001250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B26001475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B26001478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B26001642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B26001643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D26001961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D26001962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D26002535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D25018740</v>
          </cell>
          <cell r="AP2899">
            <v>0</v>
          </cell>
          <cell r="AQ2899">
            <v>0</v>
          </cell>
          <cell r="AV2899">
            <v>25000000</v>
          </cell>
        </row>
        <row r="2900">
          <cell r="E2900" t="str">
            <v>B26000642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D26000695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B26000765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D26001107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D26001255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D26001507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B26001502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D26002281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D26002367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D26002420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D26002490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D26002491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B26002658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B26002700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B26002993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T26000247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D26003433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B26001187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D26001270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D26001431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D26002165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B26002176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D26003320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B26000978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T26000067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T25001828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T25001833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B26000222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B26001178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B26001179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D26001703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B25017090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B26000159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D26000121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T26000008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D26000439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D26000742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T26000037K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T26000087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D26001362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T26000111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B26002145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D26002235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T26000154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B26002224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B26002286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B26002287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D26002905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T26000212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B26003145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D26003351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T26000272k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B25016191</v>
          </cell>
          <cell r="AP2952">
            <v>0</v>
          </cell>
          <cell r="AQ2952">
            <v>0</v>
          </cell>
          <cell r="AV2952">
            <v>281500000</v>
          </cell>
        </row>
        <row r="2953">
          <cell r="E2953" t="str">
            <v>B25016709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D26000546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D26000623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D26001522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D26002825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R26000001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B25014771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B25015904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D25019221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T26000072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T26000075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B26002165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T26000159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B26003054</v>
          </cell>
          <cell r="AP2966">
            <v>0</v>
          </cell>
          <cell r="AQ2966">
            <v>0</v>
          </cell>
          <cell r="AV2966">
            <v>1620000</v>
          </cell>
        </row>
        <row r="2967">
          <cell r="E2967" t="str">
            <v>B26003069</v>
          </cell>
          <cell r="AP2967">
            <v>0</v>
          </cell>
          <cell r="AQ2967">
            <v>0</v>
          </cell>
          <cell r="AV2967">
            <v>800000</v>
          </cell>
        </row>
        <row r="2968">
          <cell r="E2968" t="str">
            <v>B26002343</v>
          </cell>
          <cell r="AP2968">
            <v>0</v>
          </cell>
          <cell r="AQ2968">
            <v>0</v>
          </cell>
          <cell r="AV2968">
            <v>29000000</v>
          </cell>
        </row>
        <row r="2969">
          <cell r="E2969" t="str">
            <v>D26003491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B25014405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D25018762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D25018851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B25016978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B25017020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D25019626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B26000278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B26000628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D26001597</v>
          </cell>
          <cell r="AP2978">
            <v>0</v>
          </cell>
          <cell r="AQ2978">
            <v>0</v>
          </cell>
          <cell r="AV2978">
            <v>1720000</v>
          </cell>
        </row>
        <row r="2979">
          <cell r="E2979" t="str">
            <v>D26002359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B26003092</v>
          </cell>
          <cell r="AP2980">
            <v>0</v>
          </cell>
          <cell r="AQ2980">
            <v>0</v>
          </cell>
          <cell r="AV2980">
            <v>5400000</v>
          </cell>
        </row>
        <row r="2981">
          <cell r="E2981" t="str">
            <v>B26003093</v>
          </cell>
          <cell r="AP2981">
            <v>0</v>
          </cell>
          <cell r="AQ2981">
            <v>0</v>
          </cell>
          <cell r="AV2981">
            <v>10260000</v>
          </cell>
        </row>
        <row r="2982">
          <cell r="E2982" t="str">
            <v>B26003094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D26003325</v>
          </cell>
          <cell r="AP2983">
            <v>0</v>
          </cell>
          <cell r="AQ2983">
            <v>0</v>
          </cell>
          <cell r="AV2983">
            <v>47500000</v>
          </cell>
        </row>
        <row r="2984">
          <cell r="E2984" t="str">
            <v>B26003158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T25001873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D25019628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D25019721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B26000452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D26001889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D26003500</v>
          </cell>
          <cell r="AP2990">
            <v>0</v>
          </cell>
          <cell r="AQ2990">
            <v>0</v>
          </cell>
          <cell r="AV2990">
            <v>14420000</v>
          </cell>
        </row>
        <row r="2991">
          <cell r="E2991" t="str">
            <v>T25001857</v>
          </cell>
          <cell r="AP2991">
            <v>0</v>
          </cell>
          <cell r="AQ2991">
            <v>0</v>
          </cell>
          <cell r="AV2991">
            <v>5000000</v>
          </cell>
        </row>
        <row r="2992">
          <cell r="E2992" t="str">
            <v>D26002005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B26002546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D26000881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D26000954</v>
          </cell>
          <cell r="AP2995">
            <v>0</v>
          </cell>
          <cell r="AQ2995">
            <v>0</v>
          </cell>
          <cell r="AV2995">
            <v>350000</v>
          </cell>
        </row>
        <row r="2996">
          <cell r="E2996" t="str">
            <v>D26000956</v>
          </cell>
          <cell r="AP2996">
            <v>0</v>
          </cell>
          <cell r="AQ2996">
            <v>0</v>
          </cell>
          <cell r="AV2996">
            <v>1912800</v>
          </cell>
        </row>
        <row r="2997">
          <cell r="E2997" t="str">
            <v>B26001363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B26002106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B26002108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B26002109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B26003090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B26003091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L26000009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D26001734</v>
          </cell>
          <cell r="AP3004">
            <v>0</v>
          </cell>
          <cell r="AQ3004">
            <v>0</v>
          </cell>
          <cell r="AV3004">
            <v>1880000</v>
          </cell>
        </row>
        <row r="3005">
          <cell r="E3005" t="str">
            <v>D26001735</v>
          </cell>
          <cell r="AP3005">
            <v>0</v>
          </cell>
          <cell r="AQ3005">
            <v>0</v>
          </cell>
          <cell r="AV3005">
            <v>2700000</v>
          </cell>
        </row>
        <row r="3006">
          <cell r="E3006" t="str">
            <v>D26003362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D26001525</v>
          </cell>
          <cell r="AP3007">
            <v>0</v>
          </cell>
          <cell r="AQ3007">
            <v>0</v>
          </cell>
          <cell r="AV3007">
            <v>18120000</v>
          </cell>
        </row>
        <row r="3008">
          <cell r="E3008" t="str">
            <v>D26001590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B26001732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B26002038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D26002717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D26002718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D26003207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B26001832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D26001937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B26001877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B25016334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B26000414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B26001424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B26002026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B26002098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B26002493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B26002718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B26003218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B26003045</v>
          </cell>
          <cell r="AP3025">
            <v>0</v>
          </cell>
          <cell r="AQ3025">
            <v>0</v>
          </cell>
          <cell r="AV3025">
            <v>27000000</v>
          </cell>
        </row>
        <row r="3026">
          <cell r="E3026" t="str">
            <v>D26000410</v>
          </cell>
          <cell r="AP3026">
            <v>0</v>
          </cell>
          <cell r="AQ3026">
            <v>0</v>
          </cell>
          <cell r="AV3026">
            <v>10000000</v>
          </cell>
        </row>
        <row r="3027">
          <cell r="E3027" t="str">
            <v>B26001140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B26001505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B26002099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B26002119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B26002501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D26003260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D25019693</v>
          </cell>
          <cell r="AP3033">
            <v>0</v>
          </cell>
          <cell r="AQ3033">
            <v>0</v>
          </cell>
          <cell r="AV3033">
            <v>15966000</v>
          </cell>
        </row>
        <row r="3034">
          <cell r="E3034" t="str">
            <v>D26000787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B26001474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B26002102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B26003151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B26001085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B26001133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B26002393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D26002554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D26002578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D26003437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B26002865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B26002889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D26001335</v>
          </cell>
          <cell r="AP3046">
            <v>0</v>
          </cell>
          <cell r="AQ3046">
            <v>0</v>
          </cell>
          <cell r="AV3046">
            <v>600000</v>
          </cell>
        </row>
        <row r="3047">
          <cell r="E3047" t="str">
            <v>D26002318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B26002644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B26002824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B26002825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B26003127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B25016635</v>
          </cell>
          <cell r="AP3052">
            <v>0</v>
          </cell>
          <cell r="AQ3052">
            <v>0</v>
          </cell>
          <cell r="AV3052">
            <v>650000</v>
          </cell>
        </row>
        <row r="3053">
          <cell r="E3053" t="str">
            <v>T25001862</v>
          </cell>
          <cell r="AP3053">
            <v>0</v>
          </cell>
          <cell r="AQ3053">
            <v>0</v>
          </cell>
          <cell r="AV3053">
            <v>2080000</v>
          </cell>
        </row>
        <row r="3054">
          <cell r="E3054" t="str">
            <v>T26000045k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D26001958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D26001959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D26003529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D26003514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D21000994</v>
          </cell>
          <cell r="AP3059">
            <v>0</v>
          </cell>
          <cell r="AQ3059">
            <v>0</v>
          </cell>
          <cell r="AV3059">
            <v>500000</v>
          </cell>
        </row>
        <row r="3060">
          <cell r="E3060" t="str">
            <v>B25015409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D25018472</v>
          </cell>
          <cell r="AP3061">
            <v>0</v>
          </cell>
          <cell r="AQ3061">
            <v>0</v>
          </cell>
          <cell r="AV3061">
            <v>29200000</v>
          </cell>
        </row>
        <row r="3062">
          <cell r="E3062" t="str">
            <v>D25018888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B25016767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B25016768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B25016769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T25001878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D25019426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D25019525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B26000135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D26000138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D26000258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D26000379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D26000443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T26000091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D26001793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D26001799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B26002045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B26002046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D26002265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D26002568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B26002666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B26002686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T26000193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B26002708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D26003021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B26002878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B26003146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D26003493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D26001260</v>
          </cell>
          <cell r="AP3089">
            <v>0</v>
          </cell>
          <cell r="AQ3089">
            <v>0</v>
          </cell>
          <cell r="AV3089">
            <v>28000000</v>
          </cell>
        </row>
        <row r="3090">
          <cell r="E3090" t="str">
            <v>B26001673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D26001812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B26002382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D26000907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B26002609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D26003422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B26000855</v>
          </cell>
          <cell r="AP3096">
            <v>0</v>
          </cell>
          <cell r="AQ3096">
            <v>0</v>
          </cell>
          <cell r="AV3096">
            <v>11675000</v>
          </cell>
        </row>
        <row r="3097">
          <cell r="E3097" t="str">
            <v>D26001047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B26001565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D26002654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D26002655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D25017496</v>
          </cell>
          <cell r="AP3101">
            <v>0</v>
          </cell>
          <cell r="AQ3101">
            <v>0</v>
          </cell>
          <cell r="AV3101">
            <v>1840000</v>
          </cell>
        </row>
        <row r="3102">
          <cell r="E3102" t="str">
            <v>D25017496</v>
          </cell>
          <cell r="AP3102">
            <v>0</v>
          </cell>
          <cell r="AQ3102">
            <v>0</v>
          </cell>
          <cell r="AV3102">
            <v>2799000</v>
          </cell>
        </row>
        <row r="3103">
          <cell r="E3103" t="str">
            <v>D25017925</v>
          </cell>
          <cell r="AP3103">
            <v>0</v>
          </cell>
          <cell r="AQ3103">
            <v>0</v>
          </cell>
          <cell r="AV3103">
            <v>4400000</v>
          </cell>
        </row>
        <row r="3104">
          <cell r="E3104" t="str">
            <v>B25016043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B25016744</v>
          </cell>
          <cell r="AP3105">
            <v>0</v>
          </cell>
          <cell r="AQ3105">
            <v>0</v>
          </cell>
          <cell r="AV3105">
            <v>8160000</v>
          </cell>
        </row>
        <row r="3106">
          <cell r="E3106" t="str">
            <v>T25001872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D26000340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B26000589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B26000664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D26000767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D26001109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D26001346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B26001518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B26001871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B26002436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B26002586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B26002587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D26003064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B26002902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B26002947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B26002995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T26000269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Z26000075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Z26000099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Z26000185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Z26000190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Z26000196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Z26000223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Z26000224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Z26000248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Z26000251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Z26000253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Z26000254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Z26000289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Z26000294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Z26000301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Z26000327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Z26000328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Z26000344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Z26000354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Z26000367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Z26000376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Z26000394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Z26000398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Z26000399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Z26000428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Z26000429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Z26000432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Z26000461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Z26000462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Z26000474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Z26000486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Z26000502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Z26000503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Z26000506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Z26000510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Z26000515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Z26000528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Z26000532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Z26000533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Z26000534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Z26000541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Z26000553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Z26000554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Z26000564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Z26000566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Z26000572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Z26000573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Z26000580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Z26000582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Z26000603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Z26000608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Z26000610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Z26000611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Z26000622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Z26000625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Z26000626</v>
          </cell>
          <cell r="AP3177">
            <v>0</v>
          </cell>
          <cell r="AQ3177">
            <v>0</v>
          </cell>
          <cell r="AV3177">
            <v>8550000</v>
          </cell>
        </row>
        <row r="3178">
          <cell r="E3178" t="str">
            <v>Z26000627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Z26000643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Z26000644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Z26000653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D26001531</v>
          </cell>
          <cell r="AP3182">
            <v>0</v>
          </cell>
          <cell r="AQ3182">
            <v>0</v>
          </cell>
          <cell r="AV3182">
            <v>8155000</v>
          </cell>
        </row>
        <row r="3183">
          <cell r="E3183" t="str">
            <v>B26001523</v>
          </cell>
          <cell r="AP3183">
            <v>0</v>
          </cell>
          <cell r="AQ3183">
            <v>0</v>
          </cell>
          <cell r="AV3183">
            <v>1430000</v>
          </cell>
        </row>
        <row r="3184">
          <cell r="E3184" t="str">
            <v>D26002891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D26003093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B26003187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B26000797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B26002984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B26001396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D26002498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D26003168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D26002444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D26001903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D26002727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D26000368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B26001617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D26002275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D26002319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B26001933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B26001934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D26002758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D26002764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B26002679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B26000236</v>
          </cell>
          <cell r="AP3204">
            <v>0</v>
          </cell>
          <cell r="AQ3204">
            <v>0</v>
          </cell>
          <cell r="AV3204">
            <v>4660000</v>
          </cell>
        </row>
        <row r="3205">
          <cell r="E3205" t="str">
            <v>D26001423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D26001424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B26001393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D26001847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D26001871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D26001906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D26001915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B26002073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B26002074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B26002076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B26002077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>
            <v>260016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B26002415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D26002594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D26002595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T26000179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B26002754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B26002755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B26002756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B26002757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B26002883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B26003075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B26003076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T25001810</v>
          </cell>
          <cell r="AP3228">
            <v>0</v>
          </cell>
          <cell r="AQ3228">
            <v>0</v>
          </cell>
          <cell r="AV3228">
            <v>2100000</v>
          </cell>
        </row>
        <row r="3229">
          <cell r="E3229" t="str">
            <v>T25001813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T26000127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T26000128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D26003082</v>
          </cell>
          <cell r="AP3232">
            <v>0</v>
          </cell>
          <cell r="AQ3232">
            <v>0</v>
          </cell>
          <cell r="AV3232">
            <v>1462500</v>
          </cell>
        </row>
        <row r="3233">
          <cell r="E3233" t="str">
            <v>Z25003090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Z25003155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Z25003160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Z25003231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Z26000132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Z26000165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Z26000295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D26002520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B26002454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D26002624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D26002951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D26002952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T26000204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B26001151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B26001152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B26003179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T26000039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B26000251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B26003043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B26003088</v>
          </cell>
          <cell r="AP3252">
            <v>0</v>
          </cell>
          <cell r="AQ3252">
            <v>0</v>
          </cell>
          <cell r="AV3252">
            <v>17000000</v>
          </cell>
        </row>
        <row r="3253">
          <cell r="E3253" t="str">
            <v>D25017355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D25017877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D26001992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B26002034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B26002035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B26002122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D26002338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D26002352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D26002843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D26002844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B26002742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B26002768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B26002779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B26002829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T26000239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B26003015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B26003041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D26003244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D26003245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D26003289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B26003104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B26003105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B26003225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B26002018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B26002161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B26002162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B26002169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D26002803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D26002804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D26002805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Z26000252</v>
          </cell>
          <cell r="AP3283">
            <v>0</v>
          </cell>
          <cell r="AQ3283">
            <v>0</v>
          </cell>
          <cell r="AV3283">
            <v>17800000</v>
          </cell>
        </row>
        <row r="3284">
          <cell r="E3284" t="str">
            <v>D25017479</v>
          </cell>
          <cell r="AP3284">
            <v>0</v>
          </cell>
          <cell r="AQ3284">
            <v>0</v>
          </cell>
          <cell r="AV3284">
            <v>18400000</v>
          </cell>
        </row>
        <row r="3285">
          <cell r="E3285" t="str">
            <v>D25018022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B25015919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B25016719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T25001870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B25016949</v>
          </cell>
          <cell r="AP3289">
            <v>0</v>
          </cell>
          <cell r="AQ3289">
            <v>0</v>
          </cell>
          <cell r="AV3289">
            <v>10125000</v>
          </cell>
        </row>
        <row r="3290">
          <cell r="E3290" t="str">
            <v>D25019456</v>
          </cell>
          <cell r="AP3290">
            <v>0</v>
          </cell>
          <cell r="AQ3290">
            <v>0</v>
          </cell>
          <cell r="AV3290">
            <v>275000</v>
          </cell>
        </row>
        <row r="3291">
          <cell r="E3291" t="str">
            <v>B25017120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D25019687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D26000526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D26000793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D26000794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B26000762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B26000763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B26000789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B26001310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B26001316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D26001513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B26001625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B26001648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D26001764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D26001893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D26002056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D26002258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B26002199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B26002241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D26002635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B26002574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B26002575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B26002922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B26002923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B26002940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Z26000584</v>
          </cell>
          <cell r="AP3316">
            <v>4160000</v>
          </cell>
          <cell r="AQ3316">
            <v>0</v>
          </cell>
          <cell r="AV3316">
            <v>0</v>
          </cell>
        </row>
        <row r="3317">
          <cell r="E3317" t="str">
            <v>B26003156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B26003157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D26003376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T26000085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B26002044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D25018352</v>
          </cell>
          <cell r="AP3322">
            <v>0</v>
          </cell>
          <cell r="AQ3322">
            <v>0</v>
          </cell>
          <cell r="AV3322">
            <v>8000000</v>
          </cell>
        </row>
        <row r="3323">
          <cell r="E3323" t="str">
            <v>D26000433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B26001108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D26001725</v>
          </cell>
          <cell r="AP3325">
            <v>0</v>
          </cell>
          <cell r="AQ3325">
            <v>0</v>
          </cell>
          <cell r="AV3325">
            <v>73660000</v>
          </cell>
        </row>
        <row r="3326">
          <cell r="E3326" t="str">
            <v>D26001726</v>
          </cell>
          <cell r="AP3326">
            <v>0</v>
          </cell>
          <cell r="AQ3326">
            <v>0</v>
          </cell>
          <cell r="AV3326">
            <v>15580000</v>
          </cell>
        </row>
        <row r="3327">
          <cell r="E3327" t="str">
            <v>D26001728</v>
          </cell>
          <cell r="AP3327">
            <v>0</v>
          </cell>
          <cell r="AQ3327">
            <v>0</v>
          </cell>
          <cell r="AV3327">
            <v>6125000</v>
          </cell>
        </row>
        <row r="3328">
          <cell r="E3328" t="str">
            <v>B26001713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D26001891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B26001884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D26002178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B26002273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B26002466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B26002508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D26002862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D26003009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D26003022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D26003038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T26000246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B26003044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B26003046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B26003117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B26003201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B26003202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D26000001</v>
          </cell>
          <cell r="AP3345">
            <v>0</v>
          </cell>
          <cell r="AQ3345">
            <v>0</v>
          </cell>
          <cell r="AV3345">
            <v>3080000</v>
          </cell>
        </row>
        <row r="3346">
          <cell r="E3346" t="str">
            <v>B26000904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B26002696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B26002638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T26000188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D26003057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B26002615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B26003189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D26000841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B26002220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D25017225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B25015513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B25015514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B25015515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B25015835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D25018981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D25018982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B25016652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D25019412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B26002130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B26002131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D26002290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B26002175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D26002298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D26002306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B26002265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B26002266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D26002471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T26000166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D26002518</v>
          </cell>
          <cell r="AP3374">
            <v>0</v>
          </cell>
          <cell r="AQ3374">
            <v>0</v>
          </cell>
          <cell r="AV3374">
            <v>0</v>
          </cell>
        </row>
        <row r="3375">
          <cell r="E3375" t="str">
            <v>T26000177K</v>
          </cell>
          <cell r="AP3375">
            <v>0</v>
          </cell>
          <cell r="AQ3375">
            <v>0</v>
          </cell>
          <cell r="AV3375">
            <v>0</v>
          </cell>
        </row>
        <row r="3376">
          <cell r="E3376" t="str">
            <v>B26002557</v>
          </cell>
          <cell r="AP3376">
            <v>0</v>
          </cell>
          <cell r="AQ3376">
            <v>0</v>
          </cell>
          <cell r="AV3376">
            <v>0</v>
          </cell>
        </row>
        <row r="3377">
          <cell r="E3377" t="str">
            <v>D26002755</v>
          </cell>
          <cell r="AP3377">
            <v>0</v>
          </cell>
          <cell r="AQ3377">
            <v>0</v>
          </cell>
          <cell r="AV3377">
            <v>0</v>
          </cell>
        </row>
        <row r="3378">
          <cell r="E3378" t="str">
            <v>D26002800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D26002806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D26002814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D26002815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B26002802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B26002803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D26003008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D26003129</v>
          </cell>
          <cell r="AP3385">
            <v>0</v>
          </cell>
          <cell r="AQ3385">
            <v>0</v>
          </cell>
          <cell r="AV3385">
            <v>0</v>
          </cell>
        </row>
        <row r="3386">
          <cell r="E3386" t="str">
            <v>B26002942</v>
          </cell>
          <cell r="AP3386">
            <v>0</v>
          </cell>
          <cell r="AQ3386">
            <v>0</v>
          </cell>
          <cell r="AV3386">
            <v>0</v>
          </cell>
        </row>
        <row r="3387">
          <cell r="E3387" t="str">
            <v>B26002943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B26002977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D26003228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D26003229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T26000281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T26000051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D26001215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B26002036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B26002037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B26002408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D26003465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T25001721k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T25001773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Z25003308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Z25003317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Z25003335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Z25003373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Z25003389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Z25003390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Z25003391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Z26000120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Z26000271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Z26000310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Z26000319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Z26000326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Z26000371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Z26000444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Z26000445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Z26000537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Z26000538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Z26000539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Z26000551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Z26000552</v>
          </cell>
          <cell r="AP3419">
            <v>0</v>
          </cell>
          <cell r="AQ3419">
            <v>0</v>
          </cell>
          <cell r="AV3419">
            <v>500000000</v>
          </cell>
        </row>
        <row r="3420">
          <cell r="E3420" t="str">
            <v>Z26000552</v>
          </cell>
          <cell r="AP3420">
            <v>0</v>
          </cell>
          <cell r="AQ3420">
            <v>0</v>
          </cell>
          <cell r="AV3420">
            <v>40000000</v>
          </cell>
        </row>
        <row r="3421">
          <cell r="E3421" t="str">
            <v>Z26000563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Z26000574</v>
          </cell>
          <cell r="AP3422">
            <v>0</v>
          </cell>
          <cell r="AQ3422">
            <v>0</v>
          </cell>
          <cell r="AV3422">
            <v>30000000</v>
          </cell>
        </row>
        <row r="3423">
          <cell r="E3423" t="str">
            <v>Z26000574</v>
          </cell>
          <cell r="AP3423">
            <v>0</v>
          </cell>
          <cell r="AQ3423">
            <v>0</v>
          </cell>
          <cell r="AV3423">
            <v>420000000</v>
          </cell>
        </row>
        <row r="3424">
          <cell r="E3424" t="str">
            <v>Z26000575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Z26000588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Z26000589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Z26000599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Z26000601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Z26000648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Z26000651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Z26000658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Z26000660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Z26000661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B26001441</v>
          </cell>
          <cell r="AP3434">
            <v>0</v>
          </cell>
          <cell r="AQ3434">
            <v>0</v>
          </cell>
          <cell r="AV3434">
            <v>11500000</v>
          </cell>
        </row>
        <row r="3435">
          <cell r="E3435" t="str">
            <v>B26001442</v>
          </cell>
          <cell r="AP3435">
            <v>0</v>
          </cell>
          <cell r="AQ3435">
            <v>0</v>
          </cell>
          <cell r="AV3435">
            <v>20000000</v>
          </cell>
        </row>
        <row r="3436">
          <cell r="E3436" t="str">
            <v>D26001593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D26001729</v>
          </cell>
          <cell r="AP3437">
            <v>0</v>
          </cell>
          <cell r="AQ3437">
            <v>0</v>
          </cell>
          <cell r="AV3437">
            <v>25200000</v>
          </cell>
        </row>
        <row r="3438">
          <cell r="E3438" t="str">
            <v>B26001739</v>
          </cell>
          <cell r="AP3438">
            <v>0</v>
          </cell>
          <cell r="AQ3438">
            <v>0</v>
          </cell>
          <cell r="AV3438">
            <v>50000000</v>
          </cell>
        </row>
        <row r="3439">
          <cell r="E3439" t="str">
            <v>D26002046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D26002068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D26002434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D26002439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D26002785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B26002826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D26003042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D26003074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D25018111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D26002343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D26002344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D26002345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B25016387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B25016784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B26000121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T26000009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B26001639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D26002196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T26000151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C26000180</v>
          </cell>
          <cell r="AP3458">
            <v>0</v>
          </cell>
          <cell r="AQ3458">
            <v>0</v>
          </cell>
          <cell r="AV3458">
            <v>858000</v>
          </cell>
        </row>
        <row r="3459">
          <cell r="E3459" t="str">
            <v>C26000186</v>
          </cell>
          <cell r="AP3459">
            <v>0</v>
          </cell>
          <cell r="AQ3459">
            <v>0</v>
          </cell>
          <cell r="AV3459">
            <v>3537000</v>
          </cell>
        </row>
        <row r="3460">
          <cell r="E3460" t="str">
            <v>C26000185</v>
          </cell>
          <cell r="AP3460">
            <v>0</v>
          </cell>
          <cell r="AQ3460">
            <v>0</v>
          </cell>
          <cell r="AV3460">
            <v>94000</v>
          </cell>
        </row>
        <row r="3461">
          <cell r="E3461" t="str">
            <v>M26000043</v>
          </cell>
          <cell r="AP3461">
            <v>0</v>
          </cell>
          <cell r="AQ3461">
            <v>0</v>
          </cell>
          <cell r="AV3461">
            <v>1568000</v>
          </cell>
        </row>
        <row r="3462">
          <cell r="E3462" t="str">
            <v>C26000179</v>
          </cell>
          <cell r="AP3462">
            <v>0</v>
          </cell>
          <cell r="AQ3462">
            <v>0</v>
          </cell>
          <cell r="AV3462">
            <v>775000</v>
          </cell>
        </row>
        <row r="3463">
          <cell r="E3463" t="str">
            <v>C26000178</v>
          </cell>
          <cell r="AP3463">
            <v>0</v>
          </cell>
          <cell r="AQ3463">
            <v>0</v>
          </cell>
          <cell r="AV3463">
            <v>1895000</v>
          </cell>
        </row>
        <row r="3464">
          <cell r="E3464" t="str">
            <v>D26003476</v>
          </cell>
          <cell r="AP3464">
            <v>0</v>
          </cell>
          <cell r="AQ3464">
            <v>0</v>
          </cell>
          <cell r="AV3464">
            <v>9600000</v>
          </cell>
        </row>
        <row r="3465">
          <cell r="E3465" t="str">
            <v>Z25001658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D25017735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D25017752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D25017752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B25015422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B25015422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B25015422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B25015422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B25015422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B25015422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B25015561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D25018029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D25018029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D25018029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D25018065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D25018103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D25018268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D25018268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D25018268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D25018268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D25018268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B25015876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B25016042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B25016058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B25016058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B25016073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B25016323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B25016323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B25016323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B25016368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B25016611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D25019062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D25019062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D25019062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D25019153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D25019210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D25019264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D25019264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D25019264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D25019268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D25019268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D25019269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D25019356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D25019356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D25019394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D25019394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D25019517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D25019517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D25019595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D25019595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D25019595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D25019596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D25019596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D25019596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D25019596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B25017086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B25017135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D26000080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D26000080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D26000080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D26000080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D26000080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D26000080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D26000081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D26000081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D26000083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D26000083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D26000536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D26000583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D26001285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D26001285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D26001494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D26001494</v>
          </cell>
          <cell r="AP3537">
            <v>0</v>
          </cell>
          <cell r="AQ3537">
            <v>0</v>
          </cell>
          <cell r="AV3537">
            <v>0</v>
          </cell>
        </row>
        <row r="3538">
          <cell r="E3538" t="str">
            <v>D26001494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D26001494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D26001508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D26001508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D26001675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D26001675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D26001675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D26001675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D26001675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D26001675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D26001675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D26001676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D26001770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D26001802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D26002025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D26002430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D26002443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D26002512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D26002513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D26002626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D26002627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D26002681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D26002691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B26002751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B26002775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D26002962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D26002986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D26003007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B26003188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D25007908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D25015340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D25010159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B26003067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D26003306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B26001143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D26003397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D26003397</v>
          </cell>
          <cell r="AP3574">
            <v>0</v>
          </cell>
          <cell r="AQ3574">
            <v>0</v>
          </cell>
          <cell r="AV3574">
            <v>13970000</v>
          </cell>
        </row>
        <row r="3575">
          <cell r="E3575" t="str">
            <v>D26003398</v>
          </cell>
          <cell r="AP3575">
            <v>0</v>
          </cell>
          <cell r="AQ3575">
            <v>0</v>
          </cell>
          <cell r="AV3575">
            <v>17480000</v>
          </cell>
        </row>
        <row r="3576">
          <cell r="E3576" t="str">
            <v>B26002948</v>
          </cell>
          <cell r="AP3576">
            <v>0</v>
          </cell>
          <cell r="AQ3576">
            <v>0</v>
          </cell>
          <cell r="AV3576">
            <v>7040000</v>
          </cell>
        </row>
        <row r="3577">
          <cell r="E3577" t="str">
            <v>D26003175</v>
          </cell>
          <cell r="AP3577">
            <v>0</v>
          </cell>
          <cell r="AQ3577">
            <v>0</v>
          </cell>
          <cell r="AV3577">
            <v>1140000</v>
          </cell>
        </row>
        <row r="3578">
          <cell r="E3578" t="str">
            <v>D24016641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T26000273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A26000273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A26000277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A26000281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A26000291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A26000299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A26000301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A26000305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A26000310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A26000313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A26000314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A26000315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A26000316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A26000317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A26000319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A26000328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A26000331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A26000332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A26000333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A26000337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A26000338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A26000341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A26000342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A26000343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A26000344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A26000346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A26000347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A26000348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A26000349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A26000350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A26000351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A26000352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A26000356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A26000357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A26000358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A26000359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A26000361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A26000362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A26000363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A26000364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A26000365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A26000366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A26000370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A26000371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A26000372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A26000373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A26000374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A26000375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A26000376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A26000378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A26000379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A26000381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A26000382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A26000383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A26000384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A26000385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A26000386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A26000387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A26000388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A26000389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A26000390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A26000391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A26000392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A26000393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A26000394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A26000395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A26000397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A26000398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A26000399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A26000400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A26000401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A26000402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A26000406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A26000407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A26000409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A26000410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A26000411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A26000412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A26000413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A26000415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A26000416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A26000417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A26000251</v>
          </cell>
          <cell r="AP3661">
            <v>0</v>
          </cell>
          <cell r="AQ3661">
            <v>0</v>
          </cell>
          <cell r="AV3661">
            <v>80525</v>
          </cell>
        </row>
        <row r="3662">
          <cell r="E3662" t="str">
            <v>A26000251</v>
          </cell>
          <cell r="AP3662">
            <v>0</v>
          </cell>
          <cell r="AQ3662">
            <v>0</v>
          </cell>
          <cell r="AV3662">
            <v>15975</v>
          </cell>
        </row>
        <row r="3663">
          <cell r="E3663" t="str">
            <v>A26000258</v>
          </cell>
          <cell r="AP3663">
            <v>0</v>
          </cell>
          <cell r="AQ3663">
            <v>0</v>
          </cell>
          <cell r="AV3663">
            <v>170625</v>
          </cell>
        </row>
        <row r="3664">
          <cell r="E3664" t="str">
            <v>A26000258</v>
          </cell>
          <cell r="AP3664">
            <v>0</v>
          </cell>
          <cell r="AQ3664">
            <v>0</v>
          </cell>
          <cell r="AV3664">
            <v>31875</v>
          </cell>
        </row>
        <row r="3665">
          <cell r="E3665" t="str">
            <v>A26000263</v>
          </cell>
          <cell r="AP3665">
            <v>0</v>
          </cell>
          <cell r="AQ3665">
            <v>0</v>
          </cell>
          <cell r="AV3665">
            <v>39087.5</v>
          </cell>
        </row>
        <row r="3666">
          <cell r="E3666" t="str">
            <v>A26000263</v>
          </cell>
          <cell r="AP3666">
            <v>0</v>
          </cell>
          <cell r="AQ3666">
            <v>0</v>
          </cell>
          <cell r="AV3666">
            <v>8662.5</v>
          </cell>
        </row>
        <row r="3667">
          <cell r="E3667" t="str">
            <v>A26000264</v>
          </cell>
          <cell r="AP3667">
            <v>0</v>
          </cell>
          <cell r="AQ3667">
            <v>0</v>
          </cell>
          <cell r="AV3667">
            <v>79462.5</v>
          </cell>
        </row>
        <row r="3668">
          <cell r="E3668" t="str">
            <v>A26000264</v>
          </cell>
          <cell r="AP3668">
            <v>0</v>
          </cell>
          <cell r="AQ3668">
            <v>0</v>
          </cell>
          <cell r="AV3668">
            <v>15787.5</v>
          </cell>
        </row>
        <row r="3669">
          <cell r="E3669" t="str">
            <v>A26000265</v>
          </cell>
          <cell r="AP3669">
            <v>0</v>
          </cell>
          <cell r="AQ3669">
            <v>0</v>
          </cell>
          <cell r="AV3669">
            <v>45993.75</v>
          </cell>
        </row>
        <row r="3670">
          <cell r="E3670" t="str">
            <v>A26000265</v>
          </cell>
          <cell r="AP3670">
            <v>0</v>
          </cell>
          <cell r="AQ3670">
            <v>0</v>
          </cell>
          <cell r="AV3670">
            <v>9881.25</v>
          </cell>
        </row>
        <row r="3671">
          <cell r="E3671" t="str">
            <v>A26000266</v>
          </cell>
          <cell r="AP3671">
            <v>0</v>
          </cell>
          <cell r="AQ3671">
            <v>0</v>
          </cell>
          <cell r="AV3671">
            <v>66712.5</v>
          </cell>
        </row>
        <row r="3672">
          <cell r="E3672" t="str">
            <v>A26000266</v>
          </cell>
          <cell r="AP3672">
            <v>0</v>
          </cell>
          <cell r="AQ3672">
            <v>0</v>
          </cell>
          <cell r="AV3672">
            <v>13537.5</v>
          </cell>
        </row>
        <row r="3673">
          <cell r="E3673" t="str">
            <v>A26000267</v>
          </cell>
          <cell r="AP3673">
            <v>0</v>
          </cell>
          <cell r="AQ3673">
            <v>0</v>
          </cell>
          <cell r="AV3673">
            <v>49712.5</v>
          </cell>
        </row>
        <row r="3674">
          <cell r="E3674" t="str">
            <v>A26000267</v>
          </cell>
          <cell r="AP3674">
            <v>0</v>
          </cell>
          <cell r="AQ3674">
            <v>0</v>
          </cell>
          <cell r="AV3674">
            <v>10537.5</v>
          </cell>
        </row>
        <row r="3675">
          <cell r="E3675" t="str">
            <v>A26000283</v>
          </cell>
          <cell r="AP3675">
            <v>0</v>
          </cell>
          <cell r="AQ3675">
            <v>0</v>
          </cell>
          <cell r="AV3675">
            <v>44400</v>
          </cell>
        </row>
        <row r="3676">
          <cell r="E3676" t="str">
            <v>A26000283</v>
          </cell>
          <cell r="AP3676">
            <v>0</v>
          </cell>
          <cell r="AQ3676">
            <v>0</v>
          </cell>
          <cell r="AV3676">
            <v>9600</v>
          </cell>
        </row>
        <row r="3677">
          <cell r="E3677" t="str">
            <v>A26000284</v>
          </cell>
          <cell r="AP3677">
            <v>0</v>
          </cell>
          <cell r="AQ3677">
            <v>0</v>
          </cell>
          <cell r="AV3677">
            <v>95400</v>
          </cell>
        </row>
        <row r="3678">
          <cell r="E3678" t="str">
            <v>A26000284</v>
          </cell>
          <cell r="AP3678">
            <v>0</v>
          </cell>
          <cell r="AQ3678">
            <v>0</v>
          </cell>
          <cell r="AV3678">
            <v>18600</v>
          </cell>
        </row>
        <row r="3679">
          <cell r="E3679" t="str">
            <v>A26000292</v>
          </cell>
          <cell r="AP3679">
            <v>0</v>
          </cell>
          <cell r="AQ3679">
            <v>0</v>
          </cell>
          <cell r="AV3679">
            <v>91681.25</v>
          </cell>
        </row>
        <row r="3680">
          <cell r="E3680" t="str">
            <v>A26000292</v>
          </cell>
          <cell r="AP3680">
            <v>0</v>
          </cell>
          <cell r="AQ3680">
            <v>0</v>
          </cell>
          <cell r="AV3680">
            <v>17943.75</v>
          </cell>
        </row>
        <row r="3681">
          <cell r="E3681" t="str">
            <v>A26000294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A26000303</v>
          </cell>
          <cell r="AP3682">
            <v>0</v>
          </cell>
          <cell r="AQ3682">
            <v>0</v>
          </cell>
          <cell r="AV3682">
            <v>122600</v>
          </cell>
        </row>
        <row r="3683">
          <cell r="E3683" t="str">
            <v>A26000303</v>
          </cell>
          <cell r="AP3683">
            <v>0</v>
          </cell>
          <cell r="AQ3683">
            <v>0</v>
          </cell>
          <cell r="AV3683">
            <v>23400</v>
          </cell>
        </row>
        <row r="3684">
          <cell r="E3684" t="str">
            <v>A26000306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A26000307</v>
          </cell>
          <cell r="AP3685">
            <v>0</v>
          </cell>
          <cell r="AQ3685">
            <v>0</v>
          </cell>
          <cell r="AV3685">
            <v>350187.5</v>
          </cell>
        </row>
        <row r="3686">
          <cell r="E3686" t="str">
            <v>A26000307</v>
          </cell>
          <cell r="AP3686">
            <v>0</v>
          </cell>
          <cell r="AQ3686">
            <v>0</v>
          </cell>
          <cell r="AV3686">
            <v>63562.5</v>
          </cell>
        </row>
        <row r="3687">
          <cell r="E3687" t="str">
            <v>A26000339</v>
          </cell>
          <cell r="AP3687">
            <v>0</v>
          </cell>
          <cell r="AQ3687">
            <v>0</v>
          </cell>
          <cell r="AV3687">
            <v>0</v>
          </cell>
        </row>
        <row r="3688">
          <cell r="E3688" t="str">
            <v>A26000345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A26000353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A26000354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A26000355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A26000360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A26000367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A26000368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A26000369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A26000377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A26000380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A26000396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A26000403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A26000404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A26000405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A26000408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A26000414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D26002574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D26000826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T26000090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D26002468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D26002992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D26002993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B26001731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D26001894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B26002295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B26002299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B26002781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D26003369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D26003370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D26003112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B25016707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B25016708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B26000051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D26001548</v>
          </cell>
          <cell r="AP3721">
            <v>0</v>
          </cell>
          <cell r="AQ3721">
            <v>0</v>
          </cell>
          <cell r="AV3721">
            <v>36500000</v>
          </cell>
        </row>
        <row r="3722">
          <cell r="E3722" t="str">
            <v>D26002084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D26002093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B26002596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D26002799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B26003196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D25018814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D25018817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B26000296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D26001342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D26001717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D26001786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D26001823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D26001909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D26002044</v>
          </cell>
          <cell r="AP3735">
            <v>0</v>
          </cell>
          <cell r="AQ3735">
            <v>0</v>
          </cell>
          <cell r="AV3735">
            <v>0</v>
          </cell>
        </row>
        <row r="3736">
          <cell r="E3736" t="str">
            <v>B26002279</v>
          </cell>
          <cell r="AP3736">
            <v>0</v>
          </cell>
          <cell r="AQ3736">
            <v>92400000</v>
          </cell>
          <cell r="AV3736">
            <v>0</v>
          </cell>
        </row>
        <row r="3737">
          <cell r="E3737" t="str">
            <v>B26002551</v>
          </cell>
          <cell r="AP3737">
            <v>0</v>
          </cell>
          <cell r="AQ3737">
            <v>0</v>
          </cell>
          <cell r="AV3737">
            <v>15187500</v>
          </cell>
        </row>
        <row r="3738">
          <cell r="E3738" t="str">
            <v>B26002552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B26002774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B26002952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D26003285</v>
          </cell>
          <cell r="AP3741">
            <v>0</v>
          </cell>
          <cell r="AQ3741">
            <v>0</v>
          </cell>
          <cell r="AV3741">
            <v>3375000</v>
          </cell>
        </row>
        <row r="3742">
          <cell r="E3742" t="str">
            <v>D26003312</v>
          </cell>
          <cell r="AP3742">
            <v>0</v>
          </cell>
          <cell r="AQ3742">
            <v>0</v>
          </cell>
          <cell r="AV3742">
            <v>22000000</v>
          </cell>
        </row>
        <row r="3743">
          <cell r="E3743" t="str">
            <v>D26003312</v>
          </cell>
          <cell r="AP3743">
            <v>0</v>
          </cell>
          <cell r="AQ3743">
            <v>0</v>
          </cell>
          <cell r="AV3743">
            <v>57000000</v>
          </cell>
        </row>
        <row r="3744">
          <cell r="E3744" t="str">
            <v>B26003209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D25013126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B26000026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D26000082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D26001502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B26001421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B26001422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B26001422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B26001426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B26001426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D26001761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D26001814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D26001991</v>
          </cell>
          <cell r="AP3756">
            <v>0</v>
          </cell>
          <cell r="AQ3756">
            <v>52920000</v>
          </cell>
          <cell r="AV3756">
            <v>0</v>
          </cell>
        </row>
        <row r="3757">
          <cell r="E3757" t="str">
            <v>B26001957</v>
          </cell>
          <cell r="AP3757">
            <v>0</v>
          </cell>
          <cell r="AQ3757">
            <v>48750000</v>
          </cell>
          <cell r="AV3757">
            <v>0</v>
          </cell>
        </row>
        <row r="3758">
          <cell r="E3758" t="str">
            <v>B26002136</v>
          </cell>
          <cell r="AP3758">
            <v>0</v>
          </cell>
          <cell r="AQ3758">
            <v>15300000</v>
          </cell>
          <cell r="AV3758">
            <v>0</v>
          </cell>
        </row>
        <row r="3759">
          <cell r="E3759" t="str">
            <v>D26002391</v>
          </cell>
          <cell r="AP3759">
            <v>0</v>
          </cell>
          <cell r="AQ3759">
            <v>28000000</v>
          </cell>
          <cell r="AV3759">
            <v>0</v>
          </cell>
        </row>
        <row r="3760">
          <cell r="E3760" t="str">
            <v>D26002392</v>
          </cell>
          <cell r="AP3760">
            <v>0</v>
          </cell>
          <cell r="AQ3760">
            <v>55030000</v>
          </cell>
          <cell r="AV3760">
            <v>0</v>
          </cell>
        </row>
        <row r="3761">
          <cell r="E3761" t="str">
            <v>D26002392</v>
          </cell>
          <cell r="AP3761">
            <v>0</v>
          </cell>
          <cell r="AQ3761">
            <v>165870000</v>
          </cell>
          <cell r="AV3761">
            <v>0</v>
          </cell>
        </row>
        <row r="3762">
          <cell r="E3762" t="str">
            <v>D26002555</v>
          </cell>
          <cell r="AP3762">
            <v>0</v>
          </cell>
          <cell r="AQ3762">
            <v>25200000</v>
          </cell>
          <cell r="AV3762">
            <v>0</v>
          </cell>
        </row>
        <row r="3763">
          <cell r="E3763" t="str">
            <v>D26002608</v>
          </cell>
          <cell r="AP3763">
            <v>0</v>
          </cell>
          <cell r="AQ3763">
            <v>8930000</v>
          </cell>
          <cell r="AV3763">
            <v>0</v>
          </cell>
        </row>
        <row r="3764">
          <cell r="E3764" t="str">
            <v>D26002608</v>
          </cell>
          <cell r="AP3764">
            <v>0</v>
          </cell>
          <cell r="AQ3764">
            <v>39070000</v>
          </cell>
          <cell r="AV3764">
            <v>0</v>
          </cell>
        </row>
        <row r="3765">
          <cell r="E3765" t="str">
            <v>B26002692</v>
          </cell>
          <cell r="AP3765">
            <v>0</v>
          </cell>
          <cell r="AQ3765">
            <v>0</v>
          </cell>
          <cell r="AV3765">
            <v>179400000</v>
          </cell>
        </row>
        <row r="3766">
          <cell r="E3766" t="str">
            <v>B26002692</v>
          </cell>
          <cell r="AP3766">
            <v>0</v>
          </cell>
          <cell r="AQ3766">
            <v>0</v>
          </cell>
          <cell r="AV3766">
            <v>80000000</v>
          </cell>
        </row>
        <row r="3767">
          <cell r="E3767" t="str">
            <v>D26002966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D26002974</v>
          </cell>
          <cell r="AP3768">
            <v>0</v>
          </cell>
          <cell r="AQ3768">
            <v>35900000</v>
          </cell>
          <cell r="AV3768">
            <v>0</v>
          </cell>
        </row>
        <row r="3769">
          <cell r="E3769" t="str">
            <v>D26002997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D26003115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D26003381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D26003441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D26003456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D26003457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T26000070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B26001697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T26000120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T26000121k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D26002377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B26002452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B26000656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B26000673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B26000674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B26000675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B26000692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B26001193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B26001719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B26001720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B26001721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B26001823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B26002517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B26002518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B26002519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D26000118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B26002080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B26002082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B26002083</v>
          </cell>
          <cell r="AP3797">
            <v>0</v>
          </cell>
          <cell r="AQ3797">
            <v>0</v>
          </cell>
          <cell r="AV3797">
            <v>0</v>
          </cell>
        </row>
        <row r="3798">
          <cell r="E3798" t="str">
            <v>B26002758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B26002759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B26002764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T26000205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T26000206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T26000209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T26000219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T26000233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D26003191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B26003081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B26003084</v>
          </cell>
          <cell r="AP3808">
            <v>0</v>
          </cell>
          <cell r="AQ3808">
            <v>0</v>
          </cell>
          <cell r="AV3808">
            <v>15800000</v>
          </cell>
        </row>
        <row r="3809">
          <cell r="E3809" t="str">
            <v>D26000605</v>
          </cell>
          <cell r="AP3809">
            <v>0</v>
          </cell>
          <cell r="AQ3809">
            <v>0</v>
          </cell>
          <cell r="AV3809">
            <v>1900000</v>
          </cell>
        </row>
        <row r="3810">
          <cell r="E3810" t="str">
            <v>D26000834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D26001066</v>
          </cell>
          <cell r="AP3811">
            <v>0</v>
          </cell>
          <cell r="AQ3811">
            <v>0</v>
          </cell>
          <cell r="AV3811">
            <v>3800000</v>
          </cell>
        </row>
        <row r="3812">
          <cell r="E3812" t="str">
            <v>B26001756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D26001848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B26002221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B26002985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T25001572</v>
          </cell>
          <cell r="AP3816">
            <v>0</v>
          </cell>
          <cell r="AQ3816">
            <v>0</v>
          </cell>
          <cell r="AV3816">
            <v>2442500</v>
          </cell>
        </row>
        <row r="3817">
          <cell r="E3817" t="str">
            <v>T26000181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D26000847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D26001198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D26003269</v>
          </cell>
          <cell r="AP3820">
            <v>0</v>
          </cell>
          <cell r="AQ3820">
            <v>0</v>
          </cell>
          <cell r="AV3820">
            <v>11420000</v>
          </cell>
        </row>
        <row r="3821">
          <cell r="E3821" t="str">
            <v>D25018668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D26003421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B26001420</v>
          </cell>
          <cell r="AP3823">
            <v>0</v>
          </cell>
          <cell r="AQ3823">
            <v>0</v>
          </cell>
          <cell r="AV3823">
            <v>21794800</v>
          </cell>
        </row>
        <row r="3824">
          <cell r="E3824" t="str">
            <v>B26001979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B26003149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B25016555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D26000979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D26001218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B26001254</v>
          </cell>
          <cell r="AP3829">
            <v>0</v>
          </cell>
          <cell r="AQ3829">
            <v>0</v>
          </cell>
          <cell r="AV3829">
            <v>0</v>
          </cell>
        </row>
        <row r="3830">
          <cell r="E3830" t="str">
            <v>D26001412</v>
          </cell>
          <cell r="AP3830">
            <v>0</v>
          </cell>
          <cell r="AQ3830">
            <v>0</v>
          </cell>
          <cell r="AV3830">
            <v>0</v>
          </cell>
        </row>
        <row r="3831">
          <cell r="E3831" t="str">
            <v>B26001544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B26001771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D26002214</v>
          </cell>
          <cell r="AP3833">
            <v>0</v>
          </cell>
          <cell r="AQ3833">
            <v>0</v>
          </cell>
          <cell r="AV3833">
            <v>0</v>
          </cell>
        </row>
        <row r="3834">
          <cell r="E3834" t="str">
            <v>D26002702</v>
          </cell>
          <cell r="AP3834">
            <v>0</v>
          </cell>
          <cell r="AQ3834">
            <v>0</v>
          </cell>
          <cell r="AV3834">
            <v>0</v>
          </cell>
        </row>
        <row r="3835">
          <cell r="E3835" t="str">
            <v>B26002676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D26002893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D26002995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T26000223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B26003245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D26000075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D26000140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B26002154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B26002925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T26000265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B26002894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B26002895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D26001460</v>
          </cell>
          <cell r="AP3847">
            <v>0</v>
          </cell>
          <cell r="AQ3847">
            <v>0</v>
          </cell>
          <cell r="AV3847">
            <v>4800000</v>
          </cell>
        </row>
        <row r="3848">
          <cell r="E3848" t="str">
            <v>D26001461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D26003146</v>
          </cell>
          <cell r="AP3849">
            <v>0</v>
          </cell>
          <cell r="AQ3849">
            <v>0</v>
          </cell>
          <cell r="AV3849">
            <v>18700000</v>
          </cell>
        </row>
        <row r="3850">
          <cell r="E3850" t="str">
            <v>D26003147</v>
          </cell>
          <cell r="AP3850">
            <v>0</v>
          </cell>
          <cell r="AQ3850">
            <v>0</v>
          </cell>
          <cell r="AV3850">
            <v>6000000</v>
          </cell>
        </row>
        <row r="3851">
          <cell r="E3851" t="str">
            <v>B26001598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D25018260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D25018263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B25015923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B25016082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B25016108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B25016109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B25016109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B25016135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D25018533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D25018535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D25018566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D25018589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D25018600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D25018624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D25018624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D25018652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B25016253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B25016254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B25016329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B25016366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B25016462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B25016462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B25016463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B25016463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B25016463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B25016463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B25016467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D25018945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B25016583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D25019041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D25019047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D25019074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D25019354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B25016951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B25016968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B25016976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B25017051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D25019669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B25017144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B26000011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D26000043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B26000223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D26000251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D26000296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D26000305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D26000307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D26000320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D26000328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D26000458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D26000465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D26000468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B26000576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B26000577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D26000677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D26000727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D26000777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B26000792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D26000871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D26000986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D26000986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B26001097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B26001097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D26001331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B26001276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B26001349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B26001401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D26001429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D26001430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D26001447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D26001485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D26001493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D26001512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B26001493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D26001600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D26001604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D26001604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D26001623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D26001635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B26001573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D26001672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B26001616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D26001798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D26001809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D26001809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B26001711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B26001716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D26001860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D26002016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B26001953</v>
          </cell>
          <cell r="AP3940">
            <v>0</v>
          </cell>
          <cell r="AQ3940">
            <v>7700000</v>
          </cell>
          <cell r="AV3940">
            <v>0</v>
          </cell>
        </row>
        <row r="3941">
          <cell r="E3941" t="str">
            <v>D26002116</v>
          </cell>
          <cell r="AP3941">
            <v>0</v>
          </cell>
          <cell r="AQ3941">
            <v>183600000</v>
          </cell>
          <cell r="AV3941">
            <v>0</v>
          </cell>
        </row>
        <row r="3942">
          <cell r="E3942" t="str">
            <v>D26002118</v>
          </cell>
          <cell r="AP3942">
            <v>0</v>
          </cell>
          <cell r="AQ3942">
            <v>60000000</v>
          </cell>
          <cell r="AV3942">
            <v>0</v>
          </cell>
        </row>
        <row r="3943">
          <cell r="E3943" t="str">
            <v>B26002006</v>
          </cell>
          <cell r="AP3943">
            <v>0</v>
          </cell>
          <cell r="AQ3943">
            <v>4200000</v>
          </cell>
          <cell r="AV3943">
            <v>0</v>
          </cell>
        </row>
        <row r="3944">
          <cell r="E3944" t="str">
            <v>D26002186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D26002187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D26002212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D26002362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D26002362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B26002192</v>
          </cell>
          <cell r="AP3949">
            <v>0</v>
          </cell>
          <cell r="AQ3949">
            <v>158500000</v>
          </cell>
          <cell r="AV3949">
            <v>0</v>
          </cell>
        </row>
        <row r="3950">
          <cell r="E3950" t="str">
            <v>D26002435</v>
          </cell>
          <cell r="AP3950">
            <v>0</v>
          </cell>
          <cell r="AQ3950">
            <v>36700000</v>
          </cell>
          <cell r="AV3950">
            <v>0</v>
          </cell>
        </row>
        <row r="3951">
          <cell r="E3951" t="str">
            <v>D26002436</v>
          </cell>
          <cell r="AP3951">
            <v>0</v>
          </cell>
          <cell r="AQ3951">
            <v>31675000</v>
          </cell>
          <cell r="AV3951">
            <v>0</v>
          </cell>
        </row>
        <row r="3952">
          <cell r="E3952" t="str">
            <v>D26002481</v>
          </cell>
          <cell r="AP3952">
            <v>0</v>
          </cell>
          <cell r="AQ3952">
            <v>95500000</v>
          </cell>
          <cell r="AV3952">
            <v>0</v>
          </cell>
        </row>
        <row r="3953">
          <cell r="E3953" t="str">
            <v>B26002366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B26002378</v>
          </cell>
          <cell r="AP3954">
            <v>0</v>
          </cell>
          <cell r="AQ3954">
            <v>129500000</v>
          </cell>
          <cell r="AV3954">
            <v>0</v>
          </cell>
        </row>
        <row r="3955">
          <cell r="E3955" t="str">
            <v>B26002411</v>
          </cell>
          <cell r="AP3955">
            <v>0</v>
          </cell>
          <cell r="AQ3955">
            <v>96000000</v>
          </cell>
          <cell r="AV3955">
            <v>0</v>
          </cell>
        </row>
        <row r="3956">
          <cell r="E3956" t="str">
            <v>D26002570</v>
          </cell>
          <cell r="AP3956">
            <v>0</v>
          </cell>
          <cell r="AQ3956">
            <v>95000000</v>
          </cell>
          <cell r="AV3956">
            <v>0</v>
          </cell>
        </row>
        <row r="3957">
          <cell r="E3957" t="str">
            <v>D26002661</v>
          </cell>
          <cell r="AP3957">
            <v>0</v>
          </cell>
          <cell r="AQ3957">
            <v>95500000</v>
          </cell>
          <cell r="AV3957">
            <v>0</v>
          </cell>
        </row>
        <row r="3958">
          <cell r="E3958" t="str">
            <v>D26002734</v>
          </cell>
          <cell r="AP3958">
            <v>0</v>
          </cell>
          <cell r="AQ3958">
            <v>25200000</v>
          </cell>
          <cell r="AV3958">
            <v>0</v>
          </cell>
        </row>
        <row r="3959">
          <cell r="E3959" t="str">
            <v>D26002735</v>
          </cell>
          <cell r="AP3959">
            <v>0</v>
          </cell>
          <cell r="AQ3959">
            <v>32040000</v>
          </cell>
          <cell r="AV3959">
            <v>0</v>
          </cell>
        </row>
        <row r="3960">
          <cell r="E3960" t="str">
            <v>D26002756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D26002757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D26002847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D26002864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D26002897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D26002921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D26002979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D26003060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D26003182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D26003224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B26003064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B26003079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B26003080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B26003083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D26003505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B26000504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D26000915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D26001269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B26001286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B26001659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B26001681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T25001792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B26000361</v>
          </cell>
          <cell r="AP3982">
            <v>0</v>
          </cell>
          <cell r="AQ3982">
            <v>0</v>
          </cell>
          <cell r="AV3982">
            <v>16580000</v>
          </cell>
        </row>
        <row r="3983">
          <cell r="E3983" t="str">
            <v>B26000362</v>
          </cell>
          <cell r="AP3983">
            <v>0</v>
          </cell>
          <cell r="AQ3983">
            <v>0</v>
          </cell>
          <cell r="AV3983">
            <v>840000</v>
          </cell>
        </row>
        <row r="3984">
          <cell r="E3984" t="str">
            <v>B26000836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B26000839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B26000854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B26000877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B26001354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B26001995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D26002110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D26000264</v>
          </cell>
          <cell r="AP3991">
            <v>0</v>
          </cell>
          <cell r="AQ3991">
            <v>0</v>
          </cell>
          <cell r="AV3991">
            <v>3800000</v>
          </cell>
        </row>
        <row r="3992">
          <cell r="E3992" t="str">
            <v>T26000018</v>
          </cell>
          <cell r="AP3992">
            <v>0</v>
          </cell>
          <cell r="AQ3992">
            <v>0</v>
          </cell>
          <cell r="AV3992">
            <v>12000000</v>
          </cell>
        </row>
        <row r="3993">
          <cell r="E3993" t="str">
            <v>D26000809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B26001476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D26001642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D26001720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D26001760</v>
          </cell>
          <cell r="AP3997">
            <v>0</v>
          </cell>
          <cell r="AQ3997">
            <v>0</v>
          </cell>
          <cell r="AV3997">
            <v>17100000</v>
          </cell>
        </row>
        <row r="3998">
          <cell r="E3998" t="str">
            <v>D26001973</v>
          </cell>
          <cell r="AP3998">
            <v>0</v>
          </cell>
          <cell r="AQ3998">
            <v>0</v>
          </cell>
          <cell r="AV3998">
            <v>49250000</v>
          </cell>
        </row>
        <row r="3999">
          <cell r="E3999" t="str">
            <v>D26002221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D26002818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B25016967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B26000544</v>
          </cell>
          <cell r="AP4002">
            <v>0</v>
          </cell>
          <cell r="AQ4002">
            <v>0</v>
          </cell>
          <cell r="AV4002">
            <v>20000000</v>
          </cell>
        </row>
        <row r="4003">
          <cell r="E4003" t="str">
            <v>D26000948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D26001106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B26001700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D26003291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D25019098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B26000599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D26000627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D25019278</v>
          </cell>
          <cell r="AP4010">
            <v>0</v>
          </cell>
          <cell r="AQ4010">
            <v>0</v>
          </cell>
          <cell r="AV4010">
            <v>117000</v>
          </cell>
        </row>
        <row r="4011">
          <cell r="E4011" t="str">
            <v>D25019278</v>
          </cell>
          <cell r="AP4011">
            <v>0</v>
          </cell>
          <cell r="AQ4011">
            <v>0</v>
          </cell>
          <cell r="AV4011">
            <v>929700</v>
          </cell>
        </row>
        <row r="4012">
          <cell r="E4012" t="str">
            <v>D25019454</v>
          </cell>
          <cell r="AP4012">
            <v>0</v>
          </cell>
          <cell r="AQ4012">
            <v>0</v>
          </cell>
          <cell r="AV4012">
            <v>11340000</v>
          </cell>
        </row>
        <row r="4013">
          <cell r="E4013" t="str">
            <v>D25019594</v>
          </cell>
          <cell r="AP4013">
            <v>0</v>
          </cell>
          <cell r="AQ4013">
            <v>0</v>
          </cell>
          <cell r="AV4013">
            <v>5700000</v>
          </cell>
        </row>
        <row r="4014">
          <cell r="E4014" t="str">
            <v>D25019702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D26000214</v>
          </cell>
          <cell r="AP4015">
            <v>0</v>
          </cell>
          <cell r="AQ4015">
            <v>0</v>
          </cell>
          <cell r="AV4015">
            <v>780300</v>
          </cell>
        </row>
        <row r="4016">
          <cell r="E4016" t="str">
            <v>D26000214</v>
          </cell>
          <cell r="AP4016">
            <v>0</v>
          </cell>
          <cell r="AQ4016">
            <v>0</v>
          </cell>
          <cell r="AV4016">
            <v>5310000</v>
          </cell>
        </row>
        <row r="4017">
          <cell r="E4017" t="str">
            <v>D26000467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D26000635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D26000799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D26000943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D26000944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D26000964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D26001117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B26001287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B26001508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B26001757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B26002181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B26002229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D26002657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B26002548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D26002790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D26002875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B26002706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D26002926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B26003129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B26003130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B26003131</v>
          </cell>
          <cell r="AP4037">
            <v>0</v>
          </cell>
          <cell r="AQ4037">
            <v>0</v>
          </cell>
          <cell r="AV4037">
            <v>1725000</v>
          </cell>
        </row>
        <row r="4038">
          <cell r="E4038" t="str">
            <v>B26003132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B26003206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B26002237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D26002453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T25001860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D26002925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T26000197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T26000226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D26000178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D26000333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D26000883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B26001109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B26001281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B26001456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D26001907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D26002750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B26002937</v>
          </cell>
          <cell r="AP4054">
            <v>0</v>
          </cell>
          <cell r="AQ4054">
            <v>0</v>
          </cell>
          <cell r="AV4054">
            <v>1950000</v>
          </cell>
        </row>
        <row r="4055">
          <cell r="E4055" t="str">
            <v>D26003095</v>
          </cell>
          <cell r="AP4055">
            <v>0</v>
          </cell>
          <cell r="AQ4055">
            <v>0</v>
          </cell>
          <cell r="AV4055">
            <v>10920000</v>
          </cell>
        </row>
        <row r="4056">
          <cell r="E4056" t="str">
            <v>D26003511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D26001696</v>
          </cell>
          <cell r="AP4057">
            <v>0</v>
          </cell>
          <cell r="AQ4057">
            <v>0</v>
          </cell>
          <cell r="AV4057">
            <v>9900000</v>
          </cell>
        </row>
        <row r="4058">
          <cell r="E4058" t="str">
            <v>B26001688</v>
          </cell>
          <cell r="AP4058">
            <v>0</v>
          </cell>
          <cell r="AQ4058">
            <v>0</v>
          </cell>
          <cell r="AV4058">
            <v>1720000</v>
          </cell>
        </row>
        <row r="4059">
          <cell r="E4059" t="str">
            <v>B26002430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D26003334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D26000838</v>
          </cell>
          <cell r="AP4061">
            <v>0</v>
          </cell>
          <cell r="AQ4061">
            <v>0</v>
          </cell>
          <cell r="AV4061">
            <v>2378750</v>
          </cell>
        </row>
        <row r="4062">
          <cell r="E4062" t="str">
            <v>D26000845</v>
          </cell>
          <cell r="AP4062">
            <v>0</v>
          </cell>
          <cell r="AQ4062">
            <v>0</v>
          </cell>
          <cell r="AV4062">
            <v>2800000</v>
          </cell>
        </row>
        <row r="4063">
          <cell r="E4063" t="str">
            <v>D26001389</v>
          </cell>
          <cell r="AP4063">
            <v>0</v>
          </cell>
          <cell r="AQ4063">
            <v>0</v>
          </cell>
          <cell r="AV4063">
            <v>9535000</v>
          </cell>
        </row>
        <row r="4064">
          <cell r="E4064" t="str">
            <v>B26001366</v>
          </cell>
          <cell r="AP4064">
            <v>0</v>
          </cell>
          <cell r="AQ4064">
            <v>0</v>
          </cell>
          <cell r="AV4064">
            <v>286250</v>
          </cell>
        </row>
        <row r="4065">
          <cell r="E4065" t="str">
            <v>B26001400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B26001764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D26001886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B26001947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B26002002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D26002403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B26002294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B26003052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B26003061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D26003247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B26002183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D26003396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B26000061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B26001376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D26002493</v>
          </cell>
          <cell r="AP4079">
            <v>0</v>
          </cell>
          <cell r="AQ4079">
            <v>0</v>
          </cell>
          <cell r="AV4079">
            <v>11250000</v>
          </cell>
        </row>
        <row r="4080">
          <cell r="E4080" t="str">
            <v>D26003145</v>
          </cell>
          <cell r="AP4080">
            <v>0</v>
          </cell>
          <cell r="AQ4080">
            <v>0</v>
          </cell>
          <cell r="AV4080">
            <v>3375000</v>
          </cell>
        </row>
        <row r="4081">
          <cell r="E4081" t="str">
            <v>T25001374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B26001362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B26001076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B26000310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D26001175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D26001615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D26002248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D26001639</v>
          </cell>
          <cell r="AP4088">
            <v>0</v>
          </cell>
          <cell r="AQ4088">
            <v>0</v>
          </cell>
          <cell r="AV4088">
            <v>11270000</v>
          </cell>
        </row>
        <row r="4089">
          <cell r="E4089" t="str">
            <v>B26001956</v>
          </cell>
          <cell r="AP4089">
            <v>0</v>
          </cell>
          <cell r="AQ4089">
            <v>0</v>
          </cell>
          <cell r="AV4089">
            <v>32200000</v>
          </cell>
        </row>
        <row r="4090">
          <cell r="E4090" t="str">
            <v>B26002667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D26002834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D26003094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D26002917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D26002919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B26003215</v>
          </cell>
          <cell r="AP4095">
            <v>0</v>
          </cell>
          <cell r="AQ4095">
            <v>0</v>
          </cell>
          <cell r="AV4095">
            <v>5640000</v>
          </cell>
        </row>
        <row r="4096">
          <cell r="E4096" t="str">
            <v>B26002997</v>
          </cell>
          <cell r="AP4096">
            <v>0</v>
          </cell>
          <cell r="AQ4096">
            <v>0</v>
          </cell>
          <cell r="AV4096">
            <v>2540000</v>
          </cell>
        </row>
        <row r="4097">
          <cell r="E4097" t="str">
            <v>B26002998</v>
          </cell>
          <cell r="AP4097">
            <v>0</v>
          </cell>
          <cell r="AQ4097">
            <v>0</v>
          </cell>
          <cell r="AV4097">
            <v>1440000</v>
          </cell>
        </row>
        <row r="4098">
          <cell r="E4098" t="str">
            <v>Z26000303</v>
          </cell>
          <cell r="AP4098">
            <v>0</v>
          </cell>
          <cell r="AQ4098">
            <v>0</v>
          </cell>
          <cell r="AV4098">
            <v>6475000</v>
          </cell>
        </row>
        <row r="4099">
          <cell r="E4099" t="str">
            <v>Z26000381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Z26000382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Z26000419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Z26000420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Z26000473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Z26000487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Z26000500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Z26000522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Z26000635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D26001941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D26001942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D26001820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B26003141</v>
          </cell>
          <cell r="AP4111">
            <v>0</v>
          </cell>
          <cell r="AQ4111">
            <v>0</v>
          </cell>
          <cell r="AV4111">
            <v>17250000</v>
          </cell>
        </row>
        <row r="4112">
          <cell r="E4112" t="str">
            <v>B25016661</v>
          </cell>
          <cell r="AP4112">
            <v>0</v>
          </cell>
          <cell r="AQ4112">
            <v>0</v>
          </cell>
          <cell r="AV4112">
            <v>29039000</v>
          </cell>
        </row>
        <row r="4113">
          <cell r="E4113" t="str">
            <v>B25016985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B25016735</v>
          </cell>
          <cell r="AP4114">
            <v>0</v>
          </cell>
          <cell r="AQ4114">
            <v>0</v>
          </cell>
          <cell r="AV4114">
            <v>26800000</v>
          </cell>
        </row>
        <row r="4115">
          <cell r="E4115" t="str">
            <v>D26001892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D26002177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D26002354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B26003022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D26003174</v>
          </cell>
          <cell r="AP4119">
            <v>0</v>
          </cell>
          <cell r="AQ4119">
            <v>0</v>
          </cell>
          <cell r="AV4119">
            <v>1780000</v>
          </cell>
        </row>
        <row r="4120">
          <cell r="E4120" t="str">
            <v>D26000426</v>
          </cell>
          <cell r="AP4120">
            <v>0</v>
          </cell>
          <cell r="AQ4120">
            <v>0</v>
          </cell>
          <cell r="AV4120">
            <v>50476000</v>
          </cell>
        </row>
        <row r="4121">
          <cell r="E4121" t="str">
            <v>B26000562</v>
          </cell>
          <cell r="AP4121">
            <v>0</v>
          </cell>
          <cell r="AQ4121">
            <v>0</v>
          </cell>
          <cell r="AV4121">
            <v>16800000</v>
          </cell>
        </row>
        <row r="4122">
          <cell r="E4122" t="str">
            <v>D26000644</v>
          </cell>
          <cell r="AP4122">
            <v>0</v>
          </cell>
          <cell r="AQ4122">
            <v>0</v>
          </cell>
          <cell r="AV4122">
            <v>96000000</v>
          </cell>
        </row>
        <row r="4123">
          <cell r="E4123" t="str">
            <v>D26000659</v>
          </cell>
          <cell r="AP4123">
            <v>0</v>
          </cell>
          <cell r="AQ4123">
            <v>0</v>
          </cell>
          <cell r="AV4123">
            <v>21150000</v>
          </cell>
        </row>
        <row r="4124">
          <cell r="E4124" t="str">
            <v>D26000668</v>
          </cell>
          <cell r="AP4124">
            <v>0</v>
          </cell>
          <cell r="AQ4124">
            <v>0</v>
          </cell>
          <cell r="AV4124">
            <v>10625000</v>
          </cell>
        </row>
        <row r="4125">
          <cell r="E4125" t="str">
            <v>D26000829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D26001193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D26001204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D26001295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D26001479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D26002013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D26002216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D26002217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D26002218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D26002219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D26002226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D26002242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D26002282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D26002431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D26003056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D26003106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T26000234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B26002348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T25001236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D26001993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T25000648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R25000130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B25016919</v>
          </cell>
          <cell r="AP4147">
            <v>0</v>
          </cell>
          <cell r="AQ4147">
            <v>0</v>
          </cell>
          <cell r="AV4147">
            <v>5184000</v>
          </cell>
        </row>
        <row r="4148">
          <cell r="E4148" t="str">
            <v>D26000108</v>
          </cell>
          <cell r="AP4148">
            <v>0</v>
          </cell>
          <cell r="AQ4148">
            <v>0</v>
          </cell>
          <cell r="AV4148">
            <v>2592000</v>
          </cell>
        </row>
        <row r="4149">
          <cell r="E4149" t="str">
            <v>B26000201</v>
          </cell>
          <cell r="AP4149">
            <v>0</v>
          </cell>
          <cell r="AQ4149">
            <v>0</v>
          </cell>
          <cell r="AV4149">
            <v>2880000</v>
          </cell>
        </row>
        <row r="4150">
          <cell r="E4150" t="str">
            <v>D26001388</v>
          </cell>
          <cell r="AP4150">
            <v>0</v>
          </cell>
          <cell r="AQ4150">
            <v>0</v>
          </cell>
          <cell r="AV4150">
            <v>3120000</v>
          </cell>
        </row>
        <row r="4151">
          <cell r="E4151" t="str">
            <v>B26001991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B26002702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B26003026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B26003059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D26001693</v>
          </cell>
          <cell r="AP4155">
            <v>0</v>
          </cell>
          <cell r="AQ4155">
            <v>0</v>
          </cell>
          <cell r="AV4155">
            <v>3020000</v>
          </cell>
        </row>
        <row r="4156">
          <cell r="E4156" t="str">
            <v>B26001742</v>
          </cell>
          <cell r="AP4156">
            <v>0</v>
          </cell>
          <cell r="AQ4156">
            <v>0</v>
          </cell>
          <cell r="AV4156">
            <v>1170000</v>
          </cell>
        </row>
        <row r="4157">
          <cell r="E4157" t="str">
            <v>B26002196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B26002489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B26002956</v>
          </cell>
          <cell r="AP4159">
            <v>0</v>
          </cell>
          <cell r="AQ4159">
            <v>0</v>
          </cell>
          <cell r="AV4159">
            <v>3800000</v>
          </cell>
        </row>
        <row r="4160">
          <cell r="E4160" t="str">
            <v>D26003160</v>
          </cell>
          <cell r="AP4160">
            <v>0</v>
          </cell>
          <cell r="AQ4160">
            <v>0</v>
          </cell>
          <cell r="AV4160">
            <v>3800000</v>
          </cell>
        </row>
        <row r="4161">
          <cell r="E4161" t="str">
            <v>D25019122</v>
          </cell>
          <cell r="AP4161">
            <v>0</v>
          </cell>
          <cell r="AQ4161">
            <v>0</v>
          </cell>
          <cell r="AV4161">
            <v>2000000</v>
          </cell>
        </row>
        <row r="4162">
          <cell r="E4162" t="str">
            <v>D26000103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B26000774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T26000047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T26000109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B26002678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D26003412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D26000714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T26000036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B26001297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B26003007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D26003474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B26003055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B26003140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B26002268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D26003257</v>
          </cell>
          <cell r="AP4176">
            <v>0</v>
          </cell>
          <cell r="AQ4176">
            <v>0</v>
          </cell>
          <cell r="AV4176">
            <v>255000</v>
          </cell>
        </row>
        <row r="4177">
          <cell r="E4177" t="str">
            <v>T25001726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T25001727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D26002809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T26000187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T25001499k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B25014665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D25017559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D25017560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T25001743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B25015759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B25015760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B25016494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B25016495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B26000065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B26000407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B26000801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B26000802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T26000052k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T26000053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B26000919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B26001531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B26001532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B26001543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B26002424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B26002426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D26002609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D26001180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B26001811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B26001868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B26001920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B26002861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B26002863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D25015072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B25015134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D25017600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D25019089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D25019287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B25017028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B25017059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D25019673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D25019680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D26000202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D26000682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B26000700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D26000778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B26000791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B26001170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B26001181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B26001220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D26001819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D26001838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D26001897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B26001899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D26002405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D26002406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D26002504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D26002882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B26002843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B26002928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B26002939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D26003286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B26003208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D26003466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D26003506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D26002791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B26001256</v>
          </cell>
          <cell r="AP4242">
            <v>0</v>
          </cell>
          <cell r="AQ4242">
            <v>0</v>
          </cell>
          <cell r="AV4242">
            <v>8400000</v>
          </cell>
        </row>
        <row r="4243">
          <cell r="E4243" t="str">
            <v>D26002170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D26002171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B26002373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B26002374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B26002860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B26003182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B26003183</v>
          </cell>
          <cell r="AP4249">
            <v>0</v>
          </cell>
          <cell r="AQ4249">
            <v>0</v>
          </cell>
          <cell r="AV4249">
            <v>0</v>
          </cell>
        </row>
        <row r="4250">
          <cell r="E4250" t="str">
            <v>B26003184</v>
          </cell>
          <cell r="AP4250">
            <v>0</v>
          </cell>
          <cell r="AQ4250">
            <v>0</v>
          </cell>
          <cell r="AV4250">
            <v>0</v>
          </cell>
        </row>
        <row r="4251">
          <cell r="E4251" t="str">
            <v>B26003185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B26003186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B26001432</v>
          </cell>
          <cell r="AP4253">
            <v>0</v>
          </cell>
          <cell r="AQ4253">
            <v>0</v>
          </cell>
          <cell r="AV4253">
            <v>7327500</v>
          </cell>
        </row>
        <row r="4254">
          <cell r="E4254" t="str">
            <v>B26001602</v>
          </cell>
          <cell r="AP4254">
            <v>0</v>
          </cell>
          <cell r="AQ4254">
            <v>0</v>
          </cell>
          <cell r="AV4254">
            <v>4130000</v>
          </cell>
        </row>
        <row r="4255">
          <cell r="E4255" t="str">
            <v>B26002174</v>
          </cell>
          <cell r="AP4255">
            <v>0</v>
          </cell>
          <cell r="AQ4255">
            <v>0</v>
          </cell>
          <cell r="AV4255">
            <v>865000</v>
          </cell>
        </row>
        <row r="4256">
          <cell r="E4256" t="str">
            <v>B26002648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T26000240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B26003070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T25001747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D25019551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T26000236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B25014976</v>
          </cell>
          <cell r="AP4262">
            <v>0</v>
          </cell>
          <cell r="AQ4262">
            <v>0</v>
          </cell>
          <cell r="AV4262">
            <v>4402500</v>
          </cell>
        </row>
        <row r="4263">
          <cell r="E4263" t="str">
            <v>B25015475</v>
          </cell>
          <cell r="AP4263">
            <v>0</v>
          </cell>
          <cell r="AQ4263">
            <v>0</v>
          </cell>
          <cell r="AV4263">
            <v>5276500</v>
          </cell>
        </row>
        <row r="4264">
          <cell r="E4264" t="str">
            <v>D25018786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D25019495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D25019498</v>
          </cell>
          <cell r="AP4266">
            <v>0</v>
          </cell>
          <cell r="AQ4266">
            <v>0</v>
          </cell>
          <cell r="AV4266">
            <v>3900000</v>
          </cell>
        </row>
        <row r="4267">
          <cell r="E4267" t="str">
            <v>B26000318</v>
          </cell>
          <cell r="AP4267">
            <v>0</v>
          </cell>
          <cell r="AQ4267">
            <v>0</v>
          </cell>
          <cell r="AV4267">
            <v>17102500</v>
          </cell>
        </row>
        <row r="4268">
          <cell r="E4268" t="str">
            <v>B26000392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B26000453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D26000518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D26000923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B26001212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B26001213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D26001294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D26001396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B26001431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B26001451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D26001721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B26001878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B26001879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D26001980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D26002007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D26002008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D26002009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B26001921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D26002465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D26002466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B26002646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D26002827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D26002828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D26002829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B26002786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B26003042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B26003192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B26003193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D25017375</v>
          </cell>
          <cell r="AP4296">
            <v>0</v>
          </cell>
          <cell r="AQ4296">
            <v>0</v>
          </cell>
          <cell r="AV4296">
            <v>0</v>
          </cell>
        </row>
        <row r="4297">
          <cell r="E4297" t="str">
            <v>D25017461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D25017567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D25017731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B25015349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D25018068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D25018081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D25018082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D25018134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D25018134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D25018377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D25018377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B25016088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B25016088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B25016088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D25018512</v>
          </cell>
          <cell r="AP4311">
            <v>0</v>
          </cell>
          <cell r="AQ4311">
            <v>0</v>
          </cell>
          <cell r="AV4311">
            <v>0</v>
          </cell>
        </row>
        <row r="4312">
          <cell r="E4312" t="str">
            <v>D25018512</v>
          </cell>
          <cell r="AP4312">
            <v>0</v>
          </cell>
          <cell r="AQ4312">
            <v>0</v>
          </cell>
          <cell r="AV4312">
            <v>0</v>
          </cell>
        </row>
        <row r="4313">
          <cell r="E4313" t="str">
            <v>D25018512</v>
          </cell>
          <cell r="AP4313">
            <v>0</v>
          </cell>
          <cell r="AQ4313">
            <v>0</v>
          </cell>
          <cell r="AV4313">
            <v>0</v>
          </cell>
        </row>
        <row r="4314">
          <cell r="E4314" t="str">
            <v>D25018513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D25018574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B25016181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B25016181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B25016194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B25016194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D25018679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D25018679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D25018679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D25018700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D25018700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B25016422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B25016422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B25016422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T25001856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B25016444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D25019031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D25019031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D25019031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D25019031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D25019032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D25019113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D25019125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D25019125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D25019125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D25019136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D25019232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D25019232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D25019232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D25019232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D25019232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D25019464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D25019542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D25019542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D25019542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D25019543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D25019589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D25019589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D25019590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D25019590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D25019591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D25019591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D25019591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D25019600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D25019608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D25019608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D26000006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D26000068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T26000024</v>
          </cell>
          <cell r="AP4362">
            <v>0</v>
          </cell>
          <cell r="AQ4362">
            <v>17800000</v>
          </cell>
          <cell r="AV4362">
            <v>0</v>
          </cell>
        </row>
        <row r="4363">
          <cell r="E4363" t="str">
            <v>D26000463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D26000494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D26000523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D26000523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D26000523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D26000523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D26000616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D26000617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D26000618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D26000746</v>
          </cell>
          <cell r="AP4372">
            <v>0</v>
          </cell>
          <cell r="AQ4372">
            <v>187560000</v>
          </cell>
          <cell r="AV4372">
            <v>0</v>
          </cell>
        </row>
        <row r="4373">
          <cell r="E4373" t="str">
            <v>D26000842</v>
          </cell>
          <cell r="AP4373">
            <v>0</v>
          </cell>
          <cell r="AQ4373">
            <v>12440000</v>
          </cell>
          <cell r="AV4373">
            <v>0</v>
          </cell>
        </row>
        <row r="4374">
          <cell r="E4374" t="str">
            <v>D26000842</v>
          </cell>
          <cell r="AP4374">
            <v>0</v>
          </cell>
          <cell r="AQ4374">
            <v>200000000</v>
          </cell>
          <cell r="AV4374">
            <v>0</v>
          </cell>
        </row>
        <row r="4375">
          <cell r="E4375" t="str">
            <v>D26000842</v>
          </cell>
          <cell r="AP4375">
            <v>0</v>
          </cell>
          <cell r="AQ4375">
            <v>200000000</v>
          </cell>
          <cell r="AV4375">
            <v>0</v>
          </cell>
        </row>
        <row r="4376">
          <cell r="E4376" t="str">
            <v>D26000842</v>
          </cell>
          <cell r="AP4376">
            <v>0</v>
          </cell>
          <cell r="AQ4376">
            <v>126185000</v>
          </cell>
          <cell r="AV4376">
            <v>0</v>
          </cell>
        </row>
        <row r="4377">
          <cell r="E4377" t="str">
            <v>D26000995</v>
          </cell>
          <cell r="AP4377">
            <v>0</v>
          </cell>
          <cell r="AQ4377">
            <v>273815000</v>
          </cell>
          <cell r="AV4377">
            <v>0</v>
          </cell>
        </row>
        <row r="4378">
          <cell r="E4378" t="str">
            <v>D26000995</v>
          </cell>
          <cell r="AP4378">
            <v>0</v>
          </cell>
          <cell r="AQ4378">
            <v>217441000</v>
          </cell>
          <cell r="AV4378">
            <v>0</v>
          </cell>
        </row>
        <row r="4379">
          <cell r="E4379" t="str">
            <v>D26000996</v>
          </cell>
          <cell r="AP4379">
            <v>0</v>
          </cell>
          <cell r="AQ4379">
            <v>182559000</v>
          </cell>
          <cell r="AV4379">
            <v>0</v>
          </cell>
        </row>
        <row r="4380">
          <cell r="E4380" t="str">
            <v>D26000996</v>
          </cell>
          <cell r="AP4380">
            <v>0</v>
          </cell>
          <cell r="AQ4380">
            <v>89601000</v>
          </cell>
          <cell r="AV4380">
            <v>0</v>
          </cell>
        </row>
        <row r="4381">
          <cell r="E4381" t="str">
            <v>D26001094</v>
          </cell>
          <cell r="AP4381">
            <v>0</v>
          </cell>
          <cell r="AQ4381">
            <v>310399000</v>
          </cell>
          <cell r="AV4381">
            <v>0</v>
          </cell>
        </row>
        <row r="4382">
          <cell r="E4382" t="str">
            <v>D26001094</v>
          </cell>
          <cell r="AP4382">
            <v>0</v>
          </cell>
          <cell r="AQ4382">
            <v>319601000</v>
          </cell>
          <cell r="AV4382">
            <v>0</v>
          </cell>
        </row>
        <row r="4383">
          <cell r="E4383" t="str">
            <v>D26001095</v>
          </cell>
          <cell r="AP4383">
            <v>0</v>
          </cell>
          <cell r="AQ4383">
            <v>80399000</v>
          </cell>
          <cell r="AV4383">
            <v>0</v>
          </cell>
        </row>
        <row r="4384">
          <cell r="E4384" t="str">
            <v>D26001095</v>
          </cell>
          <cell r="AP4384">
            <v>0</v>
          </cell>
          <cell r="AQ4384">
            <v>200000000</v>
          </cell>
          <cell r="AV4384">
            <v>0</v>
          </cell>
        </row>
        <row r="4385">
          <cell r="E4385" t="str">
            <v>D26001095</v>
          </cell>
          <cell r="AP4385">
            <v>0</v>
          </cell>
          <cell r="AQ4385">
            <v>200000000</v>
          </cell>
          <cell r="AV4385">
            <v>0</v>
          </cell>
        </row>
        <row r="4386">
          <cell r="E4386" t="str">
            <v>D26001095</v>
          </cell>
          <cell r="AP4386">
            <v>0</v>
          </cell>
          <cell r="AQ4386">
            <v>149601000</v>
          </cell>
          <cell r="AV4386">
            <v>0</v>
          </cell>
        </row>
        <row r="4387">
          <cell r="E4387" t="str">
            <v>D26001096</v>
          </cell>
          <cell r="AP4387">
            <v>0</v>
          </cell>
          <cell r="AQ4387">
            <v>250399000</v>
          </cell>
          <cell r="AV4387">
            <v>0</v>
          </cell>
        </row>
        <row r="4388">
          <cell r="E4388" t="str">
            <v>D26001096</v>
          </cell>
          <cell r="AP4388">
            <v>0</v>
          </cell>
          <cell r="AQ4388">
            <v>379601000</v>
          </cell>
          <cell r="AV4388">
            <v>0</v>
          </cell>
        </row>
        <row r="4389">
          <cell r="E4389" t="str">
            <v>B26001106</v>
          </cell>
          <cell r="AP4389">
            <v>0</v>
          </cell>
          <cell r="AQ4389">
            <v>20399000</v>
          </cell>
          <cell r="AV4389">
            <v>0</v>
          </cell>
        </row>
        <row r="4390">
          <cell r="E4390" t="str">
            <v>B26001106</v>
          </cell>
          <cell r="AP4390">
            <v>0</v>
          </cell>
          <cell r="AQ4390">
            <v>303351000</v>
          </cell>
          <cell r="AV4390">
            <v>0</v>
          </cell>
        </row>
        <row r="4391">
          <cell r="E4391" t="str">
            <v>B26001107</v>
          </cell>
          <cell r="AP4391">
            <v>0</v>
          </cell>
          <cell r="AQ4391">
            <v>96649000</v>
          </cell>
          <cell r="AV4391">
            <v>0</v>
          </cell>
        </row>
        <row r="4392">
          <cell r="E4392" t="str">
            <v>B26001107</v>
          </cell>
          <cell r="AP4392">
            <v>0</v>
          </cell>
          <cell r="AQ4392">
            <v>227101000</v>
          </cell>
          <cell r="AV4392">
            <v>0</v>
          </cell>
        </row>
        <row r="4393">
          <cell r="E4393" t="str">
            <v>D26001336</v>
          </cell>
          <cell r="AP4393">
            <v>0</v>
          </cell>
          <cell r="AQ4393">
            <v>63000000</v>
          </cell>
          <cell r="AV4393">
            <v>0</v>
          </cell>
        </row>
        <row r="4394">
          <cell r="E4394" t="str">
            <v>D26001372</v>
          </cell>
          <cell r="AP4394">
            <v>0</v>
          </cell>
          <cell r="AQ4394">
            <v>109899000</v>
          </cell>
          <cell r="AV4394">
            <v>0</v>
          </cell>
        </row>
        <row r="4395">
          <cell r="E4395" t="str">
            <v>D26001372</v>
          </cell>
          <cell r="AP4395">
            <v>0</v>
          </cell>
          <cell r="AQ4395">
            <v>99201000</v>
          </cell>
          <cell r="AV4395">
            <v>0</v>
          </cell>
        </row>
        <row r="4396">
          <cell r="E4396" t="str">
            <v>D26001495</v>
          </cell>
          <cell r="AP4396">
            <v>0</v>
          </cell>
          <cell r="AQ4396">
            <v>300799000</v>
          </cell>
          <cell r="AV4396">
            <v>0</v>
          </cell>
        </row>
        <row r="4397">
          <cell r="E4397" t="str">
            <v>D26001495</v>
          </cell>
          <cell r="AP4397">
            <v>0</v>
          </cell>
          <cell r="AQ4397">
            <v>8201000</v>
          </cell>
          <cell r="AV4397">
            <v>0</v>
          </cell>
        </row>
        <row r="4398">
          <cell r="E4398" t="str">
            <v>D26001496</v>
          </cell>
          <cell r="AP4398">
            <v>0</v>
          </cell>
          <cell r="AQ4398">
            <v>309000000</v>
          </cell>
          <cell r="AV4398">
            <v>0</v>
          </cell>
        </row>
        <row r="4399">
          <cell r="E4399" t="str">
            <v>D26001517</v>
          </cell>
          <cell r="AP4399">
            <v>0</v>
          </cell>
          <cell r="AQ4399">
            <v>82799000</v>
          </cell>
          <cell r="AV4399">
            <v>0</v>
          </cell>
        </row>
        <row r="4400">
          <cell r="E4400" t="str">
            <v>D26001517</v>
          </cell>
          <cell r="AP4400">
            <v>0</v>
          </cell>
          <cell r="AQ4400">
            <v>208361000</v>
          </cell>
          <cell r="AV4400">
            <v>0</v>
          </cell>
        </row>
        <row r="4401">
          <cell r="E4401" t="str">
            <v>D26001542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D26001542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D26001618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D26001618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D26001619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D26001688</v>
          </cell>
          <cell r="AP4406">
            <v>0</v>
          </cell>
          <cell r="AQ4406">
            <v>191639000</v>
          </cell>
          <cell r="AV4406">
            <v>0</v>
          </cell>
        </row>
        <row r="4407">
          <cell r="E4407" t="str">
            <v>D26001688</v>
          </cell>
          <cell r="AP4407">
            <v>0</v>
          </cell>
          <cell r="AQ4407">
            <v>119761000</v>
          </cell>
          <cell r="AV4407">
            <v>0</v>
          </cell>
        </row>
        <row r="4408">
          <cell r="E4408" t="str">
            <v>D26001689</v>
          </cell>
          <cell r="AP4408">
            <v>0</v>
          </cell>
          <cell r="AQ4408">
            <v>280239000</v>
          </cell>
          <cell r="AV4408">
            <v>0</v>
          </cell>
        </row>
        <row r="4409">
          <cell r="E4409" t="str">
            <v>D26001689</v>
          </cell>
          <cell r="AP4409">
            <v>0</v>
          </cell>
          <cell r="AQ4409">
            <v>59961000</v>
          </cell>
          <cell r="AV4409">
            <v>0</v>
          </cell>
        </row>
        <row r="4410">
          <cell r="E4410" t="str">
            <v>D26001718</v>
          </cell>
          <cell r="AP4410">
            <v>0</v>
          </cell>
          <cell r="AQ4410">
            <v>430405000</v>
          </cell>
          <cell r="AV4410">
            <v>0</v>
          </cell>
        </row>
        <row r="4411">
          <cell r="E4411" t="str">
            <v>D26001718</v>
          </cell>
          <cell r="AP4411">
            <v>0</v>
          </cell>
          <cell r="AQ4411">
            <v>73795000</v>
          </cell>
          <cell r="AV4411">
            <v>0</v>
          </cell>
        </row>
        <row r="4412">
          <cell r="E4412" t="str">
            <v>D26001743</v>
          </cell>
          <cell r="AP4412">
            <v>0</v>
          </cell>
          <cell r="AQ4412">
            <v>332500000</v>
          </cell>
          <cell r="AV4412">
            <v>0</v>
          </cell>
        </row>
        <row r="4413">
          <cell r="E4413" t="str">
            <v>D26001744</v>
          </cell>
          <cell r="AP4413">
            <v>0</v>
          </cell>
          <cell r="AQ4413">
            <v>7539000</v>
          </cell>
          <cell r="AV4413">
            <v>0</v>
          </cell>
        </row>
        <row r="4414">
          <cell r="E4414" t="str">
            <v>D26001744</v>
          </cell>
          <cell r="AP4414">
            <v>0</v>
          </cell>
          <cell r="AQ4414">
            <v>382961000</v>
          </cell>
          <cell r="AV4414">
            <v>0</v>
          </cell>
        </row>
        <row r="4415">
          <cell r="E4415" t="str">
            <v>B26001717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D26001888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D26001899</v>
          </cell>
          <cell r="AP4417">
            <v>0</v>
          </cell>
          <cell r="AQ4417">
            <v>109000000</v>
          </cell>
          <cell r="AV4417">
            <v>0</v>
          </cell>
        </row>
        <row r="4418">
          <cell r="E4418" t="str">
            <v>B26001866</v>
          </cell>
          <cell r="AP4418">
            <v>0</v>
          </cell>
          <cell r="AQ4418">
            <v>130500000</v>
          </cell>
          <cell r="AV4418">
            <v>0</v>
          </cell>
        </row>
        <row r="4419">
          <cell r="E4419" t="str">
            <v>D26002034</v>
          </cell>
          <cell r="AP4419">
            <v>0</v>
          </cell>
          <cell r="AQ4419">
            <v>295200000</v>
          </cell>
          <cell r="AV4419">
            <v>0</v>
          </cell>
        </row>
        <row r="4420">
          <cell r="E4420" t="str">
            <v>D26002035</v>
          </cell>
          <cell r="AP4420">
            <v>0</v>
          </cell>
          <cell r="AQ4420">
            <v>31005000</v>
          </cell>
          <cell r="AV4420">
            <v>0</v>
          </cell>
        </row>
        <row r="4421">
          <cell r="E4421" t="str">
            <v>D26002035</v>
          </cell>
          <cell r="AP4421">
            <v>0</v>
          </cell>
          <cell r="AQ4421">
            <v>264195000</v>
          </cell>
          <cell r="AV4421">
            <v>0</v>
          </cell>
        </row>
        <row r="4422">
          <cell r="E4422" t="str">
            <v>D26002122</v>
          </cell>
          <cell r="AP4422">
            <v>0</v>
          </cell>
          <cell r="AQ4422">
            <v>42700000</v>
          </cell>
          <cell r="AV4422">
            <v>0</v>
          </cell>
        </row>
        <row r="4423">
          <cell r="E4423" t="str">
            <v>D26002122</v>
          </cell>
          <cell r="AP4423">
            <v>0</v>
          </cell>
          <cell r="AQ4423">
            <v>300000000</v>
          </cell>
          <cell r="AV4423">
            <v>0</v>
          </cell>
        </row>
        <row r="4424">
          <cell r="E4424" t="str">
            <v>D26002122</v>
          </cell>
          <cell r="AP4424">
            <v>0</v>
          </cell>
          <cell r="AQ4424">
            <v>19300000</v>
          </cell>
          <cell r="AV4424">
            <v>0</v>
          </cell>
        </row>
        <row r="4425">
          <cell r="E4425" t="str">
            <v>D26002123</v>
          </cell>
          <cell r="AP4425">
            <v>0</v>
          </cell>
          <cell r="AQ4425">
            <v>280700000</v>
          </cell>
          <cell r="AV4425">
            <v>0</v>
          </cell>
        </row>
        <row r="4426">
          <cell r="E4426" t="str">
            <v>D26002123</v>
          </cell>
          <cell r="AP4426">
            <v>0</v>
          </cell>
          <cell r="AQ4426">
            <v>123300000</v>
          </cell>
          <cell r="AV4426">
            <v>0</v>
          </cell>
        </row>
        <row r="4427">
          <cell r="E4427" t="str">
            <v>D26002148</v>
          </cell>
          <cell r="AP4427">
            <v>0</v>
          </cell>
          <cell r="AQ4427">
            <v>135805000</v>
          </cell>
          <cell r="AV4427">
            <v>0</v>
          </cell>
        </row>
        <row r="4428">
          <cell r="E4428" t="str">
            <v>D26002148</v>
          </cell>
          <cell r="AP4428">
            <v>0</v>
          </cell>
          <cell r="AQ4428">
            <v>293675000</v>
          </cell>
          <cell r="AV4428">
            <v>0</v>
          </cell>
        </row>
        <row r="4429">
          <cell r="E4429" t="str">
            <v>D26002149</v>
          </cell>
          <cell r="AP4429">
            <v>0</v>
          </cell>
          <cell r="AQ4429">
            <v>106325000</v>
          </cell>
          <cell r="AV4429">
            <v>0</v>
          </cell>
        </row>
        <row r="4430">
          <cell r="E4430" t="str">
            <v>D26002149</v>
          </cell>
          <cell r="AP4430">
            <v>0</v>
          </cell>
          <cell r="AQ4430">
            <v>323155000</v>
          </cell>
          <cell r="AV4430">
            <v>0</v>
          </cell>
        </row>
        <row r="4431">
          <cell r="E4431" t="str">
            <v>D26002150</v>
          </cell>
          <cell r="AP4431">
            <v>0</v>
          </cell>
          <cell r="AQ4431">
            <v>76845000</v>
          </cell>
          <cell r="AV4431">
            <v>0</v>
          </cell>
        </row>
        <row r="4432">
          <cell r="E4432" t="str">
            <v>D26002150</v>
          </cell>
          <cell r="AP4432">
            <v>0</v>
          </cell>
          <cell r="AQ4432">
            <v>120675000</v>
          </cell>
          <cell r="AV4432">
            <v>0</v>
          </cell>
        </row>
        <row r="4433">
          <cell r="E4433" t="str">
            <v>D26002166</v>
          </cell>
          <cell r="AP4433">
            <v>0</v>
          </cell>
          <cell r="AQ4433">
            <v>176700000</v>
          </cell>
          <cell r="AV4433">
            <v>0</v>
          </cell>
        </row>
        <row r="4434">
          <cell r="E4434" t="str">
            <v>D26002166</v>
          </cell>
          <cell r="AP4434">
            <v>0</v>
          </cell>
          <cell r="AQ4434">
            <v>300000000</v>
          </cell>
          <cell r="AV4434">
            <v>0</v>
          </cell>
        </row>
        <row r="4435">
          <cell r="E4435" t="str">
            <v>D26002166</v>
          </cell>
          <cell r="AP4435">
            <v>0</v>
          </cell>
          <cell r="AQ4435">
            <v>45300000</v>
          </cell>
          <cell r="AV4435">
            <v>0</v>
          </cell>
        </row>
        <row r="4436">
          <cell r="E4436" t="str">
            <v>D26002207</v>
          </cell>
          <cell r="AP4436">
            <v>0</v>
          </cell>
          <cell r="AQ4436">
            <v>144000000</v>
          </cell>
          <cell r="AV4436">
            <v>0</v>
          </cell>
        </row>
        <row r="4437">
          <cell r="E4437" t="str">
            <v>T26000150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D26002240</v>
          </cell>
          <cell r="AP4438">
            <v>0</v>
          </cell>
          <cell r="AQ4438">
            <v>72000000</v>
          </cell>
          <cell r="AV4438">
            <v>0</v>
          </cell>
        </row>
        <row r="4439">
          <cell r="E4439" t="str">
            <v>D26002284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D26002340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D26002341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D26002346</v>
          </cell>
          <cell r="AP4442">
            <v>0</v>
          </cell>
          <cell r="AQ4442">
            <v>63325000</v>
          </cell>
          <cell r="AV4442">
            <v>0</v>
          </cell>
        </row>
        <row r="4443">
          <cell r="E4443" t="str">
            <v>D26002346</v>
          </cell>
          <cell r="AP4443">
            <v>0</v>
          </cell>
          <cell r="AQ4443">
            <v>284675000</v>
          </cell>
          <cell r="AV4443">
            <v>0</v>
          </cell>
        </row>
        <row r="4444">
          <cell r="E4444" t="str">
            <v>B26002213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B26002214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D26002428</v>
          </cell>
          <cell r="AP4446">
            <v>0</v>
          </cell>
          <cell r="AQ4446">
            <v>254700000</v>
          </cell>
          <cell r="AV4446">
            <v>0</v>
          </cell>
        </row>
        <row r="4447">
          <cell r="E4447" t="str">
            <v>D26002428</v>
          </cell>
          <cell r="AP4447">
            <v>0</v>
          </cell>
          <cell r="AQ4447">
            <v>6300000</v>
          </cell>
          <cell r="AV4447">
            <v>0</v>
          </cell>
        </row>
        <row r="4448">
          <cell r="E4448" t="str">
            <v>D26002510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D26002583</v>
          </cell>
          <cell r="AP4449">
            <v>0</v>
          </cell>
          <cell r="AQ4449">
            <v>115325000</v>
          </cell>
          <cell r="AV4449">
            <v>0</v>
          </cell>
        </row>
        <row r="4450">
          <cell r="E4450" t="str">
            <v>D26002583</v>
          </cell>
          <cell r="AP4450">
            <v>0</v>
          </cell>
          <cell r="AQ4450">
            <v>295075000</v>
          </cell>
          <cell r="AV4450">
            <v>0</v>
          </cell>
        </row>
        <row r="4451">
          <cell r="E4451" t="str">
            <v>B26002468</v>
          </cell>
          <cell r="AP4451">
            <v>0</v>
          </cell>
          <cell r="AQ4451">
            <v>104925000</v>
          </cell>
          <cell r="AV4451">
            <v>0</v>
          </cell>
        </row>
        <row r="4452">
          <cell r="E4452" t="str">
            <v>B26002468</v>
          </cell>
          <cell r="AP4452">
            <v>0</v>
          </cell>
          <cell r="AQ4452">
            <v>214275000</v>
          </cell>
          <cell r="AV4452">
            <v>0</v>
          </cell>
        </row>
        <row r="4453">
          <cell r="E4453" t="str">
            <v>B26002473</v>
          </cell>
          <cell r="AP4453">
            <v>0</v>
          </cell>
          <cell r="AQ4453">
            <v>176000000</v>
          </cell>
          <cell r="AV4453">
            <v>0</v>
          </cell>
        </row>
        <row r="4454">
          <cell r="E4454" t="str">
            <v>D26002625</v>
          </cell>
          <cell r="AP4454">
            <v>0</v>
          </cell>
          <cell r="AQ4454">
            <v>9725000</v>
          </cell>
          <cell r="AV4454">
            <v>0</v>
          </cell>
        </row>
        <row r="4455">
          <cell r="E4455" t="str">
            <v>D26002625</v>
          </cell>
          <cell r="AP4455">
            <v>0</v>
          </cell>
          <cell r="AQ4455">
            <v>81475000</v>
          </cell>
          <cell r="AV4455">
            <v>0</v>
          </cell>
        </row>
        <row r="4456">
          <cell r="E4456" t="str">
            <v>D26002674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D26002675</v>
          </cell>
          <cell r="AP4457">
            <v>0</v>
          </cell>
          <cell r="AQ4457">
            <v>353500000</v>
          </cell>
          <cell r="AV4457">
            <v>0</v>
          </cell>
        </row>
        <row r="4458">
          <cell r="E4458" t="str">
            <v>D26002676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D26002677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B26002633</v>
          </cell>
          <cell r="AP4460">
            <v>0</v>
          </cell>
          <cell r="AQ4460">
            <v>318525000</v>
          </cell>
          <cell r="AV4460">
            <v>0</v>
          </cell>
        </row>
        <row r="4461">
          <cell r="E4461" t="str">
            <v>B26002633</v>
          </cell>
          <cell r="AP4461">
            <v>0</v>
          </cell>
          <cell r="AQ4461">
            <v>91875000</v>
          </cell>
          <cell r="AV4461">
            <v>0</v>
          </cell>
        </row>
        <row r="4462">
          <cell r="E4462" t="str">
            <v>D26002865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D26003000</v>
          </cell>
          <cell r="AP4463">
            <v>0</v>
          </cell>
          <cell r="AQ4463">
            <v>308125000</v>
          </cell>
          <cell r="AV4463">
            <v>0</v>
          </cell>
        </row>
        <row r="4464">
          <cell r="E4464" t="str">
            <v>D26003001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D26003108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D26003109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D26003110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D26003137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D26003161</v>
          </cell>
          <cell r="AP4469">
            <v>0</v>
          </cell>
          <cell r="AQ4469">
            <v>0</v>
          </cell>
          <cell r="AV4469">
            <v>0</v>
          </cell>
        </row>
        <row r="4470">
          <cell r="E4470" t="str">
            <v>D26003162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D26003176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D26003177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D26003178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D26003235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D26003256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D26003282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D26003283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D26003383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D26003384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D26003385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D26003386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D26003416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D26003426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B26003095</v>
          </cell>
          <cell r="AP4484">
            <v>0</v>
          </cell>
          <cell r="AQ4484">
            <v>0</v>
          </cell>
          <cell r="AV4484">
            <v>920000</v>
          </cell>
        </row>
        <row r="4485">
          <cell r="E4485" t="str">
            <v>B25016794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D26001145</v>
          </cell>
          <cell r="AP4486">
            <v>0</v>
          </cell>
          <cell r="AQ4486">
            <v>0</v>
          </cell>
          <cell r="AV4486">
            <v>2475000</v>
          </cell>
        </row>
        <row r="4487">
          <cell r="E4487" t="str">
            <v>T26000071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B26002171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D26003183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D26003184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B26001314</v>
          </cell>
          <cell r="AP4491">
            <v>0</v>
          </cell>
          <cell r="AQ4491">
            <v>0</v>
          </cell>
          <cell r="AV4491">
            <v>6545200</v>
          </cell>
        </row>
        <row r="4492">
          <cell r="E4492" t="str">
            <v>D26003300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T25001879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D26000261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B26001237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D26001211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B26002818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D26001553</v>
          </cell>
          <cell r="AP4498">
            <v>0</v>
          </cell>
          <cell r="AQ4498">
            <v>0</v>
          </cell>
          <cell r="AV4498">
            <v>4290000</v>
          </cell>
        </row>
        <row r="4499">
          <cell r="E4499" t="str">
            <v>D26003423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D26003447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D26001189</v>
          </cell>
          <cell r="AP4501">
            <v>0</v>
          </cell>
          <cell r="AQ4501">
            <v>0</v>
          </cell>
          <cell r="AV4501">
            <v>5650000</v>
          </cell>
        </row>
        <row r="4502">
          <cell r="E4502" t="str">
            <v>B26001457</v>
          </cell>
          <cell r="AP4502">
            <v>0</v>
          </cell>
          <cell r="AQ4502">
            <v>0</v>
          </cell>
          <cell r="AV4502">
            <v>10567500</v>
          </cell>
        </row>
        <row r="4503">
          <cell r="E4503" t="str">
            <v>D26002395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D26002396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B26002597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B26002598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B26000473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D26001005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B26001395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B26001556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B26001678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D26001834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B26001826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D26002065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B26002059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D26002329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B26002197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D26002851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D26002981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B26000779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B26002827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D23006230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N25000011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D26001425</v>
          </cell>
          <cell r="AP4524">
            <v>0</v>
          </cell>
          <cell r="AQ4524">
            <v>0</v>
          </cell>
          <cell r="AV4524">
            <v>2000000</v>
          </cell>
        </row>
        <row r="4525">
          <cell r="E4525" t="str">
            <v>D26001918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D26001948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B26002806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T26000210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D26003287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D25018905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D25019034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D25019035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D25019085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B25016745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D25019216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D25019236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D25019237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D25019267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D25019347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D25019451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D25019451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D25019452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D25019483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D25019486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D25019487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B26000130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D26000445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D26000474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D26000498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D26000499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D26000519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B26000598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D26000741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D26001098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D26001099</v>
          </cell>
          <cell r="AP4555">
            <v>0</v>
          </cell>
          <cell r="AQ4555">
            <v>0</v>
          </cell>
          <cell r="AV4555">
            <v>0</v>
          </cell>
        </row>
        <row r="4556">
          <cell r="E4556" t="str">
            <v>D26001116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B26001236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D26001366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T26000097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D26001501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D26001501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B26001449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D26001526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D26001591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D26001815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D26001863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B26001824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D26002175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D26002203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D26002206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B26002231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D26002450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B26002340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D26002553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D26002632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D26002643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D26002715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D26002721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D26002975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D26003105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B26003006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D26003227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D26003251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D26003252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D25017323</v>
          </cell>
          <cell r="AP4585">
            <v>0</v>
          </cell>
          <cell r="AQ4585">
            <v>0</v>
          </cell>
          <cell r="AV4585">
            <v>4500000</v>
          </cell>
        </row>
        <row r="4586">
          <cell r="E4586" t="str">
            <v>D25017324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B25015963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D25018569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B25017002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B25017003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B25017004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B25017041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B25017046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D26001049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D26001050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B26001138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D26003221</v>
          </cell>
          <cell r="AP4597">
            <v>0</v>
          </cell>
          <cell r="AQ4597">
            <v>0</v>
          </cell>
          <cell r="AV4597">
            <v>7256000</v>
          </cell>
        </row>
        <row r="4598">
          <cell r="E4598" t="str">
            <v>D26003166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D26003167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Z25003173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Z25003188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Z25003189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Z25003270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Z25003281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Z25003330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Z25003350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Z25003351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Z26000022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Z26000166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Z26000212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Z26000213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Z26000242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Z26000317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Z26000321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Z26000407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Z26000410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Z26000451</v>
          </cell>
          <cell r="AP4617">
            <v>0</v>
          </cell>
          <cell r="AQ4617">
            <v>0</v>
          </cell>
          <cell r="AV4617">
            <v>280000000</v>
          </cell>
        </row>
        <row r="4618">
          <cell r="E4618" t="str">
            <v>Z26000451</v>
          </cell>
          <cell r="AP4618">
            <v>0</v>
          </cell>
          <cell r="AQ4618">
            <v>0</v>
          </cell>
          <cell r="AV4618">
            <v>450000000</v>
          </cell>
        </row>
        <row r="4619">
          <cell r="E4619" t="str">
            <v>Z26000451</v>
          </cell>
          <cell r="AP4619">
            <v>0</v>
          </cell>
          <cell r="AQ4619">
            <v>0</v>
          </cell>
          <cell r="AV4619">
            <v>11038500</v>
          </cell>
        </row>
        <row r="4620">
          <cell r="E4620" t="str">
            <v>Z26000476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Z26000477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Z26000504</v>
          </cell>
          <cell r="AP4622">
            <v>0</v>
          </cell>
          <cell r="AQ4622">
            <v>0</v>
          </cell>
          <cell r="AV4622">
            <v>388961500</v>
          </cell>
        </row>
        <row r="4623">
          <cell r="E4623" t="str">
            <v>Z26000504</v>
          </cell>
          <cell r="AP4623">
            <v>0</v>
          </cell>
          <cell r="AQ4623">
            <v>0</v>
          </cell>
          <cell r="AV4623">
            <v>80000000</v>
          </cell>
        </row>
        <row r="4624">
          <cell r="E4624" t="str">
            <v>Z26000504</v>
          </cell>
          <cell r="AP4624">
            <v>0</v>
          </cell>
          <cell r="AQ4624">
            <v>0</v>
          </cell>
          <cell r="AV4624">
            <v>215000000</v>
          </cell>
        </row>
        <row r="4625">
          <cell r="E4625" t="str">
            <v>Z26000557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Z26000567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Z26000604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Z26000614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Z26000645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Z26000646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B26001819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B26002172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D26002947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D25019087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T26000252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D26003367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D26003368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D26003153</v>
          </cell>
          <cell r="AP4638">
            <v>0</v>
          </cell>
          <cell r="AQ4638">
            <v>0</v>
          </cell>
          <cell r="AV4638">
            <v>7745000</v>
          </cell>
        </row>
        <row r="4639">
          <cell r="E4639" t="str">
            <v>D26003159</v>
          </cell>
          <cell r="AP4639">
            <v>0</v>
          </cell>
          <cell r="AQ4639">
            <v>0</v>
          </cell>
          <cell r="AV4639">
            <v>2200000</v>
          </cell>
        </row>
        <row r="4640">
          <cell r="E4640" t="str">
            <v>B26001685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B26002384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B26002385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D26003016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D26003017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D26003019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D26003431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D26003432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B26000358</v>
          </cell>
          <cell r="AP4648">
            <v>0</v>
          </cell>
          <cell r="AQ4648">
            <v>0</v>
          </cell>
          <cell r="AV4648">
            <v>5050250</v>
          </cell>
        </row>
        <row r="4649">
          <cell r="E4649" t="str">
            <v>D26000464</v>
          </cell>
          <cell r="AP4649">
            <v>0</v>
          </cell>
          <cell r="AQ4649">
            <v>0</v>
          </cell>
          <cell r="AV4649">
            <v>9949750</v>
          </cell>
        </row>
        <row r="4650">
          <cell r="E4650" t="str">
            <v>B26001357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B26001358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B26001360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B26001403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D26003141</v>
          </cell>
          <cell r="AP4654">
            <v>0</v>
          </cell>
          <cell r="AQ4654">
            <v>0</v>
          </cell>
          <cell r="AV4654">
            <v>47500000</v>
          </cell>
        </row>
        <row r="4655">
          <cell r="E4655" t="str">
            <v>C26000182</v>
          </cell>
          <cell r="AP4655">
            <v>0</v>
          </cell>
          <cell r="AQ4655">
            <v>0</v>
          </cell>
          <cell r="AV4655">
            <v>1261000</v>
          </cell>
        </row>
        <row r="4656">
          <cell r="E4656" t="str">
            <v>B26001833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B26001835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B26001965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B26001990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D26002168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D26002293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D26001506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D26002614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D26001261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D26001329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B26001269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D26002565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B26003217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B26003019</v>
          </cell>
          <cell r="AP4669">
            <v>0</v>
          </cell>
          <cell r="AQ4669">
            <v>0</v>
          </cell>
          <cell r="AV4669">
            <v>2655000</v>
          </cell>
        </row>
        <row r="4670">
          <cell r="E4670" t="str">
            <v>B26003020</v>
          </cell>
          <cell r="AP4670">
            <v>0</v>
          </cell>
          <cell r="AQ4670">
            <v>0</v>
          </cell>
          <cell r="AV4670">
            <v>1503500</v>
          </cell>
        </row>
        <row r="4671">
          <cell r="E4671" t="str">
            <v>B26003021</v>
          </cell>
          <cell r="AP4671">
            <v>0</v>
          </cell>
          <cell r="AQ4671">
            <v>0</v>
          </cell>
          <cell r="AV4671">
            <v>993000</v>
          </cell>
        </row>
        <row r="4672">
          <cell r="E4672" t="str">
            <v>B26002400</v>
          </cell>
          <cell r="AP4672">
            <v>0</v>
          </cell>
          <cell r="AQ4672">
            <v>0</v>
          </cell>
          <cell r="AV4672">
            <v>22957600</v>
          </cell>
        </row>
        <row r="4673">
          <cell r="E4673" t="str">
            <v>B26002401</v>
          </cell>
          <cell r="AP4673">
            <v>0</v>
          </cell>
          <cell r="AQ4673">
            <v>0</v>
          </cell>
          <cell r="AV4673">
            <v>12160000</v>
          </cell>
        </row>
        <row r="4674">
          <cell r="E4674" t="str">
            <v>B26002410</v>
          </cell>
          <cell r="AP4674">
            <v>0</v>
          </cell>
          <cell r="AQ4674">
            <v>0</v>
          </cell>
          <cell r="AV4674">
            <v>1960000</v>
          </cell>
        </row>
        <row r="4675">
          <cell r="E4675" t="str">
            <v>D26002589</v>
          </cell>
          <cell r="AP4675">
            <v>0</v>
          </cell>
          <cell r="AQ4675">
            <v>0</v>
          </cell>
          <cell r="AV4675">
            <v>2510000</v>
          </cell>
        </row>
        <row r="4676">
          <cell r="E4676" t="str">
            <v>D26003364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D26003365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D26003366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D26000097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B26000169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B26000708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D26001724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B26001845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D26002070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D26002071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B26002096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B26002269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B26002601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B26002602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D26002775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B26002990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D26001910</v>
          </cell>
          <cell r="AP4692">
            <v>0</v>
          </cell>
          <cell r="AQ4692">
            <v>0</v>
          </cell>
          <cell r="AV4692">
            <v>1680000</v>
          </cell>
        </row>
        <row r="4693">
          <cell r="E4693" t="str">
            <v>B26002418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D26003035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B26003074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D26000405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D26002334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B26003232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B26001873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B26002765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B26002867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B26003065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Z26000048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D26002459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D26003220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Z26000612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D26003249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D26001612</v>
          </cell>
          <cell r="AP4708">
            <v>0</v>
          </cell>
          <cell r="AQ4708">
            <v>0</v>
          </cell>
          <cell r="AV4708">
            <v>1710000</v>
          </cell>
        </row>
        <row r="4709">
          <cell r="E4709" t="str">
            <v>D26001663</v>
          </cell>
          <cell r="AP4709">
            <v>500</v>
          </cell>
          <cell r="AQ4709">
            <v>0</v>
          </cell>
          <cell r="AV4709">
            <v>277000</v>
          </cell>
        </row>
        <row r="4710">
          <cell r="E4710" t="str">
            <v>D26001664</v>
          </cell>
          <cell r="AP4710">
            <v>0</v>
          </cell>
          <cell r="AQ4710">
            <v>0</v>
          </cell>
          <cell r="AV4710">
            <v>3360000</v>
          </cell>
        </row>
        <row r="4711">
          <cell r="E4711" t="str">
            <v>D26001789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D26001790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B26002028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B26002341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B26002350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D26002706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B26002572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D26002767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B26002690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D26002895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B26002810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B26002840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T26000118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C26000116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D26001654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B26001674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D26001998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B26001982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D26002536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B26002381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D26002571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B26002664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D26002839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D26003013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D26003014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B26002838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D26003342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D26003343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B26003220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B26003242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Z26000124</v>
          </cell>
          <cell r="AP4741">
            <v>7500000</v>
          </cell>
          <cell r="AQ4741">
            <v>0</v>
          </cell>
          <cell r="AV4741">
            <v>0</v>
          </cell>
        </row>
        <row r="4742">
          <cell r="E4742" t="str">
            <v>T26000043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Z26000135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Z26000161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Z26000200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Z26000205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Z26000282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Z26000390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Z26000463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Z26000485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Z26000521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Z26000587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Z26000616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Z26000621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T26000103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B26001499</v>
          </cell>
          <cell r="AP4756">
            <v>0</v>
          </cell>
          <cell r="AQ4756">
            <v>0</v>
          </cell>
          <cell r="AV4756">
            <v>3670000</v>
          </cell>
        </row>
        <row r="4757">
          <cell r="E4757" t="str">
            <v>T26000142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D25013643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T26000057K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D26003348</v>
          </cell>
          <cell r="AP4760">
            <v>0</v>
          </cell>
          <cell r="AQ4760">
            <v>0</v>
          </cell>
          <cell r="AV4760">
            <v>2805000</v>
          </cell>
        </row>
        <row r="4761">
          <cell r="E4761" t="str">
            <v>D26003349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D26001076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D26001626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D26001627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D26001931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D26002939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D26003002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B26001166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D26001234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B26001512</v>
          </cell>
          <cell r="AP4770">
            <v>0</v>
          </cell>
          <cell r="AQ4770">
            <v>0</v>
          </cell>
          <cell r="AV4770">
            <v>1840000</v>
          </cell>
        </row>
        <row r="4771">
          <cell r="E4771" t="str">
            <v>B26001558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D26001701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B26001708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D26001767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D26002278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D26002407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B26002330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D26002509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D26002575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D26002645</v>
          </cell>
          <cell r="AP4780">
            <v>0</v>
          </cell>
          <cell r="AQ4780">
            <v>0</v>
          </cell>
          <cell r="AV4780">
            <v>0</v>
          </cell>
        </row>
        <row r="4781">
          <cell r="E4781" t="str">
            <v>B26002490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B26002491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D26002846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D26003239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D26003489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D26001700</v>
          </cell>
          <cell r="AP4786">
            <v>0</v>
          </cell>
          <cell r="AQ4786">
            <v>0</v>
          </cell>
          <cell r="AV4786">
            <v>1300000</v>
          </cell>
        </row>
        <row r="4787">
          <cell r="E4787" t="str">
            <v>B26001922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D26002386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D26003043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T26000258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D26001785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D26002184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B26002211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B26002230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B26002472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D26002857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B26002693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B26002761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D26002983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B26002935</v>
          </cell>
          <cell r="AP4800">
            <v>0</v>
          </cell>
          <cell r="AQ4800">
            <v>0</v>
          </cell>
          <cell r="AV4800">
            <v>20800000</v>
          </cell>
        </row>
        <row r="4801">
          <cell r="E4801" t="str">
            <v>D26003254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N26000031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D25016428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D25016444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B25014380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B25014914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B25014915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B25014916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B25014917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B25014921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D25017196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B25016405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B25016539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B25016540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D25019392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D25019402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B26000529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B26000530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B26000643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D26000729</v>
          </cell>
          <cell r="AP4820">
            <v>0</v>
          </cell>
          <cell r="AQ4820">
            <v>0</v>
          </cell>
          <cell r="AV4820">
            <v>0</v>
          </cell>
        </row>
        <row r="4821">
          <cell r="E4821" t="str">
            <v>D26002722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D26002723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D26001356</v>
          </cell>
          <cell r="AP4823">
            <v>0</v>
          </cell>
          <cell r="AQ4823">
            <v>0</v>
          </cell>
          <cell r="AV4823">
            <v>1392500</v>
          </cell>
        </row>
        <row r="4824">
          <cell r="E4824" t="str">
            <v>D25019084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B25016980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B25016990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B25016991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B25016991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B25017032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D25019592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D25019597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B26000133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B26000462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D26000538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D26000723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D26000739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D26000739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B26000959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B26001021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B26001021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D26001118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D26001135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D26001136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D26001136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D26001241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B26001419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D26001572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D26001922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D26001922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D26001955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D26001956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D26002114</v>
          </cell>
          <cell r="AP4852">
            <v>0</v>
          </cell>
          <cell r="AQ4852">
            <v>0</v>
          </cell>
          <cell r="AV4852">
            <v>0</v>
          </cell>
        </row>
        <row r="4853">
          <cell r="E4853" t="str">
            <v>B26002191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B26002465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D26002716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D26002729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D26002968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B26002999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B26003002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B26003003</v>
          </cell>
          <cell r="AP4860">
            <v>0</v>
          </cell>
          <cell r="AQ4860">
            <v>0</v>
          </cell>
          <cell r="AV4860">
            <v>10500000</v>
          </cell>
        </row>
        <row r="4861">
          <cell r="E4861" t="str">
            <v>B26003233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B26000741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D26000835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D26001063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D26001561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B26001477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D26002915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D26002916</v>
          </cell>
          <cell r="AP4868">
            <v>0</v>
          </cell>
          <cell r="AQ4868">
            <v>0</v>
          </cell>
          <cell r="AV4868">
            <v>0</v>
          </cell>
        </row>
        <row r="4869">
          <cell r="E4869" t="str">
            <v>D26002933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Z26000035</v>
          </cell>
          <cell r="AP4870">
            <v>0</v>
          </cell>
          <cell r="AQ4870">
            <v>0</v>
          </cell>
          <cell r="AV4870">
            <v>6000000</v>
          </cell>
        </row>
        <row r="4871">
          <cell r="E4871" t="str">
            <v>Z26000233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D25015258</v>
          </cell>
          <cell r="AP4872">
            <v>0</v>
          </cell>
          <cell r="AQ4872">
            <v>0</v>
          </cell>
          <cell r="AV4872">
            <v>1000000</v>
          </cell>
        </row>
        <row r="4873">
          <cell r="E4873" t="str">
            <v>D26001097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B26002929</v>
          </cell>
          <cell r="AP4874">
            <v>0</v>
          </cell>
          <cell r="AQ4874">
            <v>0</v>
          </cell>
          <cell r="AV4874">
            <v>952500</v>
          </cell>
        </row>
        <row r="4875">
          <cell r="E4875" t="str">
            <v>B26003034</v>
          </cell>
          <cell r="AP4875">
            <v>0</v>
          </cell>
          <cell r="AQ4875">
            <v>0</v>
          </cell>
          <cell r="AV4875">
            <v>1720000</v>
          </cell>
        </row>
        <row r="4876">
          <cell r="E4876" t="str">
            <v>D26002637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D26000073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T26000014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D26002204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D26003250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B26001962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D26003156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D26003157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D26003158</v>
          </cell>
          <cell r="AP4884">
            <v>0</v>
          </cell>
          <cell r="AQ4884">
            <v>0</v>
          </cell>
          <cell r="AV4884">
            <v>25700000</v>
          </cell>
        </row>
        <row r="4885">
          <cell r="E4885" t="str">
            <v>T25001626K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T25001835k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T25001866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B26002275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B26002543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D26002859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T26000194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D26000176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B26002966</v>
          </cell>
          <cell r="AP4893">
            <v>0</v>
          </cell>
          <cell r="AQ4893">
            <v>0</v>
          </cell>
          <cell r="AV4893">
            <v>5000000</v>
          </cell>
        </row>
        <row r="4894">
          <cell r="E4894" t="str">
            <v>B26003050</v>
          </cell>
          <cell r="AP4894">
            <v>0</v>
          </cell>
          <cell r="AQ4894">
            <v>0</v>
          </cell>
          <cell r="AV4894">
            <v>500000</v>
          </cell>
        </row>
        <row r="4895">
          <cell r="E4895" t="str">
            <v>B26003051</v>
          </cell>
          <cell r="AP4895">
            <v>0</v>
          </cell>
          <cell r="AQ4895">
            <v>0</v>
          </cell>
          <cell r="AV4895">
            <v>9900000</v>
          </cell>
        </row>
        <row r="4896">
          <cell r="E4896" t="str">
            <v>D26003295</v>
          </cell>
          <cell r="AP4896">
            <v>0</v>
          </cell>
          <cell r="AQ4896">
            <v>0</v>
          </cell>
          <cell r="AV4896">
            <v>9950000</v>
          </cell>
        </row>
        <row r="4897">
          <cell r="E4897" t="str">
            <v>B26001416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B26001417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B26002184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D26003471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B25016307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B26001192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B26001657</v>
          </cell>
          <cell r="AP4903">
            <v>0</v>
          </cell>
          <cell r="AQ4903">
            <v>0</v>
          </cell>
          <cell r="AV4903">
            <v>19677500</v>
          </cell>
        </row>
        <row r="4904">
          <cell r="E4904" t="str">
            <v>D26001835</v>
          </cell>
          <cell r="AP4904">
            <v>0</v>
          </cell>
          <cell r="AQ4904">
            <v>0</v>
          </cell>
          <cell r="AV4904">
            <v>18096000</v>
          </cell>
        </row>
        <row r="4905">
          <cell r="E4905" t="str">
            <v>B26001907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D26002106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B26002056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B26002649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B26002787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T26000201k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B26000378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D26001960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T26000133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D26002376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B26002845</v>
          </cell>
          <cell r="AP4915">
            <v>0</v>
          </cell>
          <cell r="AQ4915">
            <v>0</v>
          </cell>
          <cell r="AV4915">
            <v>5360000</v>
          </cell>
        </row>
        <row r="4916">
          <cell r="E4916" t="str">
            <v>D25019695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B26001528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B26001529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D26001681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D26001813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D26002259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B26002651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D26003359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D26003360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D26003361</v>
          </cell>
          <cell r="AP4925">
            <v>0</v>
          </cell>
          <cell r="AQ4925">
            <v>0</v>
          </cell>
          <cell r="AV4925">
            <v>12600000</v>
          </cell>
        </row>
        <row r="4926">
          <cell r="E4926" t="str">
            <v>D26000026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D26000027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D26000216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D26000217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D26000218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B26000559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B26000560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B26000569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B26000570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D26001528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B26002039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D26003475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B26002200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B26003126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B26003219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D25018132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D25018308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B25016700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B26000038</v>
          </cell>
          <cell r="AP4944">
            <v>0</v>
          </cell>
          <cell r="AQ4944">
            <v>37950000</v>
          </cell>
          <cell r="AV4944">
            <v>0</v>
          </cell>
        </row>
        <row r="4945">
          <cell r="E4945" t="str">
            <v>B26000298</v>
          </cell>
          <cell r="AP4945">
            <v>0</v>
          </cell>
          <cell r="AQ4945">
            <v>22800000</v>
          </cell>
          <cell r="AV4945">
            <v>0</v>
          </cell>
        </row>
        <row r="4946">
          <cell r="E4946" t="str">
            <v>B26000593</v>
          </cell>
          <cell r="AP4946">
            <v>0</v>
          </cell>
          <cell r="AQ4946">
            <v>15817500</v>
          </cell>
          <cell r="AV4946">
            <v>0</v>
          </cell>
        </row>
        <row r="4947">
          <cell r="E4947" t="str">
            <v>D26000625</v>
          </cell>
          <cell r="AP4947">
            <v>0</v>
          </cell>
          <cell r="AQ4947">
            <v>3750000</v>
          </cell>
          <cell r="AV4947">
            <v>0</v>
          </cell>
        </row>
        <row r="4948">
          <cell r="E4948" t="str">
            <v>B26001110</v>
          </cell>
          <cell r="AP4948">
            <v>0</v>
          </cell>
          <cell r="AQ4948">
            <v>118970000</v>
          </cell>
          <cell r="AV4948">
            <v>0</v>
          </cell>
        </row>
        <row r="4949">
          <cell r="E4949" t="str">
            <v>B26001694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D26001787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D26002030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D26002361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B26002289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D26002511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D26003100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B26003066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D26003477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D26001851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D26001852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D26001885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B26001338</v>
          </cell>
          <cell r="AP4961">
            <v>0</v>
          </cell>
          <cell r="AQ4961">
            <v>0</v>
          </cell>
          <cell r="AV4961">
            <v>6050000</v>
          </cell>
        </row>
        <row r="4962">
          <cell r="E4962" t="str">
            <v>D26001400</v>
          </cell>
          <cell r="AP4962">
            <v>0</v>
          </cell>
          <cell r="AQ4962">
            <v>0</v>
          </cell>
          <cell r="AV4962">
            <v>1650000</v>
          </cell>
        </row>
        <row r="4963">
          <cell r="E4963" t="str">
            <v>D26001407</v>
          </cell>
          <cell r="AP4963">
            <v>0</v>
          </cell>
          <cell r="AQ4963">
            <v>0</v>
          </cell>
          <cell r="AV4963">
            <v>3086000</v>
          </cell>
        </row>
        <row r="4964">
          <cell r="E4964" t="str">
            <v>B26001661</v>
          </cell>
          <cell r="AP4964">
            <v>0</v>
          </cell>
          <cell r="AQ4964">
            <v>0</v>
          </cell>
          <cell r="AV4964">
            <v>2720000</v>
          </cell>
        </row>
        <row r="4965">
          <cell r="E4965" t="str">
            <v>B26002474</v>
          </cell>
          <cell r="AP4965">
            <v>0</v>
          </cell>
          <cell r="AQ4965">
            <v>0</v>
          </cell>
          <cell r="AV4965">
            <v>900000</v>
          </cell>
        </row>
        <row r="4966">
          <cell r="E4966" t="str">
            <v>B26003068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T26000261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B26000631</v>
          </cell>
          <cell r="AP4968">
            <v>0</v>
          </cell>
          <cell r="AQ4968">
            <v>0</v>
          </cell>
          <cell r="AV4968">
            <v>26305000</v>
          </cell>
        </row>
        <row r="4969">
          <cell r="E4969" t="str">
            <v>D26000774</v>
          </cell>
          <cell r="AP4969">
            <v>0</v>
          </cell>
          <cell r="AQ4969">
            <v>0</v>
          </cell>
          <cell r="AV4969">
            <v>8280000</v>
          </cell>
        </row>
        <row r="4970">
          <cell r="E4970" t="str">
            <v>B26000805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B26000817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B26000921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D26001125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B26001300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B26001312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D26001536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D26001656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D26001657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D26001659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B26001679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B26001769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B26001770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B26001776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B26001941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D26002133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B26002264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B26002280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B26002305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D26002501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B26002553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D26002708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B26002635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B26002654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B26002668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D26002874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>
            <v>260019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D26002885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B26002770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B26002773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B26002798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D26002950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B26002862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D26003089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B26003028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B26003029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B26003082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D26003248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D26003307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D26003326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B26003102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B26003106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D26003408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D26003525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D26001795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D26002506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B26002732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Z26000304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Z26000322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Z26000542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Z26000543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Z26000618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D26000420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D26000897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D26000972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D26000997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N26000008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B26001351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B26001387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D26001456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D26002438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D26002497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D26002521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B26002938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B26002941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D26003071</v>
          </cell>
          <cell r="AP5035">
            <v>0</v>
          </cell>
          <cell r="AQ5035">
            <v>0</v>
          </cell>
          <cell r="AV5035">
            <v>1460000</v>
          </cell>
        </row>
        <row r="5036">
          <cell r="E5036" t="str">
            <v>B26002873</v>
          </cell>
          <cell r="AP5036">
            <v>0</v>
          </cell>
          <cell r="AQ5036">
            <v>0</v>
          </cell>
          <cell r="AV5036">
            <v>1660000</v>
          </cell>
        </row>
        <row r="5037">
          <cell r="E5037" t="str">
            <v>D26003119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D26001008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D26001441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D26001442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D26002961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N26000028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D25018899</v>
          </cell>
          <cell r="AP5043">
            <v>0</v>
          </cell>
          <cell r="AQ5043">
            <v>0</v>
          </cell>
          <cell r="AV5043">
            <v>26400000</v>
          </cell>
        </row>
        <row r="5044">
          <cell r="E5044" t="str">
            <v>D25019659</v>
          </cell>
          <cell r="AP5044">
            <v>0</v>
          </cell>
          <cell r="AQ5044">
            <v>0</v>
          </cell>
          <cell r="AV5044">
            <v>20625000</v>
          </cell>
        </row>
        <row r="5045">
          <cell r="E5045" t="str">
            <v>D26000263</v>
          </cell>
          <cell r="AP5045">
            <v>0</v>
          </cell>
          <cell r="AQ5045">
            <v>0</v>
          </cell>
          <cell r="AV5045">
            <v>1606250</v>
          </cell>
        </row>
        <row r="5046">
          <cell r="E5046" t="str">
            <v>D26000283</v>
          </cell>
          <cell r="AP5046">
            <v>0</v>
          </cell>
          <cell r="AQ5046">
            <v>0</v>
          </cell>
          <cell r="AV5046">
            <v>68400000</v>
          </cell>
        </row>
        <row r="5047">
          <cell r="E5047" t="str">
            <v>D26000297</v>
          </cell>
          <cell r="AP5047">
            <v>0</v>
          </cell>
          <cell r="AQ5047">
            <v>0</v>
          </cell>
          <cell r="AV5047">
            <v>11100000</v>
          </cell>
        </row>
        <row r="5048">
          <cell r="E5048" t="str">
            <v>D26000394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D26000407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D26000450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B26000616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D26000636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D26000821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T26000041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B26000970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B26000998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B26001226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D26001330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B26001270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B26001405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D26001530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B26001696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D26001919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D26001921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B26001981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B26002093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D26002244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B26002255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B26002390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D26002567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D26002602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B26002662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B26002670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B26002707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B26002735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D26002973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B26003152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B26003153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L26000011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D26003449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B26002901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D26003472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D25019147</v>
          </cell>
          <cell r="AP5083">
            <v>0</v>
          </cell>
          <cell r="AQ5083">
            <v>0</v>
          </cell>
          <cell r="AV5083">
            <v>1198150</v>
          </cell>
        </row>
        <row r="5084">
          <cell r="E5084" t="str">
            <v>B26000081</v>
          </cell>
          <cell r="AP5084">
            <v>0</v>
          </cell>
          <cell r="AQ5084">
            <v>0</v>
          </cell>
          <cell r="AV5084">
            <v>851850</v>
          </cell>
        </row>
        <row r="5085">
          <cell r="E5085" t="str">
            <v>B26000081</v>
          </cell>
          <cell r="AP5085">
            <v>0</v>
          </cell>
          <cell r="AQ5085">
            <v>0</v>
          </cell>
          <cell r="AV5085">
            <v>1050000</v>
          </cell>
        </row>
        <row r="5086">
          <cell r="E5086" t="str">
            <v>B26000082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B26000083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D26000675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D26001080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D26001081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D26001123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D26002250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D26002251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D26002252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D26002271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D26002600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D26002601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N26000023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B26002832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B26002833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D25019432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D25019433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D25019434</v>
          </cell>
          <cell r="AP5103">
            <v>79200000</v>
          </cell>
          <cell r="AQ5103">
            <v>0</v>
          </cell>
          <cell r="AV5103">
            <v>0</v>
          </cell>
        </row>
        <row r="5104">
          <cell r="E5104" t="str">
            <v>D25019435</v>
          </cell>
          <cell r="AP5104">
            <v>222908000</v>
          </cell>
          <cell r="AQ5104">
            <v>0</v>
          </cell>
          <cell r="AV5104">
            <v>0</v>
          </cell>
        </row>
        <row r="5105">
          <cell r="E5105" t="str">
            <v>D25019436</v>
          </cell>
          <cell r="AP5105">
            <v>141537500</v>
          </cell>
          <cell r="AQ5105">
            <v>0</v>
          </cell>
          <cell r="AV5105">
            <v>0</v>
          </cell>
        </row>
        <row r="5106">
          <cell r="E5106" t="str">
            <v>D25019437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N25000086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D26002965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D26002999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T26000175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D26001723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B26001157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D26002313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D26003053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T25001874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B26000120</v>
          </cell>
          <cell r="AP5116">
            <v>0</v>
          </cell>
          <cell r="AQ5116">
            <v>0</v>
          </cell>
          <cell r="AV5116">
            <v>20000000</v>
          </cell>
        </row>
        <row r="5117">
          <cell r="E5117" t="str">
            <v>B26000120</v>
          </cell>
          <cell r="AP5117">
            <v>0</v>
          </cell>
          <cell r="AQ5117">
            <v>0</v>
          </cell>
          <cell r="AV5117">
            <v>9879000</v>
          </cell>
        </row>
        <row r="5118">
          <cell r="E5118" t="str">
            <v>D26000204</v>
          </cell>
          <cell r="AP5118">
            <v>0</v>
          </cell>
          <cell r="AQ5118">
            <v>0</v>
          </cell>
          <cell r="AV5118">
            <v>5121000</v>
          </cell>
        </row>
        <row r="5119">
          <cell r="E5119" t="str">
            <v>D26000598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D26000610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B26000874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D26000932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B26000954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B26000991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B26001002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D26001576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D26001577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D26001578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B26001971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B26002092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B26002251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D26002629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B26002562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D26003037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D26003054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D26003073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B26000160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D26000049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D26000128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D26000313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D26000329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D26000360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D26000409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D26000453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B26000420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B26000458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B26000480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B26000481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B26000493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D26000483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D26000487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B26000629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B26000834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B26000898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D26001267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B26001257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D26001332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D26001391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D26001598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D26001697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B26001612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D26001821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D26002027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D26002092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B26001987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B26001987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B26001988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B26002120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B26002155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D26002305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D26002337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D26002482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B26002380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D26002551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D26002612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B26002528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D26002868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B26002841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B26002841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D26003125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D26003234</v>
          </cell>
          <cell r="AP5181">
            <v>0</v>
          </cell>
          <cell r="AQ5181">
            <v>9400000</v>
          </cell>
          <cell r="AV5181">
            <v>0</v>
          </cell>
        </row>
        <row r="5182">
          <cell r="E5182" t="str">
            <v>B26003107</v>
          </cell>
          <cell r="AP5182">
            <v>0</v>
          </cell>
          <cell r="AQ5182">
            <v>2250000</v>
          </cell>
          <cell r="AV5182">
            <v>0</v>
          </cell>
        </row>
        <row r="5183">
          <cell r="E5183" t="str">
            <v>B26003108</v>
          </cell>
          <cell r="AP5183">
            <v>0</v>
          </cell>
          <cell r="AQ5183">
            <v>5700000</v>
          </cell>
          <cell r="AV5183">
            <v>0</v>
          </cell>
        </row>
        <row r="5184">
          <cell r="E5184" t="str">
            <v>B26003109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D26003337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D26003389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D26003410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T26000283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T25001880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B26000964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B26000965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D26002347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B26001149</v>
          </cell>
          <cell r="AP5193">
            <v>0</v>
          </cell>
          <cell r="AQ5193">
            <v>0</v>
          </cell>
          <cell r="AV5193">
            <v>5000000</v>
          </cell>
        </row>
        <row r="5194">
          <cell r="E5194" t="str">
            <v>D26001262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D26001395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D26001803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D26002858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T26000228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B26001600</v>
          </cell>
          <cell r="AP5199">
            <v>0</v>
          </cell>
          <cell r="AQ5199">
            <v>0</v>
          </cell>
          <cell r="AV5199">
            <v>1830000</v>
          </cell>
        </row>
        <row r="5200">
          <cell r="E5200" t="str">
            <v>B26001601</v>
          </cell>
          <cell r="AP5200">
            <v>0</v>
          </cell>
          <cell r="AQ5200">
            <v>0</v>
          </cell>
          <cell r="AV5200">
            <v>2500000</v>
          </cell>
        </row>
        <row r="5201">
          <cell r="E5201" t="str">
            <v>B26001737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D26003026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D26000414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D26000734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D26001284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D26003091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B25012496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D25017825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B25015450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B25016277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B25016844</v>
          </cell>
          <cell r="AP5211">
            <v>0</v>
          </cell>
          <cell r="AQ5211">
            <v>0</v>
          </cell>
          <cell r="AV5211">
            <v>5000000</v>
          </cell>
        </row>
        <row r="5212">
          <cell r="E5212" t="str">
            <v>B26000009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D26000119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B26000200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D26000281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D26000374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D26000759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D26000773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D26000980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B26001098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B26001931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D26002064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B26002304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B26002375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B26002376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B26002593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D26003117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>
            <v>260021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B26000622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B26000775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B26001262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T26000105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D26002855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B26002819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B26002820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D25019227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D25019279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D26001292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D26001420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D26001523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D26001981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D26002085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D26002140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B26002067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D26002422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D26002639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D26002333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B26002882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B26001309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T26000248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T26000249</v>
          </cell>
          <cell r="AP5251">
            <v>0</v>
          </cell>
          <cell r="AQ5251">
            <v>0</v>
          </cell>
          <cell r="AV5251">
            <v>6240000</v>
          </cell>
        </row>
        <row r="5252">
          <cell r="E5252" t="str">
            <v>D26000429</v>
          </cell>
          <cell r="AP5252">
            <v>0</v>
          </cell>
          <cell r="AQ5252">
            <v>0</v>
          </cell>
          <cell r="AV5252">
            <v>19050000</v>
          </cell>
        </row>
        <row r="5253">
          <cell r="E5253" t="str">
            <v>B25015859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D25018274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B26000337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D26000722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D26000854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D26001994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B26001975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D26002104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D26002112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D26002201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D26002215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D26002411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D26002528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D26003058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D26003059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D26003075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D26003080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B26002881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D26003111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B26002974</v>
          </cell>
          <cell r="AP5272">
            <v>0</v>
          </cell>
          <cell r="AQ5272">
            <v>0</v>
          </cell>
          <cell r="AV5272">
            <v>2800000</v>
          </cell>
        </row>
        <row r="5273">
          <cell r="E5273" t="str">
            <v>D26003292</v>
          </cell>
          <cell r="AP5273">
            <v>0</v>
          </cell>
          <cell r="AQ5273">
            <v>0</v>
          </cell>
          <cell r="AV5273">
            <v>5300000</v>
          </cell>
        </row>
        <row r="5274">
          <cell r="E5274" t="str">
            <v>B25016188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B26000859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T25001868</v>
          </cell>
          <cell r="AP5276">
            <v>0</v>
          </cell>
          <cell r="AQ5276">
            <v>0</v>
          </cell>
          <cell r="AV5276">
            <v>1560000</v>
          </cell>
        </row>
        <row r="5277">
          <cell r="E5277" t="str">
            <v>T26000066k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B26001273</v>
          </cell>
          <cell r="AP5278">
            <v>0</v>
          </cell>
          <cell r="AQ5278">
            <v>0</v>
          </cell>
          <cell r="AV5278">
            <v>1760000</v>
          </cell>
        </row>
        <row r="5279">
          <cell r="E5279" t="str">
            <v>B26001831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B26002310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B26002697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D26003209</v>
          </cell>
          <cell r="AP5282">
            <v>0</v>
          </cell>
          <cell r="AQ5282">
            <v>0</v>
          </cell>
          <cell r="AV5282">
            <v>3600000</v>
          </cell>
        </row>
        <row r="5283">
          <cell r="E5283" t="str">
            <v>T25001818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B26001944</v>
          </cell>
          <cell r="AP5284">
            <v>0</v>
          </cell>
          <cell r="AQ5284">
            <v>0</v>
          </cell>
          <cell r="AV5284">
            <v>70000000</v>
          </cell>
        </row>
        <row r="5285">
          <cell r="E5285" t="str">
            <v>B26001963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D26003084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D26003407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D26003419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D26003420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B26000454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D26003510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T25001515k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T25001519K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D26002285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D26002296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D25015675</v>
          </cell>
          <cell r="AP5296">
            <v>0</v>
          </cell>
          <cell r="AQ5296">
            <v>0</v>
          </cell>
          <cell r="AV5296">
            <v>9700000</v>
          </cell>
        </row>
        <row r="5297">
          <cell r="E5297" t="str">
            <v>B25014895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D25017233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B25015498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B25015508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B25015667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B25015981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T25001821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D25018765</v>
          </cell>
          <cell r="AP5304">
            <v>0</v>
          </cell>
          <cell r="AQ5304">
            <v>0</v>
          </cell>
          <cell r="AV5304">
            <v>300000</v>
          </cell>
        </row>
        <row r="5305">
          <cell r="E5305" t="str">
            <v>B25016753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T25001877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B25016907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B25016909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D26000033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D26000041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D26000042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B26000271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B26000335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D26000591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D26000816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D26000831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B26001161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D26001238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D26001378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D26001908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D26002060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B26002342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D26003155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D26003180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D26003363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T26000268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B26000718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D26001206</v>
          </cell>
          <cell r="AP5328">
            <v>0</v>
          </cell>
          <cell r="AQ5328">
            <v>0</v>
          </cell>
          <cell r="AV5328">
            <v>1175000</v>
          </cell>
        </row>
        <row r="5329">
          <cell r="E5329" t="str">
            <v>B26001142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B26001158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D26001411</v>
          </cell>
          <cell r="AP5331">
            <v>0</v>
          </cell>
          <cell r="AQ5331">
            <v>0</v>
          </cell>
          <cell r="AV5331">
            <v>2450000</v>
          </cell>
        </row>
        <row r="5332">
          <cell r="E5332" t="str">
            <v>D26001470</v>
          </cell>
          <cell r="AP5332">
            <v>0</v>
          </cell>
          <cell r="AQ5332">
            <v>0</v>
          </cell>
          <cell r="AV5332">
            <v>875000</v>
          </cell>
        </row>
        <row r="5333">
          <cell r="E5333" t="str">
            <v>B26002337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B26002338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B26003040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B26003222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D26000488</v>
          </cell>
          <cell r="AP5337">
            <v>0</v>
          </cell>
          <cell r="AQ5337">
            <v>0</v>
          </cell>
          <cell r="AV5337">
            <v>2160000</v>
          </cell>
        </row>
        <row r="5338">
          <cell r="E5338" t="str">
            <v>D26000489</v>
          </cell>
          <cell r="AP5338">
            <v>0</v>
          </cell>
          <cell r="AQ5338">
            <v>0</v>
          </cell>
          <cell r="AV5338">
            <v>1080000</v>
          </cell>
        </row>
        <row r="5339">
          <cell r="E5339" t="str">
            <v>D26003358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B26000388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B26000443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B26000476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B26001014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T26000101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B26001926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B26001927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B26001994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D26002693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B26003159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B26003160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D26003338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D25017643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B25015410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B25015462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D25018207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D25019018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D25019607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B26000124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B26000372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B26000495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B26001120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B26001210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B26001520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B26001579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D26003214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D26003215</v>
          </cell>
          <cell r="AP5366">
            <v>0</v>
          </cell>
          <cell r="AQ5366">
            <v>0</v>
          </cell>
          <cell r="AV5366">
            <v>158000000</v>
          </cell>
        </row>
        <row r="5367">
          <cell r="E5367" t="str">
            <v>B26002685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Z26000291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Z26000370</v>
          </cell>
          <cell r="AP5369">
            <v>0</v>
          </cell>
          <cell r="AQ5369">
            <v>0</v>
          </cell>
          <cell r="AV5369">
            <v>0</v>
          </cell>
        </row>
        <row r="5370">
          <cell r="E5370" t="str">
            <v>Z26000526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Z26000571</v>
          </cell>
          <cell r="AP5371">
            <v>0</v>
          </cell>
          <cell r="AQ5371">
            <v>0</v>
          </cell>
          <cell r="AV5371">
            <v>8280000</v>
          </cell>
        </row>
        <row r="5372">
          <cell r="E5372" t="str">
            <v>Z26000576</v>
          </cell>
          <cell r="AP5372">
            <v>0</v>
          </cell>
          <cell r="AQ5372">
            <v>0</v>
          </cell>
          <cell r="AV5372">
            <v>1800000</v>
          </cell>
        </row>
        <row r="5373">
          <cell r="E5373" t="str">
            <v>Z26000613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Z26000623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Z26000628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Z26000629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D25019447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D26000051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D26000052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D26000069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B26000725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B26000727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B26000891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B26000892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B26000893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B26000923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B26000945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B26001018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B26001594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D26000087</v>
          </cell>
          <cell r="AP5390">
            <v>0</v>
          </cell>
          <cell r="AQ5390">
            <v>0</v>
          </cell>
          <cell r="AV5390">
            <v>40500000</v>
          </cell>
        </row>
        <row r="5391">
          <cell r="E5391" t="str">
            <v>D26000404</v>
          </cell>
          <cell r="AP5391">
            <v>0</v>
          </cell>
          <cell r="AQ5391">
            <v>0</v>
          </cell>
          <cell r="AV5391">
            <v>42714000</v>
          </cell>
        </row>
        <row r="5392">
          <cell r="E5392" t="str">
            <v>B26000928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D26001385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D26001436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D26001488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D26001503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D26001505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D26001527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D26001816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D26001831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D26001913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D26002222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D26002449</v>
          </cell>
          <cell r="AP5403">
            <v>0</v>
          </cell>
          <cell r="AQ5403">
            <v>0</v>
          </cell>
          <cell r="AV5403">
            <v>0</v>
          </cell>
        </row>
        <row r="5404">
          <cell r="E5404" t="str">
            <v>B26002507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B26002753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D26002967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D26003394</v>
          </cell>
          <cell r="AP5407">
            <v>0</v>
          </cell>
          <cell r="AQ5407">
            <v>0</v>
          </cell>
          <cell r="AV5407">
            <v>0</v>
          </cell>
        </row>
        <row r="5408">
          <cell r="E5408" t="str">
            <v>B26000519</v>
          </cell>
          <cell r="AP5408">
            <v>0</v>
          </cell>
          <cell r="AQ5408">
            <v>0</v>
          </cell>
          <cell r="AV5408">
            <v>3480000</v>
          </cell>
        </row>
        <row r="5409">
          <cell r="E5409" t="str">
            <v>B26000520</v>
          </cell>
          <cell r="AP5409">
            <v>0</v>
          </cell>
          <cell r="AQ5409">
            <v>0</v>
          </cell>
          <cell r="AV5409">
            <v>6000000</v>
          </cell>
        </row>
        <row r="5410">
          <cell r="E5410" t="str">
            <v>B26000822</v>
          </cell>
          <cell r="AP5410">
            <v>0</v>
          </cell>
          <cell r="AQ5410">
            <v>0</v>
          </cell>
          <cell r="AV5410">
            <v>6530000</v>
          </cell>
        </row>
        <row r="5411">
          <cell r="E5411" t="str">
            <v>B26000833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B26000880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D26000985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B26000990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D26001048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D26001208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D26001271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D26001278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B26001235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D26001374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B26001631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D26001788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B26001829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B26001836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B26001837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D26001944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B26001905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D26002147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B26002158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D26002307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B26002431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B26002432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D26002642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B26002573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D26002769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D26002898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D26002899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D26002900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D26003258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B26003142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B26003190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D26003406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D26003424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B25016192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B26002994</v>
          </cell>
          <cell r="AP5445">
            <v>0</v>
          </cell>
          <cell r="AQ5445">
            <v>0</v>
          </cell>
          <cell r="AV5445">
            <v>425000</v>
          </cell>
        </row>
        <row r="5446">
          <cell r="E5446" t="str">
            <v>D25018171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D25018568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D25019184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D25019476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D25019477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B25017143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D26000064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D26000065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D26002003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D26002039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B26002398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D26003462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T25001776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Z26000017</v>
          </cell>
          <cell r="AP5459">
            <v>0</v>
          </cell>
          <cell r="AQ5459">
            <v>0</v>
          </cell>
          <cell r="AV5459">
            <v>55800000</v>
          </cell>
        </row>
        <row r="5460">
          <cell r="E5460" t="str">
            <v>Z26000389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Z26000615</v>
          </cell>
          <cell r="AP5461">
            <v>0</v>
          </cell>
          <cell r="AQ5461">
            <v>0</v>
          </cell>
          <cell r="AV5461">
            <v>2520000</v>
          </cell>
        </row>
        <row r="5462">
          <cell r="E5462" t="str">
            <v>Z26000649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D26002417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D26002418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D26002419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B26002446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B26002447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B26002448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B26002611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B26002703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Z25003241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Z26000025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Z26000237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Z26000392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T26000156</v>
          </cell>
          <cell r="AP5475">
            <v>0</v>
          </cell>
          <cell r="AQ5475">
            <v>0</v>
          </cell>
          <cell r="AV5475">
            <v>2885000</v>
          </cell>
        </row>
        <row r="5476">
          <cell r="E5476" t="str">
            <v>D25018685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D25018685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D25018685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B25016581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D25019309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B25016921</v>
          </cell>
          <cell r="AP5481">
            <v>0</v>
          </cell>
          <cell r="AQ5481">
            <v>0</v>
          </cell>
          <cell r="AV5481">
            <v>0</v>
          </cell>
        </row>
        <row r="5482">
          <cell r="E5482" t="str">
            <v>B25016989</v>
          </cell>
          <cell r="AP5482">
            <v>0</v>
          </cell>
          <cell r="AQ5482">
            <v>0</v>
          </cell>
          <cell r="AV5482">
            <v>0</v>
          </cell>
        </row>
        <row r="5483">
          <cell r="E5483" t="str">
            <v>D25019644</v>
          </cell>
          <cell r="AP5483">
            <v>0</v>
          </cell>
          <cell r="AQ5483">
            <v>0</v>
          </cell>
          <cell r="AV5483">
            <v>0</v>
          </cell>
        </row>
        <row r="5484">
          <cell r="E5484" t="str">
            <v>B26000063</v>
          </cell>
          <cell r="AP5484">
            <v>0</v>
          </cell>
          <cell r="AQ5484">
            <v>0</v>
          </cell>
          <cell r="AV5484">
            <v>0</v>
          </cell>
        </row>
        <row r="5485">
          <cell r="E5485" t="str">
            <v>B26000309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B26000320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B26000492</v>
          </cell>
          <cell r="AP5487">
            <v>0</v>
          </cell>
          <cell r="AQ5487">
            <v>0</v>
          </cell>
          <cell r="AV5487">
            <v>0</v>
          </cell>
        </row>
        <row r="5488">
          <cell r="E5488" t="str">
            <v>B26000604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B26000732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B26001066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B26001148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B26001443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B26001443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B26001448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B26001750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D26002090</v>
          </cell>
          <cell r="AP5496">
            <v>0</v>
          </cell>
          <cell r="AQ5496">
            <v>92295000</v>
          </cell>
          <cell r="AV5496">
            <v>0</v>
          </cell>
        </row>
        <row r="5497">
          <cell r="E5497" t="str">
            <v>D26002117</v>
          </cell>
          <cell r="AP5497">
            <v>0</v>
          </cell>
          <cell r="AQ5497">
            <v>128760000</v>
          </cell>
          <cell r="AV5497">
            <v>0</v>
          </cell>
        </row>
        <row r="5498">
          <cell r="E5498" t="str">
            <v>D26002129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D26002141</v>
          </cell>
          <cell r="AP5499">
            <v>0</v>
          </cell>
          <cell r="AQ5499">
            <v>0</v>
          </cell>
          <cell r="AV5499">
            <v>349325000</v>
          </cell>
        </row>
        <row r="5500">
          <cell r="E5500" t="str">
            <v>D26002141</v>
          </cell>
          <cell r="AP5500">
            <v>4675000</v>
          </cell>
          <cell r="AQ5500">
            <v>0</v>
          </cell>
          <cell r="AV5500">
            <v>0</v>
          </cell>
        </row>
        <row r="5501">
          <cell r="E5501" t="str">
            <v>B26002079</v>
          </cell>
          <cell r="AP5501">
            <v>0</v>
          </cell>
          <cell r="AQ5501">
            <v>70000000</v>
          </cell>
          <cell r="AV5501">
            <v>0</v>
          </cell>
        </row>
        <row r="5502">
          <cell r="E5502" t="str">
            <v>D26002287</v>
          </cell>
          <cell r="AP5502">
            <v>0</v>
          </cell>
          <cell r="AQ5502">
            <v>228750000</v>
          </cell>
          <cell r="AV5502">
            <v>0</v>
          </cell>
        </row>
        <row r="5503">
          <cell r="E5503" t="str">
            <v>D26002288</v>
          </cell>
          <cell r="AP5503">
            <v>0</v>
          </cell>
          <cell r="AQ5503">
            <v>77000000</v>
          </cell>
          <cell r="AV5503">
            <v>0</v>
          </cell>
        </row>
        <row r="5504">
          <cell r="E5504" t="str">
            <v>B26002177</v>
          </cell>
          <cell r="AP5504">
            <v>0</v>
          </cell>
          <cell r="AQ5504">
            <v>13040000</v>
          </cell>
          <cell r="AV5504">
            <v>0</v>
          </cell>
        </row>
        <row r="5505">
          <cell r="E5505" t="str">
            <v>D26002321</v>
          </cell>
          <cell r="AP5505">
            <v>0</v>
          </cell>
          <cell r="AQ5505">
            <v>7325000</v>
          </cell>
          <cell r="AV5505">
            <v>0</v>
          </cell>
        </row>
        <row r="5506">
          <cell r="E5506" t="str">
            <v>D26002327</v>
          </cell>
          <cell r="AP5506">
            <v>0</v>
          </cell>
          <cell r="AQ5506">
            <v>10625000</v>
          </cell>
          <cell r="AV5506">
            <v>0</v>
          </cell>
        </row>
        <row r="5507">
          <cell r="E5507" t="str">
            <v>B26002203</v>
          </cell>
          <cell r="AP5507">
            <v>0</v>
          </cell>
          <cell r="AQ5507">
            <v>10625000</v>
          </cell>
          <cell r="AV5507">
            <v>0</v>
          </cell>
        </row>
        <row r="5508">
          <cell r="E5508" t="str">
            <v>B26002235</v>
          </cell>
          <cell r="AP5508">
            <v>0</v>
          </cell>
          <cell r="AQ5508">
            <v>43200000</v>
          </cell>
          <cell r="AV5508">
            <v>0</v>
          </cell>
        </row>
        <row r="5509">
          <cell r="E5509" t="str">
            <v>D26002866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D26002922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D26002923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B26002945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D26003255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D26003314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D26003352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B26003243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D26003526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D26000278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D26000894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B26001850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D26001986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B26002848</v>
          </cell>
          <cell r="AP5522">
            <v>0</v>
          </cell>
          <cell r="AQ5522">
            <v>0</v>
          </cell>
          <cell r="AV5522">
            <v>1300000</v>
          </cell>
        </row>
        <row r="5523">
          <cell r="E5523" t="str">
            <v>B26002951</v>
          </cell>
          <cell r="AP5523">
            <v>0</v>
          </cell>
          <cell r="AQ5523">
            <v>0</v>
          </cell>
          <cell r="AV5523">
            <v>1040000</v>
          </cell>
        </row>
        <row r="5524">
          <cell r="E5524" t="str">
            <v>B26003062</v>
          </cell>
          <cell r="AP5524">
            <v>0</v>
          </cell>
          <cell r="AQ5524">
            <v>0</v>
          </cell>
          <cell r="AV5524">
            <v>1300000</v>
          </cell>
        </row>
        <row r="5525">
          <cell r="E5525" t="str">
            <v>D26001666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B26003244</v>
          </cell>
          <cell r="AP5526">
            <v>0</v>
          </cell>
          <cell r="AQ5526">
            <v>0</v>
          </cell>
          <cell r="AV5526">
            <v>4997500</v>
          </cell>
        </row>
        <row r="5527">
          <cell r="E5527" t="str">
            <v>R25000016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B26000594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B26000595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D26000651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D26002896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D26002946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T25001865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D26003265</v>
          </cell>
          <cell r="AP5534">
            <v>0</v>
          </cell>
          <cell r="AQ5534">
            <v>0</v>
          </cell>
          <cell r="AV5534">
            <v>4950000</v>
          </cell>
        </row>
        <row r="5535">
          <cell r="E5535" t="str">
            <v>B26002705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D26002935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D26003090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T26000227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T26000088k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B26001517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D26003185</v>
          </cell>
          <cell r="AP5541">
            <v>0</v>
          </cell>
          <cell r="AQ5541">
            <v>0</v>
          </cell>
          <cell r="AV5541">
            <v>11040000</v>
          </cell>
        </row>
        <row r="5542">
          <cell r="E5542" t="str">
            <v>D26003317</v>
          </cell>
          <cell r="AP5542">
            <v>0</v>
          </cell>
          <cell r="AQ5542">
            <v>0</v>
          </cell>
          <cell r="AV5542">
            <v>17100000</v>
          </cell>
        </row>
        <row r="5543">
          <cell r="E5543" t="str">
            <v>D26003318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B26002403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D26000282</v>
          </cell>
          <cell r="AP5545">
            <v>0</v>
          </cell>
          <cell r="AQ5545">
            <v>0</v>
          </cell>
          <cell r="AV5545">
            <v>50000000</v>
          </cell>
        </row>
        <row r="5546">
          <cell r="E5546" t="str">
            <v>D26003387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D26003388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B26000045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B26000446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D26000516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D26001546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D25019527</v>
          </cell>
          <cell r="AP5552">
            <v>0</v>
          </cell>
          <cell r="AQ5552">
            <v>0</v>
          </cell>
          <cell r="AV5552">
            <v>10000000</v>
          </cell>
        </row>
        <row r="5553">
          <cell r="E5553" t="str">
            <v>D25019529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B26002483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B26002485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B26002486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B26002492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D26000491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D26000947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D26000987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D26001963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D26002726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B26001280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B26001284</v>
          </cell>
          <cell r="AP5564">
            <v>0</v>
          </cell>
          <cell r="AQ5564">
            <v>0</v>
          </cell>
          <cell r="AV5564">
            <v>408000</v>
          </cell>
        </row>
        <row r="5565">
          <cell r="E5565" t="str">
            <v>B26000499</v>
          </cell>
          <cell r="AP5565">
            <v>0</v>
          </cell>
          <cell r="AQ5565">
            <v>0</v>
          </cell>
          <cell r="AV5565">
            <v>436000</v>
          </cell>
        </row>
        <row r="5566">
          <cell r="E5566" t="str">
            <v>B26000500</v>
          </cell>
          <cell r="AP5566">
            <v>0</v>
          </cell>
          <cell r="AQ5566">
            <v>0</v>
          </cell>
          <cell r="AV5566">
            <v>322500</v>
          </cell>
        </row>
        <row r="5567">
          <cell r="E5567" t="str">
            <v>B26000507</v>
          </cell>
          <cell r="AP5567">
            <v>0</v>
          </cell>
          <cell r="AQ5567">
            <v>0</v>
          </cell>
          <cell r="AV5567">
            <v>615000</v>
          </cell>
        </row>
        <row r="5568">
          <cell r="E5568" t="str">
            <v>B26000890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D26001435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D26001660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B26001842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B26001999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D26002597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D26002861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B26002849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D26003445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B25014926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B25015763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B26000022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D26000091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B26000175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D26000626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D26001467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B26001668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B26001796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D26002427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D26002588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D26002616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D26002631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B26002554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D26003443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D26003455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Z25003313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Z26000010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Z26000013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Z26000149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Z26000172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Z26000186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Z26000189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Z26000201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Z26000309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Z26000337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Z26000386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Z26000479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Z26000516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Z26000517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Z26000619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Z26000620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Z26000638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Z26000654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B26002212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B26002746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B26002747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B26002748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B26002749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B26002750</v>
          </cell>
          <cell r="AP5616">
            <v>0</v>
          </cell>
          <cell r="AQ5616">
            <v>0</v>
          </cell>
          <cell r="AV5616">
            <v>0</v>
          </cell>
        </row>
        <row r="5617">
          <cell r="E5617" t="str">
            <v>D26003188</v>
          </cell>
          <cell r="AP5617">
            <v>0</v>
          </cell>
          <cell r="AQ5617">
            <v>0</v>
          </cell>
          <cell r="AV5617">
            <v>330000</v>
          </cell>
        </row>
        <row r="5618">
          <cell r="E5618" t="str">
            <v>D26003459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D25017659</v>
          </cell>
          <cell r="AP5619">
            <v>0</v>
          </cell>
          <cell r="AQ5619">
            <v>0</v>
          </cell>
          <cell r="AV5619">
            <v>0</v>
          </cell>
        </row>
        <row r="5620">
          <cell r="E5620" t="str">
            <v>D25018842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D26003107</v>
          </cell>
          <cell r="AP5621">
            <v>0</v>
          </cell>
          <cell r="AQ5621">
            <v>0</v>
          </cell>
          <cell r="AV5621">
            <v>2600000</v>
          </cell>
        </row>
        <row r="5622">
          <cell r="E5622" t="str">
            <v>D25019103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B26001621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B26001622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B26001666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B26000189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T26000019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D26000364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B26001172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B26001176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B26001460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D26001601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D26001602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D26002151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D26002958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B26000385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D26000832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T26000146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B26002248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B26002866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D26001564</v>
          </cell>
          <cell r="AP5641">
            <v>0</v>
          </cell>
          <cell r="AQ5641">
            <v>0</v>
          </cell>
          <cell r="AV5641">
            <v>7825000</v>
          </cell>
        </row>
        <row r="5642">
          <cell r="E5642" t="str">
            <v>D26002781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B26002828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T26000271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B26000433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B26000689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B26000818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B26000934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B26001429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B26001660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D26002942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D26002943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D26002956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D26002960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D26003458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D26000268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D26000275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D26000355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D26000788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D26001044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D26001231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D26001274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D26001280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B26001232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D26001779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D26001782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B26001945</v>
          </cell>
          <cell r="AP5667">
            <v>0</v>
          </cell>
          <cell r="AQ5667">
            <v>0</v>
          </cell>
          <cell r="AV5667">
            <v>0</v>
          </cell>
        </row>
        <row r="5668">
          <cell r="E5668" t="str">
            <v>B26002019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D26002429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 t="str">
            <v>D26003484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D26003485</v>
          </cell>
          <cell r="AP5671">
            <v>0</v>
          </cell>
          <cell r="AQ5671">
            <v>0</v>
          </cell>
          <cell r="AV5671">
            <v>0</v>
          </cell>
        </row>
        <row r="5672">
          <cell r="E5672" t="str">
            <v>B25016320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T26000242</v>
          </cell>
          <cell r="AP5673">
            <v>0</v>
          </cell>
          <cell r="AQ5673">
            <v>0</v>
          </cell>
          <cell r="AV5673">
            <v>12400000</v>
          </cell>
        </row>
        <row r="5674">
          <cell r="E5674" t="str">
            <v>D26003439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B26001436</v>
          </cell>
          <cell r="AP5675">
            <v>0</v>
          </cell>
          <cell r="AQ5675">
            <v>0</v>
          </cell>
          <cell r="AV5675">
            <v>9950000</v>
          </cell>
        </row>
        <row r="5676">
          <cell r="E5676" t="str">
            <v>D26002262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T26000046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B26002157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D26002652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D26003442</v>
          </cell>
          <cell r="AP5680">
            <v>0</v>
          </cell>
          <cell r="AQ5680">
            <v>0</v>
          </cell>
          <cell r="AV5680">
            <v>0</v>
          </cell>
        </row>
        <row r="5681">
          <cell r="E5681" t="str">
            <v>D26003467</v>
          </cell>
          <cell r="AP5681">
            <v>0</v>
          </cell>
          <cell r="AQ5681">
            <v>0</v>
          </cell>
          <cell r="AV5681">
            <v>0</v>
          </cell>
        </row>
        <row r="5682">
          <cell r="E5682" t="str">
            <v>T25001900</v>
          </cell>
          <cell r="AP5682">
            <v>0</v>
          </cell>
          <cell r="AQ5682">
            <v>0</v>
          </cell>
          <cell r="AV5682">
            <v>0</v>
          </cell>
        </row>
        <row r="5683">
          <cell r="E5683" t="str">
            <v>T25001901</v>
          </cell>
          <cell r="AP5683">
            <v>0</v>
          </cell>
          <cell r="AQ5683">
            <v>0</v>
          </cell>
          <cell r="AV5683">
            <v>0</v>
          </cell>
        </row>
        <row r="5684">
          <cell r="E5684" t="str">
            <v>B26002733</v>
          </cell>
          <cell r="AP5684">
            <v>0</v>
          </cell>
          <cell r="AQ5684">
            <v>0</v>
          </cell>
          <cell r="AV5684">
            <v>3200000</v>
          </cell>
        </row>
        <row r="5685">
          <cell r="E5685" t="str">
            <v>B26002734</v>
          </cell>
          <cell r="AP5685">
            <v>0</v>
          </cell>
          <cell r="AQ5685">
            <v>0</v>
          </cell>
          <cell r="AV5685">
            <v>0</v>
          </cell>
        </row>
        <row r="5686">
          <cell r="E5686" t="str">
            <v>B26002771</v>
          </cell>
          <cell r="AP5686">
            <v>0</v>
          </cell>
          <cell r="AQ5686">
            <v>0</v>
          </cell>
          <cell r="AV5686">
            <v>11200000</v>
          </cell>
        </row>
        <row r="5687">
          <cell r="E5687" t="str">
            <v>B26001386</v>
          </cell>
          <cell r="AP5687">
            <v>0</v>
          </cell>
          <cell r="AQ5687">
            <v>0</v>
          </cell>
          <cell r="AV5687">
            <v>0</v>
          </cell>
        </row>
        <row r="5688">
          <cell r="E5688" t="str">
            <v>B26002267</v>
          </cell>
          <cell r="AP5688">
            <v>0</v>
          </cell>
          <cell r="AQ5688">
            <v>0</v>
          </cell>
          <cell r="AV5688">
            <v>0</v>
          </cell>
        </row>
        <row r="5689">
          <cell r="E5689" t="str">
            <v>D26003148</v>
          </cell>
          <cell r="AP5689">
            <v>0</v>
          </cell>
          <cell r="AQ5689">
            <v>0</v>
          </cell>
          <cell r="AV5689">
            <v>2859500</v>
          </cell>
        </row>
        <row r="5690">
          <cell r="E5690" t="str">
            <v>C26000177</v>
          </cell>
          <cell r="AP5690">
            <v>0</v>
          </cell>
          <cell r="AQ5690">
            <v>0</v>
          </cell>
          <cell r="AV5690">
            <v>1360000</v>
          </cell>
        </row>
        <row r="5691">
          <cell r="E5691" t="str">
            <v>B26000305</v>
          </cell>
          <cell r="AP5691">
            <v>0</v>
          </cell>
          <cell r="AQ5691">
            <v>0</v>
          </cell>
          <cell r="AV5691">
            <v>5220250</v>
          </cell>
        </row>
        <row r="5692">
          <cell r="E5692" t="str">
            <v>D26000342</v>
          </cell>
          <cell r="AP5692">
            <v>0</v>
          </cell>
          <cell r="AQ5692">
            <v>0</v>
          </cell>
          <cell r="AV5692">
            <v>800000</v>
          </cell>
        </row>
        <row r="5693">
          <cell r="E5693" t="str">
            <v>B26001263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B26002094</v>
          </cell>
          <cell r="AP5694">
            <v>0</v>
          </cell>
          <cell r="AQ5694">
            <v>0</v>
          </cell>
          <cell r="AV5694">
            <v>0</v>
          </cell>
        </row>
        <row r="5695">
          <cell r="E5695" t="str">
            <v>B26002715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B26002769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B26002856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B26002915</v>
          </cell>
          <cell r="AP5698">
            <v>0</v>
          </cell>
          <cell r="AQ5698">
            <v>0</v>
          </cell>
          <cell r="AV5698">
            <v>0</v>
          </cell>
        </row>
        <row r="5699">
          <cell r="E5699" t="str">
            <v>B26002926</v>
          </cell>
          <cell r="AP5699">
            <v>0</v>
          </cell>
          <cell r="AQ5699">
            <v>0</v>
          </cell>
          <cell r="AV5699">
            <v>0</v>
          </cell>
        </row>
        <row r="5700">
          <cell r="E5700" t="str">
            <v>B26002927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D26003259</v>
          </cell>
          <cell r="AP5701">
            <v>0</v>
          </cell>
          <cell r="AQ5701">
            <v>0</v>
          </cell>
          <cell r="AV5701">
            <v>0</v>
          </cell>
        </row>
        <row r="5702">
          <cell r="E5702" t="str">
            <v>B26003072</v>
          </cell>
          <cell r="AP5702">
            <v>0</v>
          </cell>
          <cell r="AQ5702">
            <v>0</v>
          </cell>
          <cell r="AV5702">
            <v>0</v>
          </cell>
        </row>
        <row r="5703">
          <cell r="E5703" t="str">
            <v>T26000259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D25019627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B26003099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T26000262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D26000402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D26002598</v>
          </cell>
          <cell r="AP5708">
            <v>0</v>
          </cell>
          <cell r="AQ5708">
            <v>0</v>
          </cell>
          <cell r="AV5708">
            <v>0</v>
          </cell>
        </row>
        <row r="5709">
          <cell r="E5709" t="str">
            <v>D26002599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D26002647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T26000038</v>
          </cell>
          <cell r="AP5711">
            <v>0</v>
          </cell>
          <cell r="AQ5711">
            <v>0</v>
          </cell>
          <cell r="AV5711">
            <v>0</v>
          </cell>
        </row>
        <row r="5712">
          <cell r="E5712" t="str">
            <v>D26001347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D26002161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B26002285</v>
          </cell>
          <cell r="AP5714">
            <v>0</v>
          </cell>
          <cell r="AQ5714">
            <v>0</v>
          </cell>
          <cell r="AV5714">
            <v>0</v>
          </cell>
        </row>
        <row r="5715">
          <cell r="E5715" t="str">
            <v>D26002470</v>
          </cell>
          <cell r="AP5715">
            <v>0</v>
          </cell>
          <cell r="AQ5715">
            <v>0</v>
          </cell>
          <cell r="AV5715">
            <v>0</v>
          </cell>
        </row>
        <row r="5716">
          <cell r="E5716" t="str">
            <v>D26002744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B26002885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B26002917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Z26000263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Z26000265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Z26000578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Z26000590</v>
          </cell>
          <cell r="AP5722">
            <v>0</v>
          </cell>
          <cell r="AQ5722">
            <v>0</v>
          </cell>
          <cell r="AV5722">
            <v>123200000</v>
          </cell>
        </row>
        <row r="5723">
          <cell r="E5723" t="str">
            <v>B26002870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D25016178</v>
          </cell>
          <cell r="AP5724">
            <v>0</v>
          </cell>
          <cell r="AQ5724">
            <v>0</v>
          </cell>
          <cell r="AV5724">
            <v>20000000</v>
          </cell>
        </row>
        <row r="5725">
          <cell r="E5725" t="str">
            <v>D25018900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D25018997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D25018998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D25019266</v>
          </cell>
          <cell r="AP5728">
            <v>0</v>
          </cell>
          <cell r="AQ5728">
            <v>0</v>
          </cell>
          <cell r="AV5728">
            <v>0</v>
          </cell>
        </row>
        <row r="5729">
          <cell r="E5729" t="str">
            <v>D26001678</v>
          </cell>
          <cell r="AP5729">
            <v>0</v>
          </cell>
          <cell r="AQ5729">
            <v>0</v>
          </cell>
          <cell r="AV5729">
            <v>0</v>
          </cell>
        </row>
        <row r="5730">
          <cell r="E5730" t="str">
            <v>D26001679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D26001680</v>
          </cell>
          <cell r="AP5731">
            <v>0</v>
          </cell>
          <cell r="AQ5731">
            <v>0</v>
          </cell>
          <cell r="AV5731">
            <v>0</v>
          </cell>
        </row>
        <row r="5732">
          <cell r="E5732" t="str">
            <v>T26000108</v>
          </cell>
          <cell r="AP5732">
            <v>0</v>
          </cell>
          <cell r="AQ5732">
            <v>0</v>
          </cell>
          <cell r="AV5732">
            <v>0</v>
          </cell>
        </row>
        <row r="5733">
          <cell r="E5733" t="str">
            <v>D26002649</v>
          </cell>
          <cell r="AP5733">
            <v>0</v>
          </cell>
          <cell r="AQ5733">
            <v>0</v>
          </cell>
          <cell r="AV5733">
            <v>0</v>
          </cell>
        </row>
        <row r="5734">
          <cell r="E5734" t="str">
            <v>D26002650</v>
          </cell>
          <cell r="AP5734">
            <v>0</v>
          </cell>
          <cell r="AQ5734">
            <v>0</v>
          </cell>
          <cell r="AV5734">
            <v>0</v>
          </cell>
        </row>
        <row r="5735">
          <cell r="E5735" t="str">
            <v>D26002651</v>
          </cell>
          <cell r="AP5735">
            <v>0</v>
          </cell>
          <cell r="AQ5735">
            <v>0</v>
          </cell>
          <cell r="AV5735">
            <v>0</v>
          </cell>
        </row>
        <row r="5736">
          <cell r="E5736" t="str">
            <v>D26002673</v>
          </cell>
          <cell r="AP5736">
            <v>0</v>
          </cell>
          <cell r="AQ5736">
            <v>0</v>
          </cell>
          <cell r="AV5736">
            <v>0</v>
          </cell>
        </row>
        <row r="5737">
          <cell r="E5737" t="str">
            <v>T26000202</v>
          </cell>
          <cell r="AP5737">
            <v>0</v>
          </cell>
          <cell r="AQ5737">
            <v>0</v>
          </cell>
          <cell r="AV5737">
            <v>0</v>
          </cell>
        </row>
        <row r="5738">
          <cell r="E5738" t="str">
            <v>D26003473</v>
          </cell>
          <cell r="AP5738">
            <v>0</v>
          </cell>
          <cell r="AQ5738">
            <v>0</v>
          </cell>
          <cell r="AV5738">
            <v>0</v>
          </cell>
        </row>
        <row r="5739">
          <cell r="E5739" t="str">
            <v>D26001658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B26002355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D26002704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B26002673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D25013475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B25012121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B26000258</v>
          </cell>
          <cell r="AP5745">
            <v>0</v>
          </cell>
          <cell r="AQ5745">
            <v>0</v>
          </cell>
          <cell r="AV5745">
            <v>3300000</v>
          </cell>
        </row>
        <row r="5746">
          <cell r="E5746" t="str">
            <v>B26000259</v>
          </cell>
          <cell r="AP5746">
            <v>0</v>
          </cell>
          <cell r="AQ5746">
            <v>0</v>
          </cell>
          <cell r="AV5746">
            <v>940000</v>
          </cell>
        </row>
        <row r="5747">
          <cell r="E5747" t="str">
            <v>D26000417</v>
          </cell>
          <cell r="AP5747">
            <v>0</v>
          </cell>
          <cell r="AQ5747">
            <v>0</v>
          </cell>
          <cell r="AV5747">
            <v>600000</v>
          </cell>
        </row>
        <row r="5748">
          <cell r="E5748" t="str">
            <v>D26000895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B26001318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B26001322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B26002103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B26002105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D26002524</v>
          </cell>
          <cell r="AP5753">
            <v>0</v>
          </cell>
          <cell r="AQ5753">
            <v>0</v>
          </cell>
          <cell r="AV5753">
            <v>0</v>
          </cell>
        </row>
        <row r="5754">
          <cell r="E5754" t="str">
            <v>D26002679</v>
          </cell>
          <cell r="AP5754">
            <v>0</v>
          </cell>
          <cell r="AQ5754">
            <v>0</v>
          </cell>
          <cell r="AV5754">
            <v>0</v>
          </cell>
        </row>
        <row r="5755">
          <cell r="E5755" t="str">
            <v>D26002711</v>
          </cell>
          <cell r="AP5755">
            <v>0</v>
          </cell>
          <cell r="AQ5755">
            <v>0</v>
          </cell>
          <cell r="AV5755">
            <v>0</v>
          </cell>
        </row>
        <row r="5756">
          <cell r="E5756" t="str">
            <v>B26003212</v>
          </cell>
          <cell r="AP5756">
            <v>0</v>
          </cell>
          <cell r="AQ5756">
            <v>0</v>
          </cell>
          <cell r="AV5756">
            <v>0</v>
          </cell>
        </row>
        <row r="5757">
          <cell r="E5757" t="str">
            <v>B26003213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B26002182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D26002294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D25019668</v>
          </cell>
          <cell r="AP5760">
            <v>0</v>
          </cell>
          <cell r="AQ5760">
            <v>0</v>
          </cell>
          <cell r="AV5760">
            <v>3500000</v>
          </cell>
        </row>
        <row r="5761">
          <cell r="E5761" t="str">
            <v>D26001064</v>
          </cell>
          <cell r="AP5761">
            <v>0</v>
          </cell>
          <cell r="AQ5761">
            <v>0</v>
          </cell>
          <cell r="AV5761">
            <v>2020500</v>
          </cell>
        </row>
        <row r="5762">
          <cell r="E5762" t="str">
            <v>D26001223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B26001371</v>
          </cell>
          <cell r="AP5763">
            <v>0</v>
          </cell>
          <cell r="AQ5763">
            <v>0</v>
          </cell>
          <cell r="AV5763">
            <v>3210000</v>
          </cell>
        </row>
        <row r="5764">
          <cell r="E5764" t="str">
            <v>B26002252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B26002253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B26002347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T26000026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T26000076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B26001736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B26001022</v>
          </cell>
          <cell r="AP5770">
            <v>0</v>
          </cell>
          <cell r="AQ5770">
            <v>0</v>
          </cell>
          <cell r="AV5770">
            <v>0</v>
          </cell>
        </row>
        <row r="5771">
          <cell r="E5771" t="str">
            <v>D26001563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D26001570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D26001586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D26001864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D26002353</v>
          </cell>
          <cell r="AP5775">
            <v>0</v>
          </cell>
          <cell r="AQ5775">
            <v>0</v>
          </cell>
          <cell r="AV5775">
            <v>0</v>
          </cell>
        </row>
        <row r="5776">
          <cell r="E5776" t="str">
            <v>B26000228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D26000408</v>
          </cell>
          <cell r="AP5777">
            <v>0</v>
          </cell>
          <cell r="AQ5777">
            <v>0</v>
          </cell>
          <cell r="AV5777">
            <v>2700000</v>
          </cell>
        </row>
        <row r="5778">
          <cell r="E5778" t="str">
            <v>N26000010</v>
          </cell>
          <cell r="AP5778">
            <v>0</v>
          </cell>
          <cell r="AQ5778">
            <v>0</v>
          </cell>
          <cell r="AV5778">
            <v>0</v>
          </cell>
        </row>
        <row r="5779">
          <cell r="E5779" t="str">
            <v>B26001056</v>
          </cell>
          <cell r="AP5779">
            <v>0</v>
          </cell>
          <cell r="AQ5779">
            <v>0</v>
          </cell>
          <cell r="AV5779">
            <v>0</v>
          </cell>
        </row>
        <row r="5780">
          <cell r="E5780" t="str">
            <v>D26001762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B26002088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B26002359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B26002631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D26002808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D26003201</v>
          </cell>
          <cell r="AP5785">
            <v>0</v>
          </cell>
          <cell r="AQ5785">
            <v>0</v>
          </cell>
          <cell r="AV5785">
            <v>1920000</v>
          </cell>
        </row>
        <row r="5786">
          <cell r="E5786" t="str">
            <v>D26003217</v>
          </cell>
          <cell r="AP5786">
            <v>0</v>
          </cell>
          <cell r="AQ5786">
            <v>0</v>
          </cell>
          <cell r="AV5786">
            <v>860000</v>
          </cell>
        </row>
        <row r="5787">
          <cell r="E5787" t="str">
            <v>D26001390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D26001463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B26001447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D26001532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D26001698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D26001699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B26001644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B26001743</v>
          </cell>
          <cell r="AP5794">
            <v>0</v>
          </cell>
          <cell r="AQ5794">
            <v>0</v>
          </cell>
          <cell r="AV5794">
            <v>0</v>
          </cell>
        </row>
        <row r="5795">
          <cell r="E5795" t="str">
            <v>B26001744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D26001925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B26002086</v>
          </cell>
          <cell r="AP5797">
            <v>0</v>
          </cell>
          <cell r="AQ5797">
            <v>0</v>
          </cell>
          <cell r="AV5797">
            <v>0</v>
          </cell>
        </row>
        <row r="5798">
          <cell r="E5798" t="str">
            <v>B26002087</v>
          </cell>
          <cell r="AP5798">
            <v>0</v>
          </cell>
          <cell r="AQ5798">
            <v>0</v>
          </cell>
          <cell r="AV5798">
            <v>0</v>
          </cell>
        </row>
        <row r="5799">
          <cell r="E5799" t="str">
            <v>B26002413</v>
          </cell>
          <cell r="AP5799">
            <v>0</v>
          </cell>
          <cell r="AQ5799">
            <v>0</v>
          </cell>
          <cell r="AV5799">
            <v>0</v>
          </cell>
        </row>
        <row r="5800">
          <cell r="E5800" t="str">
            <v>B26002433</v>
          </cell>
          <cell r="AP5800">
            <v>0</v>
          </cell>
          <cell r="AQ5800">
            <v>0</v>
          </cell>
          <cell r="AV5800">
            <v>0</v>
          </cell>
        </row>
        <row r="5801">
          <cell r="E5801" t="str">
            <v>D26002660</v>
          </cell>
          <cell r="AP5801">
            <v>0</v>
          </cell>
          <cell r="AQ5801">
            <v>0</v>
          </cell>
          <cell r="AV5801">
            <v>0</v>
          </cell>
        </row>
        <row r="5802">
          <cell r="E5802" t="str">
            <v>B26003027</v>
          </cell>
          <cell r="AP5802">
            <v>0</v>
          </cell>
          <cell r="AQ5802">
            <v>2315250</v>
          </cell>
          <cell r="AV5802">
            <v>0</v>
          </cell>
        </row>
        <row r="5803">
          <cell r="E5803" t="str">
            <v>B26003033</v>
          </cell>
          <cell r="AP5803">
            <v>0</v>
          </cell>
          <cell r="AQ5803">
            <v>1375000</v>
          </cell>
          <cell r="AV5803">
            <v>0</v>
          </cell>
        </row>
        <row r="5804">
          <cell r="E5804" t="str">
            <v>L26000008</v>
          </cell>
          <cell r="AP5804">
            <v>0</v>
          </cell>
          <cell r="AQ5804">
            <v>408000</v>
          </cell>
          <cell r="AV5804">
            <v>0</v>
          </cell>
        </row>
        <row r="5805">
          <cell r="E5805" t="str">
            <v>D26003480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B25016195</v>
          </cell>
          <cell r="AP5806">
            <v>0</v>
          </cell>
          <cell r="AQ5806">
            <v>0</v>
          </cell>
          <cell r="AV5806">
            <v>100000000</v>
          </cell>
        </row>
        <row r="5807">
          <cell r="E5807" t="str">
            <v>B25016195</v>
          </cell>
          <cell r="AP5807">
            <v>0</v>
          </cell>
          <cell r="AQ5807">
            <v>0</v>
          </cell>
          <cell r="AV5807">
            <v>150000000</v>
          </cell>
        </row>
        <row r="5808">
          <cell r="E5808" t="str">
            <v>B25016195</v>
          </cell>
          <cell r="AP5808">
            <v>0</v>
          </cell>
          <cell r="AQ5808">
            <v>0</v>
          </cell>
          <cell r="AV5808">
            <v>150000000</v>
          </cell>
        </row>
        <row r="5809">
          <cell r="E5809" t="str">
            <v>D25018882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D25019123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D26000372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D26000562</v>
          </cell>
          <cell r="AP5812">
            <v>0</v>
          </cell>
          <cell r="AQ5812">
            <v>0</v>
          </cell>
          <cell r="AV5812">
            <v>0</v>
          </cell>
        </row>
        <row r="5813">
          <cell r="E5813" t="str">
            <v>D26000795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D26001163</v>
          </cell>
          <cell r="AP5814">
            <v>0</v>
          </cell>
          <cell r="AQ5814">
            <v>0</v>
          </cell>
          <cell r="AV5814">
            <v>0</v>
          </cell>
        </row>
        <row r="5815">
          <cell r="E5815" t="str">
            <v>D26001164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D26001731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D26001755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B26001805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D26002032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D26002266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D26002328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D26002672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D26002996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D26003340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D26003373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D26000365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Z26000203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Z26000312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D26001870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Z26000338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Z26000357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D26002245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Z26000469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D26003173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D25018251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D25018302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D25018453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D25018491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D25019005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D26000062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B26000565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D26000552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D26000595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D26000710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D26000721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 t="str">
            <v>D26000951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D26001083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D26001088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D26001122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D26001377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D26001477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D26001497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D26001499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D26001746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B26001715</v>
          </cell>
          <cell r="AP5855">
            <v>0</v>
          </cell>
          <cell r="AQ5855">
            <v>0</v>
          </cell>
          <cell r="AV5855">
            <v>0</v>
          </cell>
        </row>
        <row r="5856">
          <cell r="E5856" t="str">
            <v>D26001861</v>
          </cell>
          <cell r="AP5856">
            <v>0</v>
          </cell>
          <cell r="AQ5856">
            <v>0</v>
          </cell>
          <cell r="AV5856">
            <v>0</v>
          </cell>
        </row>
        <row r="5857">
          <cell r="E5857" t="str">
            <v>D26001877</v>
          </cell>
          <cell r="AP5857">
            <v>0</v>
          </cell>
          <cell r="AQ5857">
            <v>0</v>
          </cell>
          <cell r="AV5857">
            <v>0</v>
          </cell>
        </row>
        <row r="5858">
          <cell r="E5858" t="str">
            <v>B26001801</v>
          </cell>
          <cell r="AP5858">
            <v>0</v>
          </cell>
          <cell r="AQ5858">
            <v>0</v>
          </cell>
          <cell r="AV5858">
            <v>0</v>
          </cell>
        </row>
        <row r="5859">
          <cell r="E5859" t="str">
            <v>B26001900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D26002095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D26002324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B26002216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B26002277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D26002593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B26002520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D26002712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D26003202</v>
          </cell>
          <cell r="AP5867">
            <v>0</v>
          </cell>
          <cell r="AQ5867">
            <v>0</v>
          </cell>
          <cell r="AV5867">
            <v>0</v>
          </cell>
        </row>
        <row r="5868">
          <cell r="E5868" t="str">
            <v>D26003225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D26003523</v>
          </cell>
          <cell r="AP5869">
            <v>0</v>
          </cell>
          <cell r="AQ5869">
            <v>0</v>
          </cell>
          <cell r="AV5869">
            <v>0</v>
          </cell>
        </row>
        <row r="5870">
          <cell r="E5870" t="str">
            <v>T26000279</v>
          </cell>
          <cell r="AP5870">
            <v>0</v>
          </cell>
          <cell r="AQ5870">
            <v>0</v>
          </cell>
          <cell r="AV5870">
            <v>0</v>
          </cell>
        </row>
        <row r="5871">
          <cell r="E5871" t="str">
            <v>D26003253</v>
          </cell>
          <cell r="AP5871">
            <v>0</v>
          </cell>
          <cell r="AQ5871">
            <v>0</v>
          </cell>
          <cell r="AV5871">
            <v>4662500</v>
          </cell>
        </row>
        <row r="5872">
          <cell r="E5872" t="str">
            <v>D26002514</v>
          </cell>
          <cell r="AP5872">
            <v>0</v>
          </cell>
          <cell r="AQ5872">
            <v>0</v>
          </cell>
          <cell r="AV5872">
            <v>0</v>
          </cell>
        </row>
        <row r="5873">
          <cell r="E5873" t="str">
            <v>D26002515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D26002728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B26002968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B26002969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D26001640</v>
          </cell>
          <cell r="AP5877">
            <v>0</v>
          </cell>
          <cell r="AQ5877">
            <v>0</v>
          </cell>
          <cell r="AV5877">
            <v>4540000</v>
          </cell>
        </row>
        <row r="5878">
          <cell r="E5878" t="str">
            <v>B26001677</v>
          </cell>
          <cell r="AP5878">
            <v>0</v>
          </cell>
          <cell r="AQ5878">
            <v>0</v>
          </cell>
          <cell r="AV5878">
            <v>1700000</v>
          </cell>
        </row>
        <row r="5879">
          <cell r="E5879" t="str">
            <v>D26003379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D26001575</v>
          </cell>
          <cell r="AP5880">
            <v>0</v>
          </cell>
          <cell r="AQ5880">
            <v>0</v>
          </cell>
          <cell r="AV5880">
            <v>3112500</v>
          </cell>
        </row>
        <row r="5881">
          <cell r="E5881" t="str">
            <v>B26001946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B26002070</v>
          </cell>
          <cell r="AP5882">
            <v>0</v>
          </cell>
          <cell r="AQ5882">
            <v>0</v>
          </cell>
          <cell r="AV5882">
            <v>0</v>
          </cell>
        </row>
        <row r="5883">
          <cell r="E5883" t="str">
            <v>D26002200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D26001653</v>
          </cell>
          <cell r="AP5884">
            <v>0</v>
          </cell>
          <cell r="AQ5884">
            <v>0</v>
          </cell>
          <cell r="AV5884">
            <v>40000000</v>
          </cell>
        </row>
        <row r="5885">
          <cell r="E5885" t="str">
            <v>D26001653</v>
          </cell>
          <cell r="AP5885">
            <v>0</v>
          </cell>
          <cell r="AQ5885">
            <v>0</v>
          </cell>
          <cell r="AV5885">
            <v>30000000</v>
          </cell>
        </row>
        <row r="5886">
          <cell r="E5886" t="str">
            <v>D26002452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B26001772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B26003058</v>
          </cell>
          <cell r="AP5888">
            <v>0</v>
          </cell>
          <cell r="AQ5888">
            <v>0</v>
          </cell>
          <cell r="AV5888">
            <v>2120000</v>
          </cell>
        </row>
        <row r="5889">
          <cell r="E5889" t="str">
            <v>B26000016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B26003197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D26000276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D26001002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D26001158</v>
          </cell>
          <cell r="AP5893">
            <v>0</v>
          </cell>
          <cell r="AQ5893">
            <v>0</v>
          </cell>
          <cell r="AV5893">
            <v>0</v>
          </cell>
        </row>
        <row r="5894">
          <cell r="E5894" t="str">
            <v>D26001418</v>
          </cell>
          <cell r="AP5894">
            <v>0</v>
          </cell>
          <cell r="AQ5894">
            <v>0</v>
          </cell>
          <cell r="AV5894">
            <v>0</v>
          </cell>
        </row>
        <row r="5895">
          <cell r="E5895" t="str">
            <v>B26001370</v>
          </cell>
          <cell r="AP5895">
            <v>0</v>
          </cell>
          <cell r="AQ5895">
            <v>0</v>
          </cell>
          <cell r="AV5895">
            <v>0</v>
          </cell>
        </row>
        <row r="5896">
          <cell r="E5896" t="str">
            <v>D26001439</v>
          </cell>
          <cell r="AP5896">
            <v>0</v>
          </cell>
          <cell r="AQ5896">
            <v>0</v>
          </cell>
          <cell r="AV5896">
            <v>0</v>
          </cell>
        </row>
        <row r="5897">
          <cell r="E5897" t="str">
            <v>B26001690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D26001776</v>
          </cell>
          <cell r="AP5898">
            <v>0</v>
          </cell>
          <cell r="AQ5898">
            <v>0</v>
          </cell>
          <cell r="AV5898">
            <v>0</v>
          </cell>
        </row>
        <row r="5899">
          <cell r="E5899" t="str">
            <v>B26001814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D26001916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B26002064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T26000153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B26002242</v>
          </cell>
          <cell r="AP5903">
            <v>0</v>
          </cell>
          <cell r="AQ5903">
            <v>0</v>
          </cell>
          <cell r="AV5903">
            <v>0</v>
          </cell>
        </row>
        <row r="5904">
          <cell r="E5904" t="str">
            <v>B26002243</v>
          </cell>
          <cell r="AP5904">
            <v>0</v>
          </cell>
          <cell r="AQ5904">
            <v>0</v>
          </cell>
          <cell r="AV5904">
            <v>0</v>
          </cell>
        </row>
        <row r="5905">
          <cell r="E5905" t="str">
            <v>D26002557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B26002743</v>
          </cell>
          <cell r="AP5906">
            <v>0</v>
          </cell>
          <cell r="AQ5906">
            <v>0</v>
          </cell>
          <cell r="AV5906">
            <v>0</v>
          </cell>
        </row>
        <row r="5907">
          <cell r="E5907" t="str">
            <v>B26002744</v>
          </cell>
          <cell r="AP5907">
            <v>0</v>
          </cell>
          <cell r="AQ5907">
            <v>0</v>
          </cell>
          <cell r="AV5907">
            <v>0</v>
          </cell>
        </row>
        <row r="5908">
          <cell r="E5908" t="str">
            <v>D26002937</v>
          </cell>
          <cell r="AP5908">
            <v>0</v>
          </cell>
          <cell r="AQ5908">
            <v>0</v>
          </cell>
          <cell r="AV5908">
            <v>0</v>
          </cell>
        </row>
        <row r="5909">
          <cell r="E5909" t="str">
            <v>B26002763</v>
          </cell>
          <cell r="AP5909">
            <v>0</v>
          </cell>
          <cell r="AQ5909">
            <v>0</v>
          </cell>
          <cell r="AV5909">
            <v>0</v>
          </cell>
        </row>
        <row r="5910">
          <cell r="E5910" t="str">
            <v>D26003004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B26002858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D25017834</v>
          </cell>
          <cell r="AP5912">
            <v>0</v>
          </cell>
          <cell r="AQ5912">
            <v>0</v>
          </cell>
          <cell r="AV5912">
            <v>30000000</v>
          </cell>
        </row>
        <row r="5913">
          <cell r="E5913" t="str">
            <v>D26001027</v>
          </cell>
          <cell r="AP5913">
            <v>0</v>
          </cell>
          <cell r="AQ5913">
            <v>0</v>
          </cell>
          <cell r="AV5913">
            <v>5100000</v>
          </cell>
        </row>
        <row r="5914">
          <cell r="E5914" t="str">
            <v>B26002188</v>
          </cell>
          <cell r="AP5914">
            <v>0</v>
          </cell>
          <cell r="AQ5914">
            <v>0</v>
          </cell>
          <cell r="AV5914">
            <v>16836500</v>
          </cell>
        </row>
        <row r="5915">
          <cell r="E5915" t="str">
            <v>B26003008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R25000105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B26001397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B26001398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D26002134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D26002232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D26002234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T26000170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B26003214</v>
          </cell>
          <cell r="AP5923">
            <v>0</v>
          </cell>
          <cell r="AQ5923">
            <v>0</v>
          </cell>
          <cell r="AV5923">
            <v>49674000</v>
          </cell>
        </row>
        <row r="5924">
          <cell r="E5924" t="str">
            <v>D26003302</v>
          </cell>
          <cell r="AP5924">
            <v>0</v>
          </cell>
          <cell r="AQ5924">
            <v>0</v>
          </cell>
          <cell r="AV5924">
            <v>10200000</v>
          </cell>
        </row>
        <row r="5925">
          <cell r="E5925" t="str">
            <v>B26003207</v>
          </cell>
          <cell r="AP5925">
            <v>0</v>
          </cell>
          <cell r="AQ5925">
            <v>0</v>
          </cell>
          <cell r="AV5925">
            <v>20685000</v>
          </cell>
        </row>
        <row r="5926">
          <cell r="E5926" t="str">
            <v>B26002361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B26002367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D26001584</v>
          </cell>
          <cell r="AP5928">
            <v>0</v>
          </cell>
          <cell r="AQ5928">
            <v>0</v>
          </cell>
          <cell r="AV5928">
            <v>0</v>
          </cell>
        </row>
        <row r="5929">
          <cell r="E5929" t="str">
            <v>D26001585</v>
          </cell>
          <cell r="AP5929">
            <v>0</v>
          </cell>
          <cell r="AQ5929">
            <v>0</v>
          </cell>
          <cell r="AV5929">
            <v>0</v>
          </cell>
        </row>
        <row r="5930">
          <cell r="E5930" t="str">
            <v>D26001614</v>
          </cell>
          <cell r="AP5930">
            <v>0</v>
          </cell>
          <cell r="AQ5930">
            <v>0</v>
          </cell>
          <cell r="AV5930">
            <v>0</v>
          </cell>
        </row>
        <row r="5931">
          <cell r="E5931" t="str">
            <v>B26002559</v>
          </cell>
          <cell r="AP5931">
            <v>0</v>
          </cell>
          <cell r="AQ5931">
            <v>0</v>
          </cell>
          <cell r="AV5931">
            <v>0</v>
          </cell>
        </row>
        <row r="5932">
          <cell r="E5932" t="str">
            <v>B26002560</v>
          </cell>
          <cell r="AP5932">
            <v>0</v>
          </cell>
          <cell r="AQ5932">
            <v>0</v>
          </cell>
          <cell r="AV5932">
            <v>0</v>
          </cell>
        </row>
        <row r="5933">
          <cell r="E5933" t="str">
            <v>B26002561</v>
          </cell>
          <cell r="AP5933">
            <v>0</v>
          </cell>
          <cell r="AQ5933">
            <v>0</v>
          </cell>
          <cell r="AV5933">
            <v>0</v>
          </cell>
        </row>
        <row r="5934">
          <cell r="E5934" t="str">
            <v>B26003125</v>
          </cell>
          <cell r="AP5934">
            <v>0</v>
          </cell>
          <cell r="AQ5934">
            <v>0</v>
          </cell>
          <cell r="AV5934">
            <v>0</v>
          </cell>
        </row>
        <row r="5935">
          <cell r="E5935" t="str">
            <v>D26003350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B25016269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D25018993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B26003164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D26003519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T25001505</v>
          </cell>
          <cell r="AP5940">
            <v>0</v>
          </cell>
          <cell r="AQ5940">
            <v>0</v>
          </cell>
          <cell r="AV5940">
            <v>7555000</v>
          </cell>
        </row>
        <row r="5941">
          <cell r="E5941" t="str">
            <v>D26000048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B26001784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B26002991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B26003063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B26003210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D26002658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D26003140</v>
          </cell>
          <cell r="AP5947">
            <v>0</v>
          </cell>
          <cell r="AQ5947">
            <v>0</v>
          </cell>
          <cell r="AV5947">
            <v>6300000</v>
          </cell>
        </row>
        <row r="5948">
          <cell r="E5948" t="str">
            <v>D26003170</v>
          </cell>
          <cell r="AP5948">
            <v>0</v>
          </cell>
          <cell r="AQ5948">
            <v>0</v>
          </cell>
          <cell r="AV5948">
            <v>4620000</v>
          </cell>
        </row>
        <row r="5949">
          <cell r="E5949" t="str">
            <v>T26000013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B26002186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D26003216</v>
          </cell>
          <cell r="AP5951">
            <v>0</v>
          </cell>
          <cell r="AQ5951">
            <v>0</v>
          </cell>
          <cell r="AV5951">
            <v>0</v>
          </cell>
        </row>
        <row r="5952">
          <cell r="E5952" t="str">
            <v>T25001864</v>
          </cell>
          <cell r="AP5952">
            <v>0</v>
          </cell>
          <cell r="AQ5952">
            <v>0</v>
          </cell>
          <cell r="AV5952">
            <v>6000000</v>
          </cell>
        </row>
        <row r="5953">
          <cell r="E5953" t="str">
            <v>B26001890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B26002563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B26002564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T26000185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D26002822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B26002936</v>
          </cell>
          <cell r="AP5958">
            <v>0</v>
          </cell>
          <cell r="AQ5958">
            <v>0</v>
          </cell>
          <cell r="AV5958">
            <v>0</v>
          </cell>
        </row>
        <row r="5959">
          <cell r="E5959" t="str">
            <v>B26002944</v>
          </cell>
          <cell r="AP5959">
            <v>0</v>
          </cell>
          <cell r="AQ5959">
            <v>0</v>
          </cell>
          <cell r="AV5959">
            <v>0</v>
          </cell>
        </row>
        <row r="5960">
          <cell r="E5960" t="str">
            <v>T26000241</v>
          </cell>
          <cell r="AP5960">
            <v>0</v>
          </cell>
          <cell r="AQ5960">
            <v>0</v>
          </cell>
          <cell r="AV5960">
            <v>0</v>
          </cell>
        </row>
        <row r="5961">
          <cell r="E5961" t="str">
            <v>B26001507</v>
          </cell>
          <cell r="AP5961">
            <v>0</v>
          </cell>
          <cell r="AQ5961">
            <v>0</v>
          </cell>
          <cell r="AV5961">
            <v>2000000</v>
          </cell>
        </row>
        <row r="5962">
          <cell r="E5962" t="str">
            <v>D26001750</v>
          </cell>
          <cell r="AP5962">
            <v>0</v>
          </cell>
          <cell r="AQ5962">
            <v>0</v>
          </cell>
          <cell r="AV5962">
            <v>500000</v>
          </cell>
        </row>
        <row r="5963">
          <cell r="E5963" t="str">
            <v>D26000813</v>
          </cell>
          <cell r="AP5963">
            <v>0</v>
          </cell>
          <cell r="AQ5963">
            <v>0</v>
          </cell>
          <cell r="AV5963">
            <v>1400000</v>
          </cell>
        </row>
        <row r="5964">
          <cell r="E5964" t="str">
            <v>D26000815</v>
          </cell>
          <cell r="AP5964">
            <v>0</v>
          </cell>
          <cell r="AQ5964">
            <v>0</v>
          </cell>
          <cell r="AV5964">
            <v>1480000</v>
          </cell>
        </row>
        <row r="5965">
          <cell r="E5965" t="str">
            <v>B26000922</v>
          </cell>
          <cell r="AP5965">
            <v>0</v>
          </cell>
          <cell r="AQ5965">
            <v>0</v>
          </cell>
          <cell r="AV5965">
            <v>1350000</v>
          </cell>
        </row>
        <row r="5966">
          <cell r="E5966" t="str">
            <v>D26000949</v>
          </cell>
          <cell r="AP5966">
            <v>0</v>
          </cell>
          <cell r="AQ5966">
            <v>0</v>
          </cell>
          <cell r="AV5966">
            <v>1687500</v>
          </cell>
        </row>
        <row r="5967">
          <cell r="E5967" t="str">
            <v>D26001054</v>
          </cell>
          <cell r="AP5967">
            <v>0</v>
          </cell>
          <cell r="AQ5967">
            <v>0</v>
          </cell>
          <cell r="AV5967">
            <v>2262500</v>
          </cell>
        </row>
        <row r="5968">
          <cell r="E5968" t="str">
            <v>B26001005</v>
          </cell>
          <cell r="AP5968">
            <v>0</v>
          </cell>
          <cell r="AQ5968">
            <v>0</v>
          </cell>
          <cell r="AV5968">
            <v>0</v>
          </cell>
        </row>
        <row r="5969">
          <cell r="E5969" t="str">
            <v>D26001288</v>
          </cell>
          <cell r="AP5969">
            <v>0</v>
          </cell>
          <cell r="AQ5969">
            <v>0</v>
          </cell>
          <cell r="AV5969">
            <v>0</v>
          </cell>
        </row>
        <row r="5970">
          <cell r="E5970" t="str">
            <v>B26001504</v>
          </cell>
          <cell r="AP5970">
            <v>0</v>
          </cell>
          <cell r="AQ5970">
            <v>0</v>
          </cell>
          <cell r="AV5970">
            <v>0</v>
          </cell>
        </row>
        <row r="5971">
          <cell r="E5971" t="str">
            <v>D26001650</v>
          </cell>
          <cell r="AP5971">
            <v>0</v>
          </cell>
          <cell r="AQ5971">
            <v>0</v>
          </cell>
          <cell r="AV5971">
            <v>0</v>
          </cell>
        </row>
        <row r="5972">
          <cell r="E5972" t="str">
            <v>B26002015</v>
          </cell>
          <cell r="AP5972">
            <v>0</v>
          </cell>
          <cell r="AQ5972">
            <v>0</v>
          </cell>
          <cell r="AV5972">
            <v>0</v>
          </cell>
        </row>
        <row r="5973">
          <cell r="E5973" t="str">
            <v>B26002017</v>
          </cell>
          <cell r="AP5973">
            <v>0</v>
          </cell>
          <cell r="AQ5973">
            <v>0</v>
          </cell>
          <cell r="AV5973">
            <v>0</v>
          </cell>
        </row>
        <row r="5974">
          <cell r="E5974" t="str">
            <v>D26002209</v>
          </cell>
          <cell r="AP5974">
            <v>0</v>
          </cell>
          <cell r="AQ5974">
            <v>0</v>
          </cell>
          <cell r="AV5974">
            <v>0</v>
          </cell>
        </row>
        <row r="5975">
          <cell r="E5975" t="str">
            <v>D26002223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D26002224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D26002526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D26002527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D26002705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B26002677</v>
          </cell>
          <cell r="AP5980">
            <v>0</v>
          </cell>
          <cell r="AQ5980">
            <v>0</v>
          </cell>
          <cell r="AV5980">
            <v>0</v>
          </cell>
        </row>
        <row r="5981">
          <cell r="E5981" t="str">
            <v>D26002849</v>
          </cell>
          <cell r="AP5981">
            <v>0</v>
          </cell>
          <cell r="AQ5981">
            <v>0</v>
          </cell>
          <cell r="AV5981">
            <v>0</v>
          </cell>
        </row>
        <row r="5982">
          <cell r="E5982" t="str">
            <v>B26002710</v>
          </cell>
          <cell r="AP5982">
            <v>0</v>
          </cell>
          <cell r="AQ5982">
            <v>0</v>
          </cell>
          <cell r="AV5982">
            <v>0</v>
          </cell>
        </row>
        <row r="5983">
          <cell r="E5983" t="str">
            <v>B26002876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D26003448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B26001861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D26003521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B26000112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D26000018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D26000046</v>
          </cell>
          <cell r="AP5989">
            <v>0</v>
          </cell>
          <cell r="AQ5989">
            <v>0</v>
          </cell>
          <cell r="AV5989">
            <v>0</v>
          </cell>
        </row>
        <row r="5990">
          <cell r="E5990" t="str">
            <v>B26000501</v>
          </cell>
          <cell r="AP5990">
            <v>0</v>
          </cell>
          <cell r="AQ5990">
            <v>0</v>
          </cell>
          <cell r="AV5990">
            <v>0</v>
          </cell>
        </row>
        <row r="5991">
          <cell r="E5991" t="str">
            <v>B26000886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B26001641</v>
          </cell>
          <cell r="AP5992">
            <v>0</v>
          </cell>
          <cell r="AQ5992">
            <v>0</v>
          </cell>
          <cell r="AV5992">
            <v>0</v>
          </cell>
        </row>
        <row r="5993">
          <cell r="E5993" t="str">
            <v>B26001662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B26001663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D26001966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D26002018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B26002011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D26002269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D26002517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D26002619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D26002623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D26002841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D26003005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D26003018</v>
          </cell>
          <cell r="AP6004">
            <v>0</v>
          </cell>
          <cell r="AQ6004">
            <v>0</v>
          </cell>
          <cell r="AV6004">
            <v>0</v>
          </cell>
        </row>
        <row r="6005">
          <cell r="E6005" t="str">
            <v>D26003085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D26003181</v>
          </cell>
          <cell r="AP6006">
            <v>0</v>
          </cell>
          <cell r="AQ6006">
            <v>0</v>
          </cell>
          <cell r="AV6006">
            <v>10770000</v>
          </cell>
        </row>
        <row r="6007">
          <cell r="E6007" t="str">
            <v>D26003194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D26003267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D26003310</v>
          </cell>
          <cell r="AP6009">
            <v>0</v>
          </cell>
          <cell r="AQ6009">
            <v>0</v>
          </cell>
          <cell r="AV6009">
            <v>268000000</v>
          </cell>
        </row>
        <row r="6010">
          <cell r="E6010" t="str">
            <v>D26003315</v>
          </cell>
          <cell r="AP6010">
            <v>0</v>
          </cell>
          <cell r="AQ6010">
            <v>0</v>
          </cell>
          <cell r="AV6010">
            <v>39500000</v>
          </cell>
        </row>
        <row r="6011">
          <cell r="E6011" t="str">
            <v>D26003328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D26003377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D26003409</v>
          </cell>
          <cell r="AP6013">
            <v>0</v>
          </cell>
          <cell r="AQ6013">
            <v>0</v>
          </cell>
          <cell r="AV6013">
            <v>205796000</v>
          </cell>
        </row>
        <row r="6014">
          <cell r="E6014" t="str">
            <v>D26003446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D26001459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D26003154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D26000910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B26001311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D26001748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D26001754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D26001873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D26001874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D26002261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B26002234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D26002397</v>
          </cell>
          <cell r="AP6025">
            <v>0</v>
          </cell>
          <cell r="AQ6025">
            <v>0</v>
          </cell>
          <cell r="AV6025">
            <v>0</v>
          </cell>
        </row>
        <row r="6026">
          <cell r="E6026" t="str">
            <v>B26002607</v>
          </cell>
          <cell r="AP6026">
            <v>0</v>
          </cell>
          <cell r="AQ6026">
            <v>0</v>
          </cell>
          <cell r="AV6026">
            <v>0</v>
          </cell>
        </row>
        <row r="6027">
          <cell r="E6027" t="str">
            <v>D26002892</v>
          </cell>
          <cell r="AP6027">
            <v>0</v>
          </cell>
          <cell r="AQ6027">
            <v>0</v>
          </cell>
          <cell r="AV6027">
            <v>0</v>
          </cell>
        </row>
        <row r="6028">
          <cell r="E6028" t="str">
            <v>B26002790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D26003083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B26003205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D26003413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D26003438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B26002986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D26001957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D26002618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B26000422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B26000424</v>
          </cell>
          <cell r="AP6037">
            <v>0</v>
          </cell>
          <cell r="AQ6037">
            <v>0</v>
          </cell>
          <cell r="AV6037">
            <v>0</v>
          </cell>
        </row>
        <row r="6038">
          <cell r="E6038" t="str">
            <v>D26001155</v>
          </cell>
          <cell r="AP6038">
            <v>0</v>
          </cell>
          <cell r="AQ6038">
            <v>0</v>
          </cell>
          <cell r="AV6038">
            <v>0</v>
          </cell>
        </row>
        <row r="6039">
          <cell r="E6039" t="str">
            <v>D26001207</v>
          </cell>
          <cell r="AP6039">
            <v>0</v>
          </cell>
          <cell r="AQ6039">
            <v>0</v>
          </cell>
          <cell r="AV6039">
            <v>0</v>
          </cell>
        </row>
        <row r="6040">
          <cell r="E6040" t="str">
            <v>D26001364</v>
          </cell>
          <cell r="AP6040">
            <v>0</v>
          </cell>
          <cell r="AQ6040">
            <v>0</v>
          </cell>
          <cell r="AV6040">
            <v>0</v>
          </cell>
        </row>
        <row r="6041">
          <cell r="E6041" t="str">
            <v>B26001541</v>
          </cell>
          <cell r="AP6041">
            <v>0</v>
          </cell>
          <cell r="AQ6041">
            <v>0</v>
          </cell>
          <cell r="AV6041">
            <v>0</v>
          </cell>
        </row>
        <row r="6042">
          <cell r="E6042" t="str">
            <v>B26001636</v>
          </cell>
          <cell r="AP6042">
            <v>0</v>
          </cell>
          <cell r="AQ6042">
            <v>0</v>
          </cell>
          <cell r="AV6042">
            <v>0</v>
          </cell>
        </row>
        <row r="6043">
          <cell r="E6043" t="str">
            <v>B26001637</v>
          </cell>
          <cell r="AP6043">
            <v>0</v>
          </cell>
          <cell r="AQ6043">
            <v>0</v>
          </cell>
          <cell r="AV6043">
            <v>0</v>
          </cell>
        </row>
        <row r="6044">
          <cell r="E6044" t="str">
            <v>D26001739</v>
          </cell>
          <cell r="AP6044">
            <v>0</v>
          </cell>
          <cell r="AQ6044">
            <v>0</v>
          </cell>
          <cell r="AV6044">
            <v>0</v>
          </cell>
        </row>
        <row r="6045">
          <cell r="E6045" t="str">
            <v>B26001723</v>
          </cell>
          <cell r="AP6045">
            <v>0</v>
          </cell>
          <cell r="AQ6045">
            <v>0</v>
          </cell>
          <cell r="AV6045">
            <v>0</v>
          </cell>
        </row>
        <row r="6046">
          <cell r="E6046" t="str">
            <v>D26001844</v>
          </cell>
          <cell r="AP6046">
            <v>0</v>
          </cell>
          <cell r="AQ6046">
            <v>0</v>
          </cell>
          <cell r="AV6046">
            <v>0</v>
          </cell>
        </row>
        <row r="6047">
          <cell r="E6047" t="str">
            <v>B26002084</v>
          </cell>
          <cell r="AP6047">
            <v>0</v>
          </cell>
          <cell r="AQ6047">
            <v>0</v>
          </cell>
          <cell r="AV6047">
            <v>0</v>
          </cell>
        </row>
        <row r="6048">
          <cell r="E6048" t="str">
            <v>B26002498</v>
          </cell>
          <cell r="AP6048">
            <v>0</v>
          </cell>
          <cell r="AQ6048">
            <v>0</v>
          </cell>
          <cell r="AV6048">
            <v>0</v>
          </cell>
        </row>
        <row r="6049">
          <cell r="E6049" t="str">
            <v>D26002770</v>
          </cell>
          <cell r="AP6049">
            <v>0</v>
          </cell>
          <cell r="AQ6049">
            <v>0</v>
          </cell>
          <cell r="AV6049">
            <v>0</v>
          </cell>
        </row>
        <row r="6050">
          <cell r="E6050" t="str">
            <v>D26002881</v>
          </cell>
          <cell r="AP6050">
            <v>0</v>
          </cell>
          <cell r="AQ6050">
            <v>0</v>
          </cell>
          <cell r="AV6050">
            <v>0</v>
          </cell>
        </row>
        <row r="6051">
          <cell r="E6051" t="str">
            <v>B26002851</v>
          </cell>
          <cell r="AP6051">
            <v>0</v>
          </cell>
          <cell r="AQ6051">
            <v>0</v>
          </cell>
          <cell r="AV6051">
            <v>0</v>
          </cell>
        </row>
        <row r="6052">
          <cell r="E6052" t="str">
            <v>D26003316</v>
          </cell>
          <cell r="AP6052">
            <v>0</v>
          </cell>
          <cell r="AQ6052">
            <v>0</v>
          </cell>
          <cell r="AV6052">
            <v>0</v>
          </cell>
        </row>
        <row r="6053">
          <cell r="E6053" t="str">
            <v>C26000098</v>
          </cell>
          <cell r="AP6053">
            <v>0</v>
          </cell>
          <cell r="AQ6053">
            <v>0</v>
          </cell>
          <cell r="AV6053">
            <v>0</v>
          </cell>
        </row>
        <row r="6054">
          <cell r="E6054" t="str">
            <v>T25001650K</v>
          </cell>
          <cell r="AP6054">
            <v>0</v>
          </cell>
          <cell r="AQ6054">
            <v>0</v>
          </cell>
          <cell r="AV6054">
            <v>0</v>
          </cell>
        </row>
        <row r="6055">
          <cell r="E6055" t="str">
            <v>B26000483</v>
          </cell>
          <cell r="AP6055">
            <v>0</v>
          </cell>
          <cell r="AQ6055">
            <v>0</v>
          </cell>
          <cell r="AV6055">
            <v>0</v>
          </cell>
        </row>
        <row r="6056">
          <cell r="E6056" t="str">
            <v>B26000849</v>
          </cell>
          <cell r="AP6056">
            <v>0</v>
          </cell>
          <cell r="AQ6056">
            <v>0</v>
          </cell>
          <cell r="AV6056">
            <v>0</v>
          </cell>
        </row>
        <row r="6057">
          <cell r="E6057" t="str">
            <v>B26001718</v>
          </cell>
          <cell r="AP6057">
            <v>0</v>
          </cell>
          <cell r="AQ6057">
            <v>0</v>
          </cell>
          <cell r="AV6057">
            <v>0</v>
          </cell>
        </row>
        <row r="6058">
          <cell r="E6058" t="str">
            <v>D26002373</v>
          </cell>
          <cell r="AP6058">
            <v>0</v>
          </cell>
          <cell r="AQ6058">
            <v>0</v>
          </cell>
          <cell r="AV6058">
            <v>0</v>
          </cell>
        </row>
        <row r="6059">
          <cell r="E6059" t="str">
            <v>D26003128</v>
          </cell>
          <cell r="AP6059">
            <v>0</v>
          </cell>
          <cell r="AQ6059">
            <v>0</v>
          </cell>
          <cell r="AV6059">
            <v>0</v>
          </cell>
        </row>
        <row r="6060">
          <cell r="E6060" t="str">
            <v>B26003133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B26003134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B26003038</v>
          </cell>
          <cell r="AP6062">
            <v>0</v>
          </cell>
          <cell r="AQ6062">
            <v>0</v>
          </cell>
          <cell r="AV6062">
            <v>822500</v>
          </cell>
        </row>
        <row r="6063">
          <cell r="E6063" t="str">
            <v>D26003236</v>
          </cell>
          <cell r="AP6063">
            <v>0</v>
          </cell>
          <cell r="AQ6063">
            <v>0</v>
          </cell>
          <cell r="AV6063">
            <v>5052500</v>
          </cell>
        </row>
        <row r="6064">
          <cell r="E6064" t="str">
            <v>B26000104</v>
          </cell>
          <cell r="AP6064">
            <v>0</v>
          </cell>
          <cell r="AQ6064">
            <v>0</v>
          </cell>
          <cell r="AV6064">
            <v>0</v>
          </cell>
        </row>
        <row r="6065">
          <cell r="E6065" t="str">
            <v>D26000509</v>
          </cell>
          <cell r="AP6065">
            <v>0</v>
          </cell>
          <cell r="AQ6065">
            <v>0</v>
          </cell>
          <cell r="AV6065">
            <v>0</v>
          </cell>
        </row>
        <row r="6066">
          <cell r="E6066" t="str">
            <v>D26000984</v>
          </cell>
          <cell r="AP6066">
            <v>0</v>
          </cell>
          <cell r="AQ6066">
            <v>0</v>
          </cell>
          <cell r="AV6066">
            <v>0</v>
          </cell>
        </row>
        <row r="6067">
          <cell r="E6067" t="str">
            <v>B26000961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D26001056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D26001312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B26001407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B26001408</v>
          </cell>
          <cell r="AP6071">
            <v>0</v>
          </cell>
          <cell r="AQ6071">
            <v>0</v>
          </cell>
          <cell r="AV6071">
            <v>0</v>
          </cell>
        </row>
        <row r="6072">
          <cell r="E6072" t="str">
            <v>B26001709</v>
          </cell>
          <cell r="AP6072">
            <v>0</v>
          </cell>
          <cell r="AQ6072">
            <v>0</v>
          </cell>
          <cell r="AV6072">
            <v>0</v>
          </cell>
        </row>
        <row r="6073">
          <cell r="E6073" t="str">
            <v>D26001768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B26001754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B26001755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D26001978</v>
          </cell>
          <cell r="AP6076">
            <v>0</v>
          </cell>
          <cell r="AQ6076">
            <v>0</v>
          </cell>
          <cell r="AV6076">
            <v>0</v>
          </cell>
        </row>
        <row r="6077">
          <cell r="E6077" t="str">
            <v>T26000140</v>
          </cell>
          <cell r="AP6077">
            <v>0</v>
          </cell>
          <cell r="AQ6077">
            <v>0</v>
          </cell>
          <cell r="AV6077">
            <v>0</v>
          </cell>
        </row>
        <row r="6078">
          <cell r="E6078" t="str">
            <v>B26001996</v>
          </cell>
          <cell r="AP6078">
            <v>0</v>
          </cell>
          <cell r="AQ6078">
            <v>0</v>
          </cell>
          <cell r="AV6078">
            <v>0</v>
          </cell>
        </row>
        <row r="6079">
          <cell r="E6079" t="str">
            <v>B26001997</v>
          </cell>
          <cell r="AP6079">
            <v>0</v>
          </cell>
          <cell r="AQ6079">
            <v>0</v>
          </cell>
          <cell r="AV6079">
            <v>0</v>
          </cell>
        </row>
        <row r="6080">
          <cell r="E6080" t="str">
            <v>D26002135</v>
          </cell>
          <cell r="AP6080">
            <v>0</v>
          </cell>
          <cell r="AQ6080">
            <v>0</v>
          </cell>
          <cell r="AV6080">
            <v>0</v>
          </cell>
        </row>
        <row r="6081">
          <cell r="E6081" t="str">
            <v>D26002379</v>
          </cell>
          <cell r="AP6081">
            <v>0</v>
          </cell>
          <cell r="AQ6081">
            <v>0</v>
          </cell>
          <cell r="AV6081">
            <v>0</v>
          </cell>
        </row>
        <row r="6082">
          <cell r="E6082" t="str">
            <v>D26002380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B26002331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B26002332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B26002365</v>
          </cell>
          <cell r="AP6085">
            <v>0</v>
          </cell>
          <cell r="AQ6085">
            <v>0</v>
          </cell>
          <cell r="AV6085">
            <v>0</v>
          </cell>
        </row>
        <row r="6086">
          <cell r="E6086" t="str">
            <v>B26002437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B26002438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D26002797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D26002798</v>
          </cell>
          <cell r="AP6089">
            <v>0</v>
          </cell>
          <cell r="AQ6089">
            <v>0</v>
          </cell>
          <cell r="AV6089">
            <v>0</v>
          </cell>
        </row>
        <row r="6090">
          <cell r="E6090" t="str">
            <v>B26002835</v>
          </cell>
          <cell r="AP6090">
            <v>0</v>
          </cell>
          <cell r="AQ6090">
            <v>0</v>
          </cell>
          <cell r="AV6090">
            <v>0</v>
          </cell>
        </row>
        <row r="6091">
          <cell r="E6091" t="str">
            <v>D26003036</v>
          </cell>
          <cell r="AP6091">
            <v>0</v>
          </cell>
          <cell r="AQ6091">
            <v>0</v>
          </cell>
          <cell r="AV6091">
            <v>0</v>
          </cell>
        </row>
        <row r="6092">
          <cell r="E6092" t="str">
            <v>B26002890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B26003014</v>
          </cell>
          <cell r="AP6093">
            <v>0</v>
          </cell>
          <cell r="AQ6093">
            <v>0</v>
          </cell>
          <cell r="AV6093">
            <v>0</v>
          </cell>
        </row>
        <row r="6094">
          <cell r="E6094" t="str">
            <v>D26003284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D26003436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D26003520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B26001530</v>
          </cell>
          <cell r="AP6097">
            <v>0</v>
          </cell>
          <cell r="AQ6097">
            <v>0</v>
          </cell>
          <cell r="AV6097">
            <v>6750000</v>
          </cell>
        </row>
        <row r="6098">
          <cell r="E6098" t="str">
            <v>B26002547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D26002972</v>
          </cell>
          <cell r="AP6099">
            <v>0</v>
          </cell>
          <cell r="AQ6099">
            <v>0</v>
          </cell>
          <cell r="AV6099">
            <v>17950000</v>
          </cell>
        </row>
        <row r="6100">
          <cell r="E6100" t="str">
            <v>N26000030</v>
          </cell>
          <cell r="AP6100">
            <v>0</v>
          </cell>
          <cell r="AQ6100">
            <v>0</v>
          </cell>
          <cell r="AV6100">
            <v>0</v>
          </cell>
        </row>
        <row r="6101">
          <cell r="E6101" t="str">
            <v>B26002961</v>
          </cell>
          <cell r="AP6101">
            <v>0</v>
          </cell>
          <cell r="AQ6101">
            <v>0</v>
          </cell>
          <cell r="AV6101">
            <v>0</v>
          </cell>
        </row>
        <row r="6102">
          <cell r="E6102" t="str">
            <v>Z26000593</v>
          </cell>
          <cell r="AP6102">
            <v>135000</v>
          </cell>
          <cell r="AQ6102">
            <v>0</v>
          </cell>
          <cell r="AV6102">
            <v>0</v>
          </cell>
        </row>
        <row r="6103">
          <cell r="E6103" t="str">
            <v>B26001093</v>
          </cell>
          <cell r="AP6103">
            <v>0</v>
          </cell>
          <cell r="AQ6103">
            <v>0</v>
          </cell>
          <cell r="AV6103">
            <v>1332500</v>
          </cell>
        </row>
        <row r="6104">
          <cell r="E6104" t="str">
            <v>B26001093</v>
          </cell>
          <cell r="AP6104">
            <v>0</v>
          </cell>
          <cell r="AQ6104">
            <v>0</v>
          </cell>
          <cell r="AV6104">
            <v>2350000</v>
          </cell>
        </row>
        <row r="6105">
          <cell r="E6105" t="str">
            <v>B26000861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B26000967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D26001363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T26000238</v>
          </cell>
          <cell r="AP6108">
            <v>0</v>
          </cell>
          <cell r="AQ6108">
            <v>0</v>
          </cell>
          <cell r="AV6108">
            <v>0</v>
          </cell>
        </row>
        <row r="6109">
          <cell r="E6109" t="str">
            <v>B26002178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D26002355</v>
          </cell>
          <cell r="AP6110">
            <v>0</v>
          </cell>
          <cell r="AQ6110">
            <v>0</v>
          </cell>
          <cell r="AV6110">
            <v>0</v>
          </cell>
        </row>
        <row r="6111">
          <cell r="E6111" t="str">
            <v>D26002854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B26001364</v>
          </cell>
          <cell r="AP6112">
            <v>0</v>
          </cell>
          <cell r="AQ6112">
            <v>0</v>
          </cell>
          <cell r="AV6112">
            <v>3500000</v>
          </cell>
        </row>
        <row r="6113">
          <cell r="E6113" t="str">
            <v>B26002344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B26002766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B26002767</v>
          </cell>
          <cell r="AP6115">
            <v>0</v>
          </cell>
          <cell r="AQ6115">
            <v>0</v>
          </cell>
          <cell r="AV6115">
            <v>0</v>
          </cell>
        </row>
        <row r="6116">
          <cell r="E6116" t="str">
            <v>D26003336</v>
          </cell>
          <cell r="AP6116">
            <v>0</v>
          </cell>
          <cell r="AQ6116">
            <v>0</v>
          </cell>
          <cell r="AV6116">
            <v>0</v>
          </cell>
        </row>
        <row r="6117">
          <cell r="E6117" t="str">
            <v>T24000579</v>
          </cell>
          <cell r="AP6117">
            <v>0</v>
          </cell>
          <cell r="AQ6117">
            <v>0</v>
          </cell>
          <cell r="AV6117">
            <v>0</v>
          </cell>
        </row>
        <row r="6118">
          <cell r="E6118" t="str">
            <v>T26000094</v>
          </cell>
          <cell r="AP6118">
            <v>0</v>
          </cell>
          <cell r="AQ6118">
            <v>0</v>
          </cell>
          <cell r="AV6118">
            <v>0</v>
          </cell>
        </row>
        <row r="6119">
          <cell r="E6119" t="str">
            <v>T26000095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B26002626</v>
          </cell>
          <cell r="AP6120">
            <v>0</v>
          </cell>
          <cell r="AQ6120">
            <v>0</v>
          </cell>
          <cell r="AV6120">
            <v>0</v>
          </cell>
        </row>
        <row r="6121">
          <cell r="E6121" t="str">
            <v>B26003204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B25016963</v>
          </cell>
          <cell r="AP6122">
            <v>0</v>
          </cell>
          <cell r="AQ6122">
            <v>0</v>
          </cell>
          <cell r="AV6122">
            <v>4375000</v>
          </cell>
        </row>
        <row r="6123">
          <cell r="E6123" t="str">
            <v>B26000087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D26002198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B26002163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D26000285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D26000339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D26000436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D26001086</v>
          </cell>
          <cell r="AP6129">
            <v>0</v>
          </cell>
          <cell r="AQ6129">
            <v>0</v>
          </cell>
          <cell r="AV6129">
            <v>0</v>
          </cell>
        </row>
        <row r="6130">
          <cell r="E6130" t="str">
            <v>D26001227</v>
          </cell>
          <cell r="AP6130">
            <v>0</v>
          </cell>
          <cell r="AQ6130">
            <v>0</v>
          </cell>
          <cell r="AV6130">
            <v>0</v>
          </cell>
        </row>
        <row r="6131">
          <cell r="E6131" t="str">
            <v>D26001471</v>
          </cell>
          <cell r="AP6131">
            <v>0</v>
          </cell>
          <cell r="AQ6131">
            <v>0</v>
          </cell>
          <cell r="AV6131">
            <v>0</v>
          </cell>
        </row>
        <row r="6132">
          <cell r="E6132" t="str">
            <v>D26002048</v>
          </cell>
          <cell r="AP6132">
            <v>0</v>
          </cell>
          <cell r="AQ6132">
            <v>0</v>
          </cell>
          <cell r="AV6132">
            <v>0</v>
          </cell>
        </row>
        <row r="6133">
          <cell r="E6133" t="str">
            <v>B26002097</v>
          </cell>
          <cell r="AP6133">
            <v>0</v>
          </cell>
          <cell r="AQ6133">
            <v>0</v>
          </cell>
          <cell r="AV6133">
            <v>0</v>
          </cell>
        </row>
        <row r="6134">
          <cell r="E6134" t="str">
            <v>B26002151</v>
          </cell>
          <cell r="AP6134">
            <v>0</v>
          </cell>
          <cell r="AQ6134">
            <v>0</v>
          </cell>
          <cell r="AV6134">
            <v>0</v>
          </cell>
        </row>
        <row r="6135">
          <cell r="E6135" t="str">
            <v>D26002246</v>
          </cell>
          <cell r="AP6135">
            <v>0</v>
          </cell>
          <cell r="AQ6135">
            <v>0</v>
          </cell>
          <cell r="AV6135">
            <v>0</v>
          </cell>
        </row>
        <row r="6136">
          <cell r="E6136" t="str">
            <v>D26002303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D26002363</v>
          </cell>
          <cell r="AP6137">
            <v>0</v>
          </cell>
          <cell r="AQ6137">
            <v>0</v>
          </cell>
          <cell r="AV6137">
            <v>0</v>
          </cell>
        </row>
        <row r="6138">
          <cell r="E6138" t="str">
            <v>B26002205</v>
          </cell>
          <cell r="AP6138">
            <v>0</v>
          </cell>
          <cell r="AQ6138">
            <v>0</v>
          </cell>
          <cell r="AV6138">
            <v>0</v>
          </cell>
        </row>
        <row r="6139">
          <cell r="E6139" t="str">
            <v>B26002351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B26002439</v>
          </cell>
          <cell r="AP6140">
            <v>0</v>
          </cell>
          <cell r="AQ6140">
            <v>0</v>
          </cell>
          <cell r="AV6140">
            <v>0</v>
          </cell>
        </row>
        <row r="6141">
          <cell r="E6141" t="str">
            <v>B26002440</v>
          </cell>
          <cell r="AP6141">
            <v>0</v>
          </cell>
          <cell r="AQ6141">
            <v>0</v>
          </cell>
          <cell r="AV6141">
            <v>0</v>
          </cell>
        </row>
        <row r="6142">
          <cell r="E6142" t="str">
            <v>B26002477</v>
          </cell>
          <cell r="AP6142">
            <v>0</v>
          </cell>
          <cell r="AQ6142">
            <v>0</v>
          </cell>
          <cell r="AV6142">
            <v>0</v>
          </cell>
        </row>
        <row r="6143">
          <cell r="E6143" t="str">
            <v>B26002530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B26002594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D26002765</v>
          </cell>
          <cell r="AP6145">
            <v>0</v>
          </cell>
          <cell r="AQ6145">
            <v>0</v>
          </cell>
          <cell r="AV6145">
            <v>0</v>
          </cell>
        </row>
        <row r="6146">
          <cell r="E6146" t="str">
            <v>B26002681</v>
          </cell>
          <cell r="AP6146">
            <v>0</v>
          </cell>
          <cell r="AQ6146">
            <v>0</v>
          </cell>
          <cell r="AV6146">
            <v>0</v>
          </cell>
        </row>
        <row r="6147">
          <cell r="E6147" t="str">
            <v>B26002830</v>
          </cell>
          <cell r="AP6147">
            <v>0</v>
          </cell>
          <cell r="AQ6147">
            <v>0</v>
          </cell>
          <cell r="AV6147">
            <v>0</v>
          </cell>
        </row>
        <row r="6148">
          <cell r="E6148" t="str">
            <v>B26002831</v>
          </cell>
          <cell r="AP6148">
            <v>0</v>
          </cell>
          <cell r="AQ6148">
            <v>0</v>
          </cell>
          <cell r="AV6148">
            <v>0</v>
          </cell>
        </row>
        <row r="6149">
          <cell r="E6149" t="str">
            <v>D26003069</v>
          </cell>
          <cell r="AP6149">
            <v>0</v>
          </cell>
          <cell r="AQ6149">
            <v>0</v>
          </cell>
          <cell r="AV6149">
            <v>0</v>
          </cell>
        </row>
        <row r="6150">
          <cell r="E6150" t="str">
            <v>D26003411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D26003414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B26003234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D26003482</v>
          </cell>
          <cell r="AP6153">
            <v>0</v>
          </cell>
          <cell r="AQ6153">
            <v>0</v>
          </cell>
          <cell r="AV6153">
            <v>0</v>
          </cell>
        </row>
        <row r="6154">
          <cell r="E6154" t="str">
            <v>D25017697</v>
          </cell>
          <cell r="AP6154">
            <v>0</v>
          </cell>
          <cell r="AQ6154">
            <v>0</v>
          </cell>
          <cell r="AV6154">
            <v>0</v>
          </cell>
        </row>
        <row r="6155">
          <cell r="E6155" t="str">
            <v>D26002415</v>
          </cell>
          <cell r="AP6155">
            <v>0</v>
          </cell>
          <cell r="AQ6155">
            <v>0</v>
          </cell>
          <cell r="AV6155">
            <v>0</v>
          </cell>
        </row>
        <row r="6156">
          <cell r="E6156" t="str">
            <v>B26002271</v>
          </cell>
          <cell r="AP6156">
            <v>0</v>
          </cell>
          <cell r="AQ6156">
            <v>0</v>
          </cell>
          <cell r="AV6156">
            <v>0</v>
          </cell>
        </row>
        <row r="6157">
          <cell r="E6157" t="str">
            <v>D26002483</v>
          </cell>
          <cell r="AP6157">
            <v>0</v>
          </cell>
          <cell r="AQ6157">
            <v>0</v>
          </cell>
          <cell r="AV6157">
            <v>0</v>
          </cell>
        </row>
        <row r="6158">
          <cell r="E6158" t="str">
            <v>B26003071</v>
          </cell>
          <cell r="AP6158">
            <v>0</v>
          </cell>
          <cell r="AQ6158">
            <v>0</v>
          </cell>
          <cell r="AV6158">
            <v>6160000</v>
          </cell>
        </row>
        <row r="6159">
          <cell r="E6159" t="str">
            <v>B26003235</v>
          </cell>
          <cell r="AP6159">
            <v>0</v>
          </cell>
          <cell r="AQ6159">
            <v>0</v>
          </cell>
          <cell r="AV6159">
            <v>0</v>
          </cell>
        </row>
        <row r="6160">
          <cell r="E6160" t="str">
            <v>B26003237</v>
          </cell>
          <cell r="AP6160">
            <v>0</v>
          </cell>
          <cell r="AQ6160">
            <v>0</v>
          </cell>
          <cell r="AV6160">
            <v>0</v>
          </cell>
        </row>
        <row r="6162">
          <cell r="E6162" t="str">
            <v>x</v>
          </cell>
          <cell r="AP6162" t="str">
            <v>x</v>
          </cell>
          <cell r="AQ6162" t="str">
            <v>x</v>
          </cell>
          <cell r="AV6162" t="str">
            <v>x</v>
          </cell>
        </row>
        <row r="6163">
          <cell r="AP6163">
            <v>471764800</v>
          </cell>
          <cell r="AQ6163">
            <v>19490767250</v>
          </cell>
          <cell r="AV6163">
            <v>18145980450</v>
          </cell>
        </row>
        <row r="6164">
          <cell r="AQ6164">
            <v>19490767250</v>
          </cell>
        </row>
        <row r="6165">
          <cell r="AQ6165">
            <v>0</v>
          </cell>
        </row>
        <row r="6166">
          <cell r="AQ6166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27"/>
  <sheetViews>
    <sheetView topLeftCell="A13" workbookViewId="0">
      <selection activeCell="F17" sqref="F17"/>
    </sheetView>
  </sheetViews>
  <sheetFormatPr defaultRowHeight="15"/>
  <cols>
    <col min="2" max="2" width="10" customWidth="1"/>
  </cols>
  <sheetData>
    <row r="3" spans="1:20" ht="25.5">
      <c r="A3" s="113" t="s">
        <v>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" t="s">
        <v>1</v>
      </c>
      <c r="M3" s="2" t="s">
        <v>2</v>
      </c>
      <c r="N3" s="3" t="s">
        <v>3</v>
      </c>
      <c r="O3" s="1" t="s">
        <v>4</v>
      </c>
      <c r="P3" s="1" t="s">
        <v>4</v>
      </c>
      <c r="Q3" s="114" t="s">
        <v>5</v>
      </c>
      <c r="R3" s="114"/>
      <c r="S3" s="114"/>
      <c r="T3" s="3" t="s">
        <v>4</v>
      </c>
    </row>
    <row r="4" spans="1:20" ht="36">
      <c r="A4" s="4" t="s">
        <v>6</v>
      </c>
      <c r="B4" s="5" t="s">
        <v>7</v>
      </c>
      <c r="C4" s="6" t="s">
        <v>8</v>
      </c>
      <c r="D4" s="7" t="s">
        <v>9</v>
      </c>
      <c r="E4" s="115" t="s">
        <v>10</v>
      </c>
      <c r="F4" s="115"/>
      <c r="G4" s="8" t="s">
        <v>11</v>
      </c>
      <c r="H4" s="9" t="s">
        <v>12</v>
      </c>
      <c r="I4" s="10" t="s">
        <v>13</v>
      </c>
      <c r="J4" s="116" t="s">
        <v>14</v>
      </c>
      <c r="K4" s="116"/>
      <c r="L4" s="11" t="s">
        <v>15</v>
      </c>
      <c r="M4" s="12" t="s">
        <v>16</v>
      </c>
      <c r="N4" s="13" t="s">
        <v>17</v>
      </c>
      <c r="O4" s="11" t="s">
        <v>18</v>
      </c>
      <c r="P4" s="11" t="s">
        <v>19</v>
      </c>
      <c r="Q4" s="14" t="s">
        <v>20</v>
      </c>
      <c r="R4" s="14" t="s">
        <v>21</v>
      </c>
      <c r="S4" s="14" t="s">
        <v>2</v>
      </c>
      <c r="T4" s="13" t="s">
        <v>22</v>
      </c>
    </row>
    <row r="5" spans="1:20">
      <c r="A5" s="15" t="s">
        <v>23</v>
      </c>
      <c r="B5" s="16">
        <f>+E5+G5+H5+J5</f>
        <v>9416.06005</v>
      </c>
      <c r="C5" s="17">
        <v>0.96</v>
      </c>
      <c r="D5" s="18">
        <f>+F5</f>
        <v>0.92182417634433</v>
      </c>
      <c r="E5" s="16">
        <v>8679.9518000000007</v>
      </c>
      <c r="F5" s="19">
        <f t="shared" ref="F5:F6" si="0">+E5/B5</f>
        <v>0.92182417634433</v>
      </c>
      <c r="G5" s="16">
        <v>736.10825</v>
      </c>
      <c r="H5" s="16">
        <v>0</v>
      </c>
      <c r="I5" s="19">
        <f t="shared" ref="I5:I6" si="1">+(G5+H5)/B5</f>
        <v>7.8175823655670079E-2</v>
      </c>
      <c r="J5" s="16">
        <v>0</v>
      </c>
      <c r="K5" s="19">
        <f t="shared" ref="K5:K6" si="2">+J5/B5</f>
        <v>0</v>
      </c>
      <c r="L5" s="20">
        <v>0</v>
      </c>
      <c r="M5" s="21">
        <v>0.81610921356684918</v>
      </c>
      <c r="N5" s="22"/>
      <c r="O5" s="22"/>
      <c r="P5" s="22"/>
      <c r="Q5" s="23"/>
      <c r="R5" s="23"/>
      <c r="S5" s="19">
        <v>1</v>
      </c>
      <c r="T5" s="24">
        <v>0</v>
      </c>
    </row>
    <row r="6" spans="1:20">
      <c r="A6" s="15" t="s">
        <v>38</v>
      </c>
      <c r="B6" s="16">
        <f>+E6+G6+H6+J6</f>
        <v>9766.110999999999</v>
      </c>
      <c r="C6" s="17">
        <v>0.96</v>
      </c>
      <c r="D6" s="18">
        <f>AVERAGE(F5:F6)</f>
        <v>0.9155861518808408</v>
      </c>
      <c r="E6" s="16">
        <v>8880.7947499999991</v>
      </c>
      <c r="F6" s="17">
        <f t="shared" si="0"/>
        <v>0.90934812741735171</v>
      </c>
      <c r="G6" s="16">
        <v>692.52925000000005</v>
      </c>
      <c r="H6" s="16">
        <v>192.78700000000001</v>
      </c>
      <c r="I6" s="19">
        <f t="shared" si="1"/>
        <v>9.0651872582648327E-2</v>
      </c>
      <c r="J6" s="16">
        <v>0</v>
      </c>
      <c r="K6" s="17">
        <f t="shared" si="2"/>
        <v>0</v>
      </c>
      <c r="L6" s="20">
        <v>0</v>
      </c>
      <c r="M6" s="21">
        <v>0.65818400972603663</v>
      </c>
      <c r="N6" s="22"/>
      <c r="O6" s="22"/>
      <c r="P6" s="22"/>
      <c r="Q6" s="23"/>
      <c r="R6" s="23"/>
      <c r="S6" s="19">
        <v>1</v>
      </c>
      <c r="T6" s="24">
        <v>0</v>
      </c>
    </row>
    <row r="9" spans="1:20">
      <c r="A9" s="117" t="s">
        <v>24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</row>
    <row r="10" spans="1:20">
      <c r="A10" s="119" t="s">
        <v>6</v>
      </c>
      <c r="B10" s="120" t="s">
        <v>25</v>
      </c>
      <c r="C10" s="121"/>
      <c r="D10" s="121"/>
      <c r="E10" s="121"/>
      <c r="F10" s="121"/>
      <c r="G10" s="121"/>
      <c r="H10" s="122"/>
      <c r="I10" s="123" t="s">
        <v>8</v>
      </c>
      <c r="J10" s="124"/>
      <c r="K10" s="25" t="s">
        <v>26</v>
      </c>
      <c r="L10" s="25" t="s">
        <v>27</v>
      </c>
    </row>
    <row r="11" spans="1:20">
      <c r="A11" s="119"/>
      <c r="B11" s="125" t="s">
        <v>28</v>
      </c>
      <c r="C11" s="126"/>
      <c r="D11" s="126"/>
      <c r="E11" s="127"/>
      <c r="F11" s="128" t="s">
        <v>29</v>
      </c>
      <c r="G11" s="129"/>
      <c r="H11" s="130"/>
      <c r="I11" s="111" t="s">
        <v>30</v>
      </c>
      <c r="J11" s="112"/>
      <c r="K11" s="26" t="s">
        <v>31</v>
      </c>
      <c r="L11" s="26" t="s">
        <v>32</v>
      </c>
    </row>
    <row r="12" spans="1:20">
      <c r="A12" s="119"/>
      <c r="B12" s="27" t="s">
        <v>8</v>
      </c>
      <c r="C12" s="28" t="s">
        <v>2</v>
      </c>
      <c r="D12" s="28" t="s">
        <v>33</v>
      </c>
      <c r="E12" s="29" t="s">
        <v>34</v>
      </c>
      <c r="F12" s="28" t="s">
        <v>2</v>
      </c>
      <c r="G12" s="28" t="s">
        <v>33</v>
      </c>
      <c r="H12" s="29" t="s">
        <v>34</v>
      </c>
      <c r="I12" s="30" t="s">
        <v>33</v>
      </c>
      <c r="J12" s="30" t="s">
        <v>34</v>
      </c>
      <c r="K12" s="31" t="s">
        <v>35</v>
      </c>
      <c r="L12" s="31" t="s">
        <v>35</v>
      </c>
    </row>
    <row r="13" spans="1:20">
      <c r="A13" s="32" t="s">
        <v>23</v>
      </c>
      <c r="B13" s="33">
        <v>0.9</v>
      </c>
      <c r="C13" s="33">
        <f>+D13/(D13+E13)</f>
        <v>0.92481315711564616</v>
      </c>
      <c r="D13" s="34">
        <f>+G13</f>
        <v>11386.150025000004</v>
      </c>
      <c r="E13" s="34">
        <f>+H13</f>
        <v>925.68824999999993</v>
      </c>
      <c r="F13" s="35">
        <f t="shared" ref="F13:F14" si="3">+G13/(G13+H13)</f>
        <v>0.92481315711564616</v>
      </c>
      <c r="G13" s="36">
        <v>11386.150025000004</v>
      </c>
      <c r="H13" s="37">
        <v>925.68824999999993</v>
      </c>
      <c r="I13" s="36" t="s">
        <v>36</v>
      </c>
      <c r="J13" s="36" t="s">
        <v>37</v>
      </c>
      <c r="K13" s="38">
        <v>1</v>
      </c>
      <c r="L13" s="39">
        <v>0.28009418780782763</v>
      </c>
    </row>
    <row r="14" spans="1:20">
      <c r="A14" s="32" t="s">
        <v>38</v>
      </c>
      <c r="B14" s="33">
        <v>0.9</v>
      </c>
      <c r="C14" s="33">
        <f t="shared" ref="C14" si="4">+D14/(D14+E14)</f>
        <v>0.94899654198078343</v>
      </c>
      <c r="D14" s="34">
        <f>+D13+G14</f>
        <v>24483.185725000003</v>
      </c>
      <c r="E14" s="34">
        <f>+E13+H14</f>
        <v>1315.8394999999998</v>
      </c>
      <c r="F14" s="35">
        <f t="shared" si="3"/>
        <v>0.97107245184289515</v>
      </c>
      <c r="G14" s="37">
        <v>13097.0357</v>
      </c>
      <c r="H14" s="37">
        <v>390.15124999999995</v>
      </c>
      <c r="I14" s="36" t="s">
        <v>36</v>
      </c>
      <c r="J14" s="36" t="s">
        <v>37</v>
      </c>
      <c r="K14" s="38">
        <v>0</v>
      </c>
      <c r="L14" s="39">
        <v>1.948149636045643E-2</v>
      </c>
    </row>
    <row r="19" spans="1:8">
      <c r="A19" s="40" t="s">
        <v>39</v>
      </c>
      <c r="B19" s="40" t="s">
        <v>40</v>
      </c>
      <c r="C19" s="40" t="s">
        <v>41</v>
      </c>
      <c r="D19" s="40" t="s">
        <v>42</v>
      </c>
      <c r="E19" s="40" t="s">
        <v>43</v>
      </c>
      <c r="F19" s="40" t="s">
        <v>44</v>
      </c>
      <c r="G19" s="40" t="s">
        <v>45</v>
      </c>
      <c r="H19" s="40" t="s">
        <v>46</v>
      </c>
    </row>
    <row r="20" spans="1:8">
      <c r="A20" s="110">
        <v>1</v>
      </c>
      <c r="B20" s="41" t="s">
        <v>47</v>
      </c>
      <c r="C20" s="42">
        <v>387</v>
      </c>
      <c r="D20" s="43">
        <v>468</v>
      </c>
      <c r="E20" s="43">
        <v>609</v>
      </c>
      <c r="F20" s="43">
        <v>453</v>
      </c>
      <c r="G20" s="43">
        <v>438</v>
      </c>
      <c r="H20" s="43">
        <v>889</v>
      </c>
    </row>
    <row r="21" spans="1:8">
      <c r="A21" s="110"/>
      <c r="B21" s="41" t="s">
        <v>48</v>
      </c>
      <c r="C21" s="42">
        <v>357</v>
      </c>
      <c r="D21" s="43">
        <v>455</v>
      </c>
      <c r="E21" s="42">
        <v>562</v>
      </c>
      <c r="F21" s="43">
        <v>415</v>
      </c>
      <c r="G21" s="43">
        <v>415</v>
      </c>
      <c r="H21" s="43">
        <v>861</v>
      </c>
    </row>
    <row r="22" spans="1:8">
      <c r="A22" s="110"/>
      <c r="B22" s="41" t="s">
        <v>8</v>
      </c>
      <c r="C22" s="42">
        <v>30</v>
      </c>
      <c r="D22" s="42">
        <f>+D20-D21</f>
        <v>13</v>
      </c>
      <c r="E22" s="42">
        <f>+E20-E21</f>
        <v>47</v>
      </c>
      <c r="F22" s="42">
        <f>+F20-F21</f>
        <v>38</v>
      </c>
      <c r="G22" s="42">
        <f>+G20-G21</f>
        <v>23</v>
      </c>
      <c r="H22" s="42">
        <v>28</v>
      </c>
    </row>
    <row r="23" spans="1:8">
      <c r="A23" s="110"/>
      <c r="B23" s="44" t="s">
        <v>2</v>
      </c>
      <c r="C23" s="45">
        <f>C21/C20</f>
        <v>0.92248062015503873</v>
      </c>
      <c r="D23" s="45">
        <f t="shared" ref="D23:H23" si="5">D21/D20</f>
        <v>0.97222222222222221</v>
      </c>
      <c r="E23" s="45">
        <f t="shared" si="5"/>
        <v>0.92282430213464695</v>
      </c>
      <c r="F23" s="45">
        <f t="shared" si="5"/>
        <v>0.91611479028697573</v>
      </c>
      <c r="G23" s="45">
        <f t="shared" si="5"/>
        <v>0.94748858447488582</v>
      </c>
      <c r="H23" s="45">
        <f t="shared" si="5"/>
        <v>0.96850393700787396</v>
      </c>
    </row>
    <row r="24" spans="1:8">
      <c r="A24" s="110">
        <v>2</v>
      </c>
      <c r="B24" s="41" t="s">
        <v>47</v>
      </c>
      <c r="C24" s="42">
        <v>387</v>
      </c>
      <c r="D24" s="43">
        <v>468</v>
      </c>
      <c r="E24" s="43">
        <v>609</v>
      </c>
      <c r="F24" s="43">
        <v>453</v>
      </c>
      <c r="G24" s="43">
        <v>440</v>
      </c>
      <c r="H24" s="43">
        <v>889</v>
      </c>
    </row>
    <row r="25" spans="1:8">
      <c r="A25" s="110"/>
      <c r="B25" s="41" t="s">
        <v>48</v>
      </c>
      <c r="C25" s="42">
        <v>363</v>
      </c>
      <c r="D25" s="43">
        <v>455</v>
      </c>
      <c r="E25" s="42">
        <v>564</v>
      </c>
      <c r="F25" s="43">
        <v>425</v>
      </c>
      <c r="G25" s="43">
        <v>404</v>
      </c>
      <c r="H25" s="43">
        <v>863</v>
      </c>
    </row>
    <row r="26" spans="1:8">
      <c r="A26" s="110"/>
      <c r="B26" s="41" t="s">
        <v>8</v>
      </c>
      <c r="C26" s="42">
        <f t="shared" ref="C26:H26" si="6">+C24-C25</f>
        <v>24</v>
      </c>
      <c r="D26" s="42">
        <f t="shared" si="6"/>
        <v>13</v>
      </c>
      <c r="E26" s="42">
        <f t="shared" si="6"/>
        <v>45</v>
      </c>
      <c r="F26" s="42">
        <f t="shared" si="6"/>
        <v>28</v>
      </c>
      <c r="G26" s="42">
        <f t="shared" si="6"/>
        <v>36</v>
      </c>
      <c r="H26" s="42">
        <f t="shared" si="6"/>
        <v>26</v>
      </c>
    </row>
    <row r="27" spans="1:8">
      <c r="A27" s="110"/>
      <c r="B27" s="107" t="s">
        <v>2</v>
      </c>
      <c r="C27" s="108">
        <f>C25/C24</f>
        <v>0.93798449612403101</v>
      </c>
      <c r="D27" s="109">
        <f t="shared" ref="D27:E27" si="7">D25/D24</f>
        <v>0.97222222222222221</v>
      </c>
      <c r="E27" s="108">
        <f t="shared" si="7"/>
        <v>0.92610837438423643</v>
      </c>
      <c r="F27" s="108">
        <f>F25/F24</f>
        <v>0.9381898454746137</v>
      </c>
      <c r="G27" s="109">
        <f t="shared" ref="G27:H27" si="8">G25/G24</f>
        <v>0.91818181818181821</v>
      </c>
      <c r="H27" s="108">
        <f t="shared" si="8"/>
        <v>0.97075365579302586</v>
      </c>
    </row>
  </sheetData>
  <mergeCells count="13">
    <mergeCell ref="A24:A27"/>
    <mergeCell ref="I11:J11"/>
    <mergeCell ref="A20:A23"/>
    <mergeCell ref="A3:K3"/>
    <mergeCell ref="Q3:S3"/>
    <mergeCell ref="E4:F4"/>
    <mergeCell ref="J4:K4"/>
    <mergeCell ref="A9:L9"/>
    <mergeCell ref="A10:A12"/>
    <mergeCell ref="B10:H10"/>
    <mergeCell ref="I10:J10"/>
    <mergeCell ref="B11:E11"/>
    <mergeCell ref="F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47"/>
  <sheetViews>
    <sheetView zoomScale="90" zoomScaleNormal="90" workbookViewId="0">
      <pane xSplit="3" ySplit="6" topLeftCell="D176" activePane="bottomRight" state="frozen"/>
      <selection pane="topRight" activeCell="C1" sqref="C1"/>
      <selection pane="bottomLeft" activeCell="A3" sqref="A3"/>
      <selection pane="bottomRight" activeCell="N152" sqref="N152"/>
    </sheetView>
  </sheetViews>
  <sheetFormatPr defaultRowHeight="15"/>
  <cols>
    <col min="1" max="1" width="3.85546875" customWidth="1"/>
    <col min="2" max="2" width="4.5703125" customWidth="1"/>
    <col min="3" max="3" width="21.7109375" customWidth="1"/>
    <col min="4" max="5" width="5.7109375" customWidth="1"/>
    <col min="6" max="6" width="6" customWidth="1"/>
    <col min="7" max="21" width="5.7109375" customWidth="1"/>
    <col min="22" max="22" width="4.7109375" customWidth="1"/>
    <col min="23" max="23" width="5" customWidth="1"/>
    <col min="24" max="24" width="5.140625" customWidth="1"/>
    <col min="25" max="34" width="5.7109375" customWidth="1"/>
    <col min="35" max="35" width="6.140625" customWidth="1"/>
    <col min="36" max="40" width="5.7109375" customWidth="1"/>
  </cols>
  <sheetData>
    <row r="1" spans="2:56" ht="15.75">
      <c r="B1" s="131" t="s">
        <v>49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</row>
    <row r="2" spans="2:56">
      <c r="B2" s="132" t="s">
        <v>162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46" t="s">
        <v>50</v>
      </c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</row>
    <row r="3" spans="2:56">
      <c r="B3" s="47"/>
      <c r="C3" s="48" t="s">
        <v>51</v>
      </c>
      <c r="D3" s="46" t="s">
        <v>52</v>
      </c>
      <c r="E3" s="49" t="s">
        <v>46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 t="s">
        <v>50</v>
      </c>
      <c r="U3" s="46"/>
      <c r="V3" s="46"/>
      <c r="W3" s="46"/>
      <c r="X3" s="46"/>
      <c r="Y3" s="46"/>
      <c r="Z3" s="46" t="s">
        <v>50</v>
      </c>
      <c r="AA3" s="46"/>
      <c r="AB3" s="46" t="s">
        <v>50</v>
      </c>
      <c r="AC3" s="46" t="s">
        <v>50</v>
      </c>
      <c r="AD3" s="46" t="s">
        <v>50</v>
      </c>
      <c r="AE3" s="46"/>
      <c r="AF3" s="46" t="s">
        <v>50</v>
      </c>
      <c r="AG3" s="46" t="s">
        <v>50</v>
      </c>
      <c r="AH3" s="46"/>
      <c r="AI3" s="46" t="s">
        <v>50</v>
      </c>
      <c r="AJ3" s="46" t="s">
        <v>50</v>
      </c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</row>
    <row r="4" spans="2:56">
      <c r="B4" s="48"/>
      <c r="C4" s="48" t="s">
        <v>53</v>
      </c>
      <c r="D4" s="46" t="s">
        <v>52</v>
      </c>
      <c r="E4" s="49" t="s">
        <v>54</v>
      </c>
      <c r="F4" s="46"/>
      <c r="G4" s="46"/>
      <c r="H4" s="46"/>
      <c r="I4" s="46"/>
      <c r="J4" s="46"/>
      <c r="K4" s="46"/>
      <c r="L4" s="46"/>
      <c r="M4" s="46"/>
      <c r="N4" s="46" t="s">
        <v>50</v>
      </c>
      <c r="O4" s="46"/>
      <c r="P4" s="46"/>
      <c r="Q4" s="46"/>
      <c r="R4" s="46"/>
      <c r="S4" s="46"/>
      <c r="T4" s="46"/>
      <c r="U4" s="46"/>
      <c r="V4" s="46"/>
      <c r="W4" s="46"/>
      <c r="X4" s="46" t="s">
        <v>50</v>
      </c>
      <c r="Y4" s="46"/>
      <c r="Z4" s="46" t="s">
        <v>50</v>
      </c>
      <c r="AA4" s="46" t="s">
        <v>50</v>
      </c>
      <c r="AB4" s="46"/>
      <c r="AC4" s="46"/>
      <c r="AD4" s="46" t="s">
        <v>50</v>
      </c>
      <c r="AE4" s="46"/>
      <c r="AF4" s="46" t="s">
        <v>50</v>
      </c>
      <c r="AG4" s="46"/>
      <c r="AH4" s="46" t="s">
        <v>50</v>
      </c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</row>
    <row r="5" spans="2:56">
      <c r="B5" s="48"/>
      <c r="C5" s="48" t="s">
        <v>55</v>
      </c>
      <c r="D5" s="46" t="s">
        <v>52</v>
      </c>
      <c r="E5" s="49" t="s">
        <v>56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</row>
    <row r="6" spans="2:56" s="50" customFormat="1" ht="12.95" customHeight="1">
      <c r="B6" s="51" t="s">
        <v>57</v>
      </c>
      <c r="C6" s="51" t="s">
        <v>58</v>
      </c>
      <c r="D6" s="52">
        <v>1</v>
      </c>
      <c r="E6" s="53">
        <v>2</v>
      </c>
      <c r="F6" s="53">
        <v>3</v>
      </c>
      <c r="G6" s="53">
        <v>4</v>
      </c>
      <c r="H6" s="53">
        <v>5</v>
      </c>
      <c r="I6" s="53">
        <v>6</v>
      </c>
      <c r="J6" s="53">
        <v>7</v>
      </c>
      <c r="K6" s="52">
        <v>8</v>
      </c>
      <c r="L6" s="53">
        <v>9</v>
      </c>
      <c r="M6" s="53">
        <v>10</v>
      </c>
      <c r="N6" s="53">
        <v>11</v>
      </c>
      <c r="O6" s="53">
        <v>12</v>
      </c>
      <c r="P6" s="53">
        <v>13</v>
      </c>
      <c r="Q6" s="53">
        <v>14</v>
      </c>
      <c r="R6" s="52">
        <v>15</v>
      </c>
      <c r="S6" s="53">
        <v>16</v>
      </c>
      <c r="T6" s="52">
        <v>17</v>
      </c>
      <c r="U6" s="53">
        <v>18</v>
      </c>
      <c r="V6" s="53">
        <v>19</v>
      </c>
      <c r="W6" s="53">
        <v>20</v>
      </c>
      <c r="X6" s="53">
        <v>21</v>
      </c>
      <c r="Y6" s="52">
        <v>22</v>
      </c>
      <c r="Z6" s="53">
        <v>23</v>
      </c>
      <c r="AA6" s="53">
        <v>24</v>
      </c>
      <c r="AB6" s="53">
        <v>25</v>
      </c>
      <c r="AC6" s="53">
        <v>26</v>
      </c>
      <c r="AD6" s="53">
        <v>27</v>
      </c>
      <c r="AE6" s="53">
        <v>28</v>
      </c>
      <c r="AF6" s="53">
        <v>29</v>
      </c>
      <c r="AG6" s="53">
        <v>30</v>
      </c>
      <c r="AH6" s="53">
        <v>31</v>
      </c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</row>
    <row r="7" spans="2:56" s="50" customFormat="1" ht="12.95" customHeight="1">
      <c r="B7" s="54">
        <v>1</v>
      </c>
      <c r="C7" s="55" t="s">
        <v>64</v>
      </c>
      <c r="D7" s="56"/>
      <c r="E7" s="56"/>
      <c r="F7" s="56"/>
      <c r="G7" s="56" t="s">
        <v>59</v>
      </c>
      <c r="H7" s="56"/>
      <c r="I7" s="56"/>
      <c r="J7" s="56" t="s">
        <v>60</v>
      </c>
      <c r="K7" s="56"/>
      <c r="L7" s="56"/>
      <c r="M7" s="56" t="s">
        <v>60</v>
      </c>
      <c r="N7" s="56"/>
      <c r="O7" s="56"/>
      <c r="P7" s="56"/>
      <c r="Q7" s="56"/>
      <c r="R7" s="56"/>
      <c r="S7" s="56" t="s">
        <v>59</v>
      </c>
      <c r="T7" s="56"/>
      <c r="U7" s="56" t="s">
        <v>60</v>
      </c>
      <c r="V7" s="56"/>
      <c r="W7" s="56" t="s">
        <v>59</v>
      </c>
      <c r="X7" s="56"/>
      <c r="Y7" s="56"/>
      <c r="Z7" s="56"/>
      <c r="AA7" s="56" t="s">
        <v>59</v>
      </c>
      <c r="AB7" s="56"/>
      <c r="AC7" s="56" t="s">
        <v>60</v>
      </c>
      <c r="AD7" s="56"/>
      <c r="AE7" s="56" t="s">
        <v>59</v>
      </c>
      <c r="AF7" s="56"/>
      <c r="AG7" s="56"/>
      <c r="AH7" s="56"/>
      <c r="AI7" s="57" t="s">
        <v>59</v>
      </c>
      <c r="AJ7" s="58" t="s">
        <v>61</v>
      </c>
      <c r="AK7" s="59" t="s">
        <v>60</v>
      </c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47"/>
      <c r="AX7" s="47"/>
      <c r="AY7" s="47"/>
      <c r="AZ7" s="47"/>
      <c r="BA7" s="47"/>
      <c r="BB7" s="47"/>
      <c r="BC7" s="47"/>
      <c r="BD7" s="47"/>
    </row>
    <row r="8" spans="2:56" s="50" customFormat="1" ht="12.95" customHeight="1">
      <c r="B8" s="54">
        <v>2</v>
      </c>
      <c r="C8" s="55" t="s">
        <v>124</v>
      </c>
      <c r="D8" s="56"/>
      <c r="E8" s="56"/>
      <c r="F8" s="56" t="s">
        <v>59</v>
      </c>
      <c r="G8" s="56"/>
      <c r="H8" s="56"/>
      <c r="I8" s="56" t="s">
        <v>60</v>
      </c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60">
        <f>COUNTIF(D7:AH148,"T")</f>
        <v>161</v>
      </c>
      <c r="AJ8" s="60">
        <f>COUNTIF(D7:AH148,"TB")</f>
        <v>16</v>
      </c>
      <c r="AK8" s="60">
        <f>COUNTIF(D7:AH148,"B")</f>
        <v>119</v>
      </c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47"/>
      <c r="AX8" s="47"/>
      <c r="AY8" s="47"/>
      <c r="AZ8" s="47"/>
      <c r="BA8" s="47"/>
      <c r="BB8" s="47"/>
      <c r="BC8" s="47"/>
      <c r="BD8" s="47"/>
    </row>
    <row r="9" spans="2:56" s="50" customFormat="1" ht="12.95" customHeight="1">
      <c r="B9" s="54">
        <v>3</v>
      </c>
      <c r="C9" s="55" t="s">
        <v>66</v>
      </c>
      <c r="D9" s="56"/>
      <c r="E9" s="56" t="s">
        <v>61</v>
      </c>
      <c r="F9" s="56"/>
      <c r="G9" s="56"/>
      <c r="H9" s="56"/>
      <c r="I9" s="56"/>
      <c r="J9" s="56" t="s">
        <v>59</v>
      </c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 t="s">
        <v>59</v>
      </c>
      <c r="W9" s="56" t="s">
        <v>60</v>
      </c>
      <c r="X9" s="56"/>
      <c r="Y9" s="56"/>
      <c r="Z9" s="56"/>
      <c r="AA9" s="56"/>
      <c r="AB9" s="56"/>
      <c r="AC9" s="56"/>
      <c r="AD9" s="56" t="s">
        <v>59</v>
      </c>
      <c r="AE9" s="56"/>
      <c r="AF9" s="56"/>
      <c r="AG9" s="56"/>
      <c r="AH9" s="56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47"/>
      <c r="AX9" s="47"/>
      <c r="AY9" s="47"/>
      <c r="AZ9" s="47"/>
      <c r="BA9" s="47"/>
      <c r="BB9" s="47"/>
      <c r="BC9" s="47"/>
      <c r="BD9" s="47"/>
    </row>
    <row r="10" spans="2:56" s="50" customFormat="1" ht="12.95" customHeight="1">
      <c r="B10" s="54">
        <v>4</v>
      </c>
      <c r="C10" s="55" t="s">
        <v>67</v>
      </c>
      <c r="D10" s="56"/>
      <c r="E10" s="56"/>
      <c r="F10" s="56"/>
      <c r="G10" s="56"/>
      <c r="H10" s="56"/>
      <c r="I10" s="56"/>
      <c r="J10" s="56" t="s">
        <v>59</v>
      </c>
      <c r="K10" s="56"/>
      <c r="L10" s="56"/>
      <c r="M10" s="56"/>
      <c r="N10" s="56" t="s">
        <v>59</v>
      </c>
      <c r="O10" s="56" t="s">
        <v>60</v>
      </c>
      <c r="P10" s="56"/>
      <c r="Q10" s="56"/>
      <c r="R10" s="56"/>
      <c r="S10" s="56" t="s">
        <v>59</v>
      </c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60" t="s">
        <v>59</v>
      </c>
      <c r="AJ10" s="60" t="s">
        <v>60</v>
      </c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47"/>
      <c r="AX10" s="47"/>
      <c r="AY10" s="47"/>
      <c r="AZ10" s="47"/>
      <c r="BA10" s="47"/>
      <c r="BB10" s="47"/>
      <c r="BC10" s="47"/>
      <c r="BD10" s="47"/>
    </row>
    <row r="11" spans="2:56" s="50" customFormat="1" ht="12.95" customHeight="1">
      <c r="B11" s="54">
        <v>5</v>
      </c>
      <c r="C11" s="55" t="s">
        <v>126</v>
      </c>
      <c r="D11" s="56"/>
      <c r="E11" s="56" t="s">
        <v>59</v>
      </c>
      <c r="F11" s="56"/>
      <c r="G11" s="56"/>
      <c r="H11" s="56" t="s">
        <v>59</v>
      </c>
      <c r="I11" s="56" t="s">
        <v>60</v>
      </c>
      <c r="J11" s="56"/>
      <c r="K11" s="56"/>
      <c r="L11" s="56" t="s">
        <v>61</v>
      </c>
      <c r="M11" s="56"/>
      <c r="N11" s="56"/>
      <c r="O11" s="56"/>
      <c r="P11" s="56" t="s">
        <v>60</v>
      </c>
      <c r="Q11" s="56" t="s">
        <v>61</v>
      </c>
      <c r="R11" s="56"/>
      <c r="S11" s="56" t="s">
        <v>59</v>
      </c>
      <c r="T11" s="56"/>
      <c r="U11" s="56" t="s">
        <v>60</v>
      </c>
      <c r="V11" s="56"/>
      <c r="W11" s="56" t="s">
        <v>59</v>
      </c>
      <c r="X11" s="56"/>
      <c r="Y11" s="56"/>
      <c r="Z11" s="56" t="s">
        <v>60</v>
      </c>
      <c r="AA11" s="56"/>
      <c r="AB11" s="56"/>
      <c r="AC11" s="56" t="s">
        <v>59</v>
      </c>
      <c r="AD11" s="56"/>
      <c r="AE11" s="56" t="s">
        <v>60</v>
      </c>
      <c r="AF11" s="56"/>
      <c r="AG11" s="56"/>
      <c r="AH11" s="56"/>
      <c r="AI11" s="60">
        <f>AI8+AJ8+AI21+AJ21</f>
        <v>202</v>
      </c>
      <c r="AJ11" s="60">
        <f>AJ8+AK8+AJ21+AK21</f>
        <v>190</v>
      </c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47"/>
      <c r="AX11" s="47"/>
      <c r="AY11" s="47"/>
      <c r="AZ11" s="47"/>
      <c r="BA11" s="47"/>
      <c r="BB11" s="47"/>
      <c r="BC11" s="47"/>
      <c r="BD11" s="47"/>
    </row>
    <row r="12" spans="2:56" s="50" customFormat="1" ht="12.95" customHeight="1">
      <c r="B12" s="54">
        <v>6</v>
      </c>
      <c r="C12" s="55" t="s">
        <v>151</v>
      </c>
      <c r="D12" s="56"/>
      <c r="E12" s="56"/>
      <c r="F12" s="56" t="s">
        <v>59</v>
      </c>
      <c r="G12" s="56" t="s">
        <v>60</v>
      </c>
      <c r="H12" s="56"/>
      <c r="I12" s="56"/>
      <c r="J12" s="56"/>
      <c r="K12" s="56"/>
      <c r="L12" s="56"/>
      <c r="M12" s="56"/>
      <c r="N12" s="56"/>
      <c r="O12" s="56"/>
      <c r="P12" s="56" t="s">
        <v>60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 t="s">
        <v>59</v>
      </c>
      <c r="AE12" s="56"/>
      <c r="AF12" s="56"/>
      <c r="AG12" s="56"/>
      <c r="AH12" s="56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47"/>
      <c r="AX12" s="47"/>
      <c r="AY12" s="47"/>
      <c r="AZ12" s="47"/>
      <c r="BA12" s="47"/>
      <c r="BB12" s="47"/>
      <c r="BC12" s="47"/>
      <c r="BD12" s="47"/>
    </row>
    <row r="13" spans="2:56" s="50" customFormat="1" ht="12.95" customHeight="1">
      <c r="B13" s="54">
        <v>7</v>
      </c>
      <c r="C13" s="55" t="s">
        <v>68</v>
      </c>
      <c r="D13" s="56"/>
      <c r="E13" s="56" t="s">
        <v>59</v>
      </c>
      <c r="F13" s="56"/>
      <c r="G13" s="56"/>
      <c r="H13" s="56" t="s">
        <v>59</v>
      </c>
      <c r="I13" s="56" t="s">
        <v>60</v>
      </c>
      <c r="J13" s="56"/>
      <c r="K13" s="56"/>
      <c r="L13" s="56"/>
      <c r="M13" s="56" t="s">
        <v>59</v>
      </c>
      <c r="N13" s="56"/>
      <c r="O13" s="56" t="s">
        <v>60</v>
      </c>
      <c r="P13" s="56"/>
      <c r="Q13" s="56"/>
      <c r="R13" s="61"/>
      <c r="S13" s="56" t="s">
        <v>59</v>
      </c>
      <c r="T13" s="56"/>
      <c r="U13" s="56" t="s">
        <v>60</v>
      </c>
      <c r="V13" s="56"/>
      <c r="W13" s="56" t="s">
        <v>60</v>
      </c>
      <c r="X13" s="56"/>
      <c r="Y13" s="56"/>
      <c r="Z13" s="56"/>
      <c r="AA13" s="56"/>
      <c r="AB13" s="56"/>
      <c r="AC13" s="56"/>
      <c r="AD13" s="56" t="s">
        <v>61</v>
      </c>
      <c r="AE13" s="56"/>
      <c r="AF13" s="56"/>
      <c r="AG13" s="56"/>
      <c r="AH13" s="56"/>
      <c r="AI13" s="62">
        <f>AJ11/AI11</f>
        <v>0.94059405940594054</v>
      </c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47"/>
      <c r="AX13" s="47"/>
      <c r="AY13" s="47"/>
      <c r="AZ13" s="47"/>
      <c r="BA13" s="47"/>
      <c r="BB13" s="47"/>
      <c r="BC13" s="47"/>
      <c r="BD13" s="47"/>
    </row>
    <row r="14" spans="2:56" s="50" customFormat="1" ht="12.95" customHeight="1">
      <c r="B14" s="54">
        <v>8</v>
      </c>
      <c r="C14" s="55" t="s">
        <v>70</v>
      </c>
      <c r="D14" s="56"/>
      <c r="E14" s="56"/>
      <c r="F14" s="56" t="s">
        <v>59</v>
      </c>
      <c r="G14" s="56"/>
      <c r="H14" s="56"/>
      <c r="I14" s="56" t="s">
        <v>59</v>
      </c>
      <c r="J14" s="56"/>
      <c r="K14" s="56"/>
      <c r="L14" s="56" t="s">
        <v>59</v>
      </c>
      <c r="M14" s="56"/>
      <c r="N14" s="56"/>
      <c r="O14" s="56"/>
      <c r="P14" s="56"/>
      <c r="Q14" s="56" t="s">
        <v>59</v>
      </c>
      <c r="R14" s="56"/>
      <c r="S14" s="56"/>
      <c r="T14" s="56"/>
      <c r="U14" s="56" t="s">
        <v>59</v>
      </c>
      <c r="V14" s="56"/>
      <c r="W14" s="56" t="s">
        <v>59</v>
      </c>
      <c r="X14" s="56"/>
      <c r="Y14" s="56"/>
      <c r="Z14" s="56"/>
      <c r="AA14" s="56"/>
      <c r="AB14" s="56"/>
      <c r="AC14" s="56" t="s">
        <v>59</v>
      </c>
      <c r="AD14" s="56"/>
      <c r="AE14" s="56"/>
      <c r="AF14" s="56"/>
      <c r="AG14" s="56"/>
      <c r="AH14" s="56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47"/>
      <c r="AX14" s="47"/>
      <c r="AY14" s="47"/>
      <c r="AZ14" s="47"/>
      <c r="BA14" s="47"/>
      <c r="BB14" s="47"/>
      <c r="BC14" s="47"/>
      <c r="BD14" s="47"/>
    </row>
    <row r="15" spans="2:56" s="50" customFormat="1" ht="12.95" customHeight="1">
      <c r="B15" s="54">
        <v>9</v>
      </c>
      <c r="C15" s="55" t="s">
        <v>71</v>
      </c>
      <c r="D15" s="56"/>
      <c r="E15" s="56" t="s">
        <v>59</v>
      </c>
      <c r="F15" s="56" t="s">
        <v>60</v>
      </c>
      <c r="G15" s="56" t="s">
        <v>60</v>
      </c>
      <c r="H15" s="56" t="s">
        <v>60</v>
      </c>
      <c r="I15" s="56" t="s">
        <v>60</v>
      </c>
      <c r="J15" s="56" t="s">
        <v>60</v>
      </c>
      <c r="K15" s="56"/>
      <c r="L15" s="56"/>
      <c r="M15" s="56" t="s">
        <v>60</v>
      </c>
      <c r="N15" s="56" t="s">
        <v>60</v>
      </c>
      <c r="O15" s="56" t="s">
        <v>61</v>
      </c>
      <c r="P15" s="56" t="s">
        <v>59</v>
      </c>
      <c r="Q15" s="56" t="s">
        <v>60</v>
      </c>
      <c r="R15" s="56"/>
      <c r="S15" s="56"/>
      <c r="T15" s="56"/>
      <c r="U15" s="56" t="s">
        <v>60</v>
      </c>
      <c r="V15" s="56" t="s">
        <v>60</v>
      </c>
      <c r="W15" s="56" t="s">
        <v>61</v>
      </c>
      <c r="X15" s="56" t="s">
        <v>60</v>
      </c>
      <c r="Y15" s="56"/>
      <c r="Z15" s="56"/>
      <c r="AA15" s="56" t="s">
        <v>60</v>
      </c>
      <c r="AB15" s="56" t="s">
        <v>59</v>
      </c>
      <c r="AC15" s="56" t="s">
        <v>60</v>
      </c>
      <c r="AD15" s="56" t="s">
        <v>59</v>
      </c>
      <c r="AE15" s="56" t="s">
        <v>60</v>
      </c>
      <c r="AF15" s="56"/>
      <c r="AG15" s="56"/>
      <c r="AH15" s="56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47"/>
      <c r="AX15" s="47"/>
      <c r="AY15" s="47"/>
      <c r="AZ15" s="47"/>
      <c r="BA15" s="47"/>
      <c r="BB15" s="47"/>
      <c r="BC15" s="47"/>
      <c r="BD15" s="47"/>
    </row>
    <row r="16" spans="2:56" s="50" customFormat="1" ht="12.95" customHeight="1">
      <c r="B16" s="54">
        <v>10</v>
      </c>
      <c r="C16" s="55" t="s">
        <v>72</v>
      </c>
      <c r="D16" s="56"/>
      <c r="E16" s="56" t="s">
        <v>61</v>
      </c>
      <c r="F16" s="56"/>
      <c r="G16" s="56"/>
      <c r="H16" s="56"/>
      <c r="I16" s="56"/>
      <c r="J16" s="56"/>
      <c r="K16" s="56"/>
      <c r="L16" s="56" t="s">
        <v>59</v>
      </c>
      <c r="M16" s="56"/>
      <c r="N16" s="56"/>
      <c r="O16" s="56" t="s">
        <v>60</v>
      </c>
      <c r="P16" s="56"/>
      <c r="Q16" s="56"/>
      <c r="R16" s="56"/>
      <c r="S16" s="56"/>
      <c r="T16" s="56"/>
      <c r="U16" s="61" t="s">
        <v>60</v>
      </c>
      <c r="V16" s="56"/>
      <c r="W16" s="56"/>
      <c r="X16" s="56"/>
      <c r="Y16" s="56"/>
      <c r="Z16" s="56" t="s">
        <v>59</v>
      </c>
      <c r="AA16" s="56"/>
      <c r="AB16" s="56" t="s">
        <v>60</v>
      </c>
      <c r="AC16" s="56"/>
      <c r="AD16" s="56"/>
      <c r="AE16" s="56"/>
      <c r="AF16" s="56"/>
      <c r="AG16" s="56"/>
      <c r="AH16" s="56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47"/>
      <c r="AX16" s="47"/>
      <c r="AY16" s="47"/>
      <c r="AZ16" s="47"/>
      <c r="BA16" s="47"/>
      <c r="BB16" s="47"/>
      <c r="BC16" s="47"/>
      <c r="BD16" s="47"/>
    </row>
    <row r="17" spans="2:56" s="50" customFormat="1" ht="12.95" customHeight="1">
      <c r="B17" s="54">
        <v>11</v>
      </c>
      <c r="C17" s="55" t="s">
        <v>127</v>
      </c>
      <c r="D17" s="56"/>
      <c r="E17" s="56" t="s">
        <v>59</v>
      </c>
      <c r="F17" s="56"/>
      <c r="G17" s="56" t="s">
        <v>60</v>
      </c>
      <c r="H17" s="56"/>
      <c r="I17" s="56"/>
      <c r="J17" s="56"/>
      <c r="K17" s="56"/>
      <c r="L17" s="56" t="s">
        <v>60</v>
      </c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 t="s">
        <v>60</v>
      </c>
      <c r="Y17" s="56"/>
      <c r="Z17" s="56"/>
      <c r="AA17" s="56"/>
      <c r="AB17" s="56" t="s">
        <v>60</v>
      </c>
      <c r="AC17" s="56"/>
      <c r="AD17" s="56"/>
      <c r="AE17" s="56"/>
      <c r="AF17" s="56"/>
      <c r="AG17" s="56"/>
      <c r="AH17" s="56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47"/>
      <c r="AX17" s="47"/>
      <c r="AY17" s="47"/>
      <c r="AZ17" s="47"/>
      <c r="BA17" s="47"/>
      <c r="BB17" s="47"/>
      <c r="BC17" s="47"/>
      <c r="BD17" s="47"/>
    </row>
    <row r="18" spans="2:56" s="50" customFormat="1" ht="12.95" customHeight="1">
      <c r="B18" s="54">
        <v>13</v>
      </c>
      <c r="C18" s="55" t="s">
        <v>75</v>
      </c>
      <c r="D18" s="56"/>
      <c r="E18" s="56" t="s">
        <v>59</v>
      </c>
      <c r="F18" s="56"/>
      <c r="G18" s="56" t="s">
        <v>60</v>
      </c>
      <c r="H18" s="56" t="s">
        <v>59</v>
      </c>
      <c r="I18" s="56" t="s">
        <v>60</v>
      </c>
      <c r="J18" s="56" t="s">
        <v>59</v>
      </c>
      <c r="K18" s="56"/>
      <c r="L18" s="56"/>
      <c r="M18" s="56"/>
      <c r="N18" s="56"/>
      <c r="O18" s="56"/>
      <c r="P18" s="56" t="s">
        <v>60</v>
      </c>
      <c r="Q18" s="56"/>
      <c r="R18" s="56"/>
      <c r="S18" s="56"/>
      <c r="T18" s="56"/>
      <c r="U18" s="56"/>
      <c r="V18" s="56"/>
      <c r="W18" s="56"/>
      <c r="X18" s="56"/>
      <c r="Y18" s="56"/>
      <c r="Z18" s="56" t="s">
        <v>59</v>
      </c>
      <c r="AA18" s="56"/>
      <c r="AB18" s="56" t="s">
        <v>60</v>
      </c>
      <c r="AC18" s="56"/>
      <c r="AD18" s="56"/>
      <c r="AE18" s="56" t="s">
        <v>60</v>
      </c>
      <c r="AF18" s="56"/>
      <c r="AG18" s="56"/>
      <c r="AH18" s="56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47"/>
      <c r="AX18" s="47"/>
      <c r="AY18" s="47"/>
      <c r="AZ18" s="47"/>
      <c r="BA18" s="47"/>
      <c r="BB18" s="47"/>
      <c r="BC18" s="47"/>
      <c r="BD18" s="47"/>
    </row>
    <row r="19" spans="2:56" s="50" customFormat="1" ht="12.95" customHeight="1">
      <c r="B19" s="54">
        <v>14</v>
      </c>
      <c r="C19" s="55" t="s">
        <v>77</v>
      </c>
      <c r="D19" s="56"/>
      <c r="E19" s="56" t="s">
        <v>59</v>
      </c>
      <c r="F19" s="56"/>
      <c r="G19" s="56"/>
      <c r="H19" s="56" t="s">
        <v>59</v>
      </c>
      <c r="I19" s="56"/>
      <c r="J19" s="56" t="s">
        <v>60</v>
      </c>
      <c r="K19" s="56"/>
      <c r="L19" s="56"/>
      <c r="M19" s="56"/>
      <c r="N19" s="56"/>
      <c r="O19" s="56" t="s">
        <v>59</v>
      </c>
      <c r="P19" s="56"/>
      <c r="Q19" s="56"/>
      <c r="R19" s="56"/>
      <c r="S19" s="56"/>
      <c r="T19" s="56"/>
      <c r="U19" s="56"/>
      <c r="V19" s="56"/>
      <c r="W19" s="56"/>
      <c r="X19" s="56" t="s">
        <v>60</v>
      </c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47"/>
      <c r="AX19" s="47"/>
      <c r="AY19" s="47"/>
      <c r="AZ19" s="47"/>
      <c r="BA19" s="47"/>
      <c r="BB19" s="47"/>
      <c r="BC19" s="47"/>
      <c r="BD19" s="47"/>
    </row>
    <row r="20" spans="2:56" s="50" customFormat="1" ht="12.95" customHeight="1">
      <c r="B20" s="54">
        <v>15</v>
      </c>
      <c r="C20" s="55" t="s">
        <v>78</v>
      </c>
      <c r="D20" s="56"/>
      <c r="E20" s="56"/>
      <c r="F20" s="56"/>
      <c r="G20" s="56" t="s">
        <v>59</v>
      </c>
      <c r="H20" s="56"/>
      <c r="I20" s="56" t="s">
        <v>59</v>
      </c>
      <c r="J20" s="56"/>
      <c r="K20" s="56"/>
      <c r="L20" s="56" t="s">
        <v>59</v>
      </c>
      <c r="M20" s="56"/>
      <c r="N20" s="56"/>
      <c r="O20" s="56"/>
      <c r="P20" s="56"/>
      <c r="Q20" s="56" t="s">
        <v>59</v>
      </c>
      <c r="R20" s="56"/>
      <c r="S20" s="56" t="s">
        <v>59</v>
      </c>
      <c r="T20" s="56"/>
      <c r="U20" s="56" t="s">
        <v>60</v>
      </c>
      <c r="V20" s="56"/>
      <c r="W20" s="56"/>
      <c r="X20" s="56"/>
      <c r="Y20" s="56"/>
      <c r="Z20" s="56" t="s">
        <v>59</v>
      </c>
      <c r="AA20" s="56"/>
      <c r="AB20" s="56"/>
      <c r="AC20" s="56"/>
      <c r="AD20" s="56" t="s">
        <v>59</v>
      </c>
      <c r="AE20" s="56"/>
      <c r="AF20" s="56"/>
      <c r="AG20" s="56"/>
      <c r="AH20" s="56"/>
      <c r="AI20" s="57" t="s">
        <v>59</v>
      </c>
      <c r="AJ20" s="58" t="s">
        <v>61</v>
      </c>
      <c r="AK20" s="59" t="s">
        <v>60</v>
      </c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47"/>
      <c r="AX20" s="47"/>
      <c r="AY20" s="47"/>
      <c r="AZ20" s="47"/>
      <c r="BA20" s="47"/>
      <c r="BB20" s="47"/>
      <c r="BC20" s="47"/>
      <c r="BD20" s="47"/>
    </row>
    <row r="21" spans="2:56" s="50" customFormat="1" ht="12.95" customHeight="1">
      <c r="B21" s="54">
        <v>16</v>
      </c>
      <c r="C21" s="55" t="s">
        <v>79</v>
      </c>
      <c r="D21" s="56"/>
      <c r="E21" s="56"/>
      <c r="F21" s="56"/>
      <c r="G21" s="56" t="s">
        <v>60</v>
      </c>
      <c r="H21" s="56" t="s">
        <v>60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 t="s">
        <v>163</v>
      </c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60">
        <f>COUNTIF(D161:AH184,"T")</f>
        <v>20</v>
      </c>
      <c r="AJ21" s="60">
        <f>COUNTIF(D161:AH184,"TB")</f>
        <v>5</v>
      </c>
      <c r="AK21" s="60">
        <f>COUNTIF(D161:AH246,"B")</f>
        <v>50</v>
      </c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47"/>
      <c r="AX21" s="47"/>
      <c r="AY21" s="47"/>
      <c r="AZ21" s="47"/>
      <c r="BA21" s="47"/>
      <c r="BB21" s="47"/>
      <c r="BC21" s="47"/>
      <c r="BD21" s="47"/>
    </row>
    <row r="22" spans="2:56" s="50" customFormat="1" ht="12.95" customHeight="1">
      <c r="B22" s="54">
        <v>17</v>
      </c>
      <c r="C22" s="55" t="s">
        <v>80</v>
      </c>
      <c r="D22" s="56"/>
      <c r="E22" s="56" t="s">
        <v>61</v>
      </c>
      <c r="F22" s="56" t="s">
        <v>60</v>
      </c>
      <c r="G22" s="56" t="s">
        <v>59</v>
      </c>
      <c r="H22" s="56" t="s">
        <v>61</v>
      </c>
      <c r="I22" s="56" t="s">
        <v>59</v>
      </c>
      <c r="J22" s="56" t="s">
        <v>59</v>
      </c>
      <c r="K22" s="56"/>
      <c r="L22" s="56"/>
      <c r="M22" s="56" t="s">
        <v>60</v>
      </c>
      <c r="N22" s="56" t="s">
        <v>60</v>
      </c>
      <c r="O22" s="56" t="s">
        <v>59</v>
      </c>
      <c r="P22" s="56" t="s">
        <v>59</v>
      </c>
      <c r="Q22" s="61" t="s">
        <v>60</v>
      </c>
      <c r="R22" s="56"/>
      <c r="S22" s="56"/>
      <c r="T22" s="56"/>
      <c r="U22" s="56" t="s">
        <v>61</v>
      </c>
      <c r="V22" s="56" t="s">
        <v>60</v>
      </c>
      <c r="W22" s="56"/>
      <c r="X22" s="56"/>
      <c r="Y22" s="56"/>
      <c r="Z22" s="56" t="s">
        <v>60</v>
      </c>
      <c r="AA22" s="56" t="s">
        <v>61</v>
      </c>
      <c r="AB22" s="56" t="s">
        <v>61</v>
      </c>
      <c r="AC22" s="56"/>
      <c r="AD22" s="56"/>
      <c r="AE22" s="56" t="s">
        <v>60</v>
      </c>
      <c r="AF22" s="56"/>
      <c r="AG22" s="56"/>
      <c r="AH22" s="56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47"/>
      <c r="AX22" s="47"/>
      <c r="AY22" s="47"/>
      <c r="AZ22" s="47"/>
      <c r="BA22" s="47"/>
      <c r="BB22" s="47"/>
      <c r="BC22" s="47"/>
      <c r="BD22" s="47"/>
    </row>
    <row r="23" spans="2:56" s="50" customFormat="1" ht="12.95" customHeight="1">
      <c r="B23" s="54">
        <v>18</v>
      </c>
      <c r="C23" s="55" t="s">
        <v>150</v>
      </c>
      <c r="D23" s="56"/>
      <c r="E23" s="56" t="s">
        <v>59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 t="s">
        <v>59</v>
      </c>
      <c r="X23" s="56"/>
      <c r="Y23" s="56"/>
      <c r="Z23" s="56"/>
      <c r="AA23" s="56" t="s">
        <v>59</v>
      </c>
      <c r="AB23" s="56" t="s">
        <v>60</v>
      </c>
      <c r="AC23" s="56"/>
      <c r="AD23" s="56"/>
      <c r="AE23" s="56"/>
      <c r="AF23" s="56"/>
      <c r="AG23" s="56"/>
      <c r="AH23" s="56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47"/>
      <c r="AX23" s="47"/>
      <c r="AY23" s="47"/>
      <c r="AZ23" s="47"/>
      <c r="BA23" s="47"/>
      <c r="BB23" s="47"/>
      <c r="BC23" s="47"/>
      <c r="BD23" s="47"/>
    </row>
    <row r="24" spans="2:56" s="50" customFormat="1" ht="12.95" customHeight="1">
      <c r="B24" s="54">
        <v>19</v>
      </c>
      <c r="C24" s="55" t="s">
        <v>82</v>
      </c>
      <c r="D24" s="56"/>
      <c r="E24" s="56"/>
      <c r="F24" s="56"/>
      <c r="G24" s="56" t="s">
        <v>60</v>
      </c>
      <c r="H24" s="56"/>
      <c r="I24" s="56"/>
      <c r="J24" s="56"/>
      <c r="K24" s="56"/>
      <c r="L24" s="56" t="s">
        <v>60</v>
      </c>
      <c r="M24" s="56"/>
      <c r="N24" s="56"/>
      <c r="O24" s="56"/>
      <c r="P24" s="56"/>
      <c r="Q24" s="56"/>
      <c r="R24" s="56"/>
      <c r="S24" s="56"/>
      <c r="T24" s="56"/>
      <c r="U24" s="56" t="s">
        <v>60</v>
      </c>
      <c r="V24" s="56"/>
      <c r="W24" s="56"/>
      <c r="X24" s="56"/>
      <c r="Y24" s="56"/>
      <c r="Z24" s="56"/>
      <c r="AA24" s="56"/>
      <c r="AB24" s="56"/>
      <c r="AC24" s="56"/>
      <c r="AD24" s="56" t="s">
        <v>59</v>
      </c>
      <c r="AE24" s="56"/>
      <c r="AF24" s="56"/>
      <c r="AG24" s="56"/>
      <c r="AH24" s="56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47"/>
      <c r="AX24" s="47"/>
      <c r="AY24" s="47"/>
      <c r="AZ24" s="47"/>
      <c r="BA24" s="47"/>
      <c r="BB24" s="47"/>
      <c r="BC24" s="47"/>
      <c r="BD24" s="47"/>
    </row>
    <row r="25" spans="2:56" s="50" customFormat="1" ht="12.95" customHeight="1">
      <c r="B25" s="54">
        <v>20</v>
      </c>
      <c r="C25" s="55" t="s">
        <v>83</v>
      </c>
      <c r="D25" s="56"/>
      <c r="E25" s="56"/>
      <c r="F25" s="56" t="s">
        <v>60</v>
      </c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47"/>
      <c r="AX25" s="47"/>
      <c r="AY25" s="47"/>
      <c r="AZ25" s="47"/>
      <c r="BA25" s="47"/>
      <c r="BB25" s="47"/>
      <c r="BC25" s="47"/>
      <c r="BD25" s="47"/>
    </row>
    <row r="26" spans="2:56" s="50" customFormat="1" ht="12" customHeight="1">
      <c r="B26" s="54">
        <v>21</v>
      </c>
      <c r="C26" s="55" t="s">
        <v>129</v>
      </c>
      <c r="D26" s="56"/>
      <c r="E26" s="56"/>
      <c r="F26" s="56"/>
      <c r="G26" s="56"/>
      <c r="H26" s="56"/>
      <c r="I26" s="56" t="s">
        <v>59</v>
      </c>
      <c r="J26" s="56"/>
      <c r="K26" s="56"/>
      <c r="L26" s="56"/>
      <c r="M26" s="56" t="s">
        <v>59</v>
      </c>
      <c r="N26" s="56"/>
      <c r="O26" s="56"/>
      <c r="P26" s="56"/>
      <c r="Q26" s="56" t="s">
        <v>59</v>
      </c>
      <c r="R26" s="56"/>
      <c r="S26" s="56" t="s">
        <v>60</v>
      </c>
      <c r="T26" s="56"/>
      <c r="U26" s="56" t="s">
        <v>60</v>
      </c>
      <c r="V26" s="56"/>
      <c r="W26" s="56"/>
      <c r="X26" s="56" t="s">
        <v>59</v>
      </c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47"/>
      <c r="AX26" s="47"/>
      <c r="AY26" s="47"/>
      <c r="AZ26" s="47"/>
      <c r="BA26" s="47"/>
      <c r="BB26" s="47"/>
      <c r="BC26" s="47"/>
      <c r="BD26" s="47"/>
    </row>
    <row r="27" spans="2:56" s="50" customFormat="1" ht="12.95" customHeight="1">
      <c r="B27" s="54">
        <v>22</v>
      </c>
      <c r="C27" s="55" t="s">
        <v>85</v>
      </c>
      <c r="D27" s="56"/>
      <c r="E27" s="56"/>
      <c r="F27" s="56"/>
      <c r="G27" s="56"/>
      <c r="H27" s="56" t="s">
        <v>59</v>
      </c>
      <c r="I27" s="56"/>
      <c r="J27" s="56"/>
      <c r="K27" s="56"/>
      <c r="L27" s="56" t="s">
        <v>59</v>
      </c>
      <c r="M27" s="56"/>
      <c r="N27" s="56"/>
      <c r="O27" s="56"/>
      <c r="P27" s="56"/>
      <c r="Q27" s="56" t="s">
        <v>59</v>
      </c>
      <c r="R27" s="56"/>
      <c r="S27" s="56"/>
      <c r="T27" s="56"/>
      <c r="U27" s="56" t="s">
        <v>60</v>
      </c>
      <c r="V27" s="56"/>
      <c r="W27" s="56"/>
      <c r="X27" s="56"/>
      <c r="Y27" s="56"/>
      <c r="Z27" s="56"/>
      <c r="AA27" s="56"/>
      <c r="AB27" s="56"/>
      <c r="AC27" s="56"/>
      <c r="AD27" s="56" t="s">
        <v>59</v>
      </c>
      <c r="AE27" s="56"/>
      <c r="AF27" s="56"/>
      <c r="AG27" s="56"/>
      <c r="AH27" s="56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47"/>
      <c r="AX27" s="47"/>
      <c r="AY27" s="47"/>
      <c r="AZ27" s="47"/>
      <c r="BA27" s="47"/>
      <c r="BB27" s="47"/>
      <c r="BC27" s="47"/>
      <c r="BD27" s="47"/>
    </row>
    <row r="28" spans="2:56" s="50" customFormat="1" ht="12.95" customHeight="1">
      <c r="B28" s="54">
        <v>24</v>
      </c>
      <c r="C28" s="55" t="s">
        <v>86</v>
      </c>
      <c r="D28" s="56"/>
      <c r="E28" s="56"/>
      <c r="F28" s="56" t="s">
        <v>60</v>
      </c>
      <c r="G28" s="56"/>
      <c r="H28" s="56" t="s">
        <v>60</v>
      </c>
      <c r="I28" s="56" t="s">
        <v>60</v>
      </c>
      <c r="J28" s="56"/>
      <c r="K28" s="56"/>
      <c r="L28" s="56" t="s">
        <v>60</v>
      </c>
      <c r="M28" s="56" t="s">
        <v>60</v>
      </c>
      <c r="N28" s="56"/>
      <c r="O28" s="56"/>
      <c r="P28" s="56"/>
      <c r="Q28" s="56"/>
      <c r="R28" s="56"/>
      <c r="S28" s="56"/>
      <c r="T28" s="56"/>
      <c r="U28" s="56"/>
      <c r="V28" s="56" t="s">
        <v>59</v>
      </c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47"/>
      <c r="AX28" s="47"/>
      <c r="AY28" s="47"/>
      <c r="AZ28" s="47"/>
      <c r="BA28" s="47"/>
      <c r="BB28" s="47"/>
      <c r="BC28" s="47"/>
      <c r="BD28" s="47"/>
    </row>
    <row r="29" spans="2:56" s="50" customFormat="1" ht="12.95" customHeight="1">
      <c r="B29" s="54">
        <v>25</v>
      </c>
      <c r="C29" s="55" t="s">
        <v>89</v>
      </c>
      <c r="D29" s="56"/>
      <c r="E29" s="56" t="s">
        <v>59</v>
      </c>
      <c r="F29" s="56" t="s">
        <v>60</v>
      </c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 t="s">
        <v>59</v>
      </c>
      <c r="AE29" s="56"/>
      <c r="AF29" s="56"/>
      <c r="AG29" s="56"/>
      <c r="AH29" s="56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47"/>
      <c r="AX29" s="47"/>
      <c r="AY29" s="47"/>
      <c r="AZ29" s="47"/>
      <c r="BA29" s="47"/>
      <c r="BB29" s="47"/>
      <c r="BC29" s="47"/>
      <c r="BD29" s="47"/>
    </row>
    <row r="30" spans="2:56" s="50" customFormat="1" ht="12.95" customHeight="1">
      <c r="B30" s="54">
        <v>26</v>
      </c>
      <c r="C30" s="55" t="s">
        <v>90</v>
      </c>
      <c r="D30" s="56"/>
      <c r="E30" s="56"/>
      <c r="F30" s="56"/>
      <c r="G30" s="56"/>
      <c r="H30" s="56" t="s">
        <v>59</v>
      </c>
      <c r="I30" s="56"/>
      <c r="J30" s="56" t="s">
        <v>59</v>
      </c>
      <c r="K30" s="56"/>
      <c r="L30" s="56"/>
      <c r="M30" s="56"/>
      <c r="N30" s="56" t="s">
        <v>59</v>
      </c>
      <c r="O30" s="56"/>
      <c r="P30" s="56"/>
      <c r="Q30" s="56"/>
      <c r="R30" s="56"/>
      <c r="S30" s="56"/>
      <c r="T30" s="56"/>
      <c r="U30" s="56"/>
      <c r="V30" s="56"/>
      <c r="W30" s="56" t="s">
        <v>59</v>
      </c>
      <c r="X30" s="56"/>
      <c r="Y30" s="56"/>
      <c r="Z30" s="56"/>
      <c r="AA30" s="56"/>
      <c r="AB30" s="56" t="s">
        <v>59</v>
      </c>
      <c r="AC30" s="56"/>
      <c r="AD30" s="56"/>
      <c r="AE30" s="56"/>
      <c r="AF30" s="56"/>
      <c r="AG30" s="56"/>
      <c r="AH30" s="56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47"/>
      <c r="AX30" s="47"/>
      <c r="AY30" s="47"/>
      <c r="AZ30" s="47"/>
      <c r="BA30" s="47"/>
      <c r="BB30" s="47"/>
      <c r="BC30" s="47"/>
      <c r="BD30" s="47"/>
    </row>
    <row r="31" spans="2:56" s="50" customFormat="1" ht="12.95" customHeight="1">
      <c r="B31" s="54">
        <v>27</v>
      </c>
      <c r="C31" s="55" t="s">
        <v>91</v>
      </c>
      <c r="D31" s="56"/>
      <c r="E31" s="56" t="s">
        <v>59</v>
      </c>
      <c r="F31" s="56"/>
      <c r="G31" s="56"/>
      <c r="H31" s="56" t="s">
        <v>59</v>
      </c>
      <c r="I31" s="56"/>
      <c r="J31" s="56"/>
      <c r="K31" s="56"/>
      <c r="L31" s="56" t="s">
        <v>59</v>
      </c>
      <c r="M31" s="56" t="s">
        <v>60</v>
      </c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 t="s">
        <v>59</v>
      </c>
      <c r="AA31" s="56"/>
      <c r="AB31" s="56"/>
      <c r="AC31" s="56"/>
      <c r="AD31" s="56" t="s">
        <v>59</v>
      </c>
      <c r="AE31" s="56"/>
      <c r="AF31" s="56"/>
      <c r="AG31" s="56"/>
      <c r="AH31" s="56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47"/>
      <c r="AX31" s="47"/>
      <c r="AY31" s="47"/>
      <c r="AZ31" s="47"/>
      <c r="BA31" s="47"/>
      <c r="BB31" s="47"/>
      <c r="BC31" s="47"/>
      <c r="BD31" s="47"/>
    </row>
    <row r="32" spans="2:56" s="50" customFormat="1" ht="12.95" customHeight="1">
      <c r="B32" s="54">
        <v>28</v>
      </c>
      <c r="C32" s="55" t="s">
        <v>92</v>
      </c>
      <c r="D32" s="56"/>
      <c r="E32" s="56" t="s">
        <v>59</v>
      </c>
      <c r="F32" s="56"/>
      <c r="G32" s="56"/>
      <c r="H32" s="56"/>
      <c r="I32" s="56" t="s">
        <v>60</v>
      </c>
      <c r="J32" s="56" t="s">
        <v>59</v>
      </c>
      <c r="K32" s="56"/>
      <c r="L32" s="56"/>
      <c r="M32" s="56"/>
      <c r="N32" s="56" t="s">
        <v>60</v>
      </c>
      <c r="O32" s="56"/>
      <c r="P32" s="56"/>
      <c r="Q32" s="56"/>
      <c r="R32" s="56"/>
      <c r="S32" s="56" t="s">
        <v>60</v>
      </c>
      <c r="T32" s="56"/>
      <c r="U32" s="56"/>
      <c r="V32" s="56" t="s">
        <v>60</v>
      </c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47"/>
      <c r="AX32" s="47"/>
      <c r="AY32" s="47"/>
      <c r="AZ32" s="47"/>
      <c r="BA32" s="47"/>
      <c r="BB32" s="47"/>
      <c r="BC32" s="47"/>
      <c r="BD32" s="47"/>
    </row>
    <row r="33" spans="2:56" s="50" customFormat="1" ht="12.95" customHeight="1">
      <c r="B33" s="54">
        <v>29</v>
      </c>
      <c r="C33" s="55" t="s">
        <v>93</v>
      </c>
      <c r="D33" s="56"/>
      <c r="E33" s="56"/>
      <c r="F33" s="56"/>
      <c r="G33" s="56"/>
      <c r="H33" s="56" t="s">
        <v>59</v>
      </c>
      <c r="I33" s="56" t="s">
        <v>60</v>
      </c>
      <c r="J33" s="56"/>
      <c r="K33" s="56"/>
      <c r="L33" s="56"/>
      <c r="M33" s="56"/>
      <c r="N33" s="56"/>
      <c r="O33" s="56" t="s">
        <v>60</v>
      </c>
      <c r="P33" s="56"/>
      <c r="Q33" s="56" t="s">
        <v>61</v>
      </c>
      <c r="R33" s="56"/>
      <c r="S33" s="56"/>
      <c r="T33" s="56"/>
      <c r="U33" s="56" t="s">
        <v>59</v>
      </c>
      <c r="V33" s="56"/>
      <c r="W33" s="56" t="s">
        <v>59</v>
      </c>
      <c r="X33" s="56"/>
      <c r="Y33" s="56"/>
      <c r="Z33" s="56" t="s">
        <v>59</v>
      </c>
      <c r="AA33" s="56"/>
      <c r="AB33" s="56"/>
      <c r="AC33" s="56" t="s">
        <v>59</v>
      </c>
      <c r="AD33" s="56"/>
      <c r="AE33" s="56" t="s">
        <v>60</v>
      </c>
      <c r="AF33" s="56"/>
      <c r="AG33" s="56"/>
      <c r="AH33" s="56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47"/>
      <c r="AX33" s="47"/>
      <c r="AY33" s="47"/>
      <c r="AZ33" s="47"/>
      <c r="BA33" s="47"/>
      <c r="BB33" s="47"/>
      <c r="BC33" s="47"/>
      <c r="BD33" s="47"/>
    </row>
    <row r="34" spans="2:56" s="50" customFormat="1" ht="12.95" customHeight="1">
      <c r="B34" s="54">
        <v>30</v>
      </c>
      <c r="C34" s="55" t="s">
        <v>94</v>
      </c>
      <c r="D34" s="56"/>
      <c r="E34" s="56"/>
      <c r="F34" s="56"/>
      <c r="G34" s="56"/>
      <c r="H34" s="56"/>
      <c r="I34" s="56" t="s">
        <v>59</v>
      </c>
      <c r="J34" s="56"/>
      <c r="K34" s="56"/>
      <c r="L34" s="56" t="s">
        <v>61</v>
      </c>
      <c r="M34" s="56"/>
      <c r="N34" s="56"/>
      <c r="O34" s="56"/>
      <c r="P34" s="56"/>
      <c r="Q34" s="56"/>
      <c r="R34" s="56"/>
      <c r="S34" s="56" t="s">
        <v>59</v>
      </c>
      <c r="T34" s="56"/>
      <c r="U34" s="56"/>
      <c r="V34" s="56"/>
      <c r="W34" s="56" t="s">
        <v>60</v>
      </c>
      <c r="X34" s="56"/>
      <c r="Y34" s="56"/>
      <c r="Z34" s="56"/>
      <c r="AA34" s="56" t="s">
        <v>60</v>
      </c>
      <c r="AB34" s="56"/>
      <c r="AC34" s="56"/>
      <c r="AD34" s="56"/>
      <c r="AE34" s="56"/>
      <c r="AF34" s="56"/>
      <c r="AG34" s="56"/>
      <c r="AH34" s="56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47"/>
      <c r="AX34" s="47"/>
      <c r="AY34" s="47"/>
      <c r="AZ34" s="47"/>
      <c r="BA34" s="47"/>
      <c r="BB34" s="47"/>
      <c r="BC34" s="47"/>
      <c r="BD34" s="47"/>
    </row>
    <row r="35" spans="2:56" s="50" customFormat="1" ht="12.95" customHeight="1">
      <c r="B35" s="54">
        <v>31</v>
      </c>
      <c r="C35" s="55" t="s">
        <v>95</v>
      </c>
      <c r="D35" s="56"/>
      <c r="E35" s="56" t="s">
        <v>59</v>
      </c>
      <c r="F35" s="56" t="s">
        <v>59</v>
      </c>
      <c r="G35" s="56"/>
      <c r="H35" s="56"/>
      <c r="I35" s="56" t="s">
        <v>60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 t="s">
        <v>59</v>
      </c>
      <c r="Y35" s="56"/>
      <c r="Z35" s="56"/>
      <c r="AA35" s="56"/>
      <c r="AB35" s="56"/>
      <c r="AC35" s="56"/>
      <c r="AD35" s="56" t="s">
        <v>61</v>
      </c>
      <c r="AE35" s="56"/>
      <c r="AF35" s="56"/>
      <c r="AG35" s="56"/>
      <c r="AH35" s="56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47"/>
      <c r="AX35" s="47"/>
      <c r="AY35" s="47"/>
      <c r="AZ35" s="47"/>
      <c r="BA35" s="47"/>
      <c r="BB35" s="47"/>
      <c r="BC35" s="47"/>
      <c r="BD35" s="47"/>
    </row>
    <row r="36" spans="2:56" s="50" customFormat="1" ht="12.95" customHeight="1">
      <c r="B36" s="54">
        <v>32</v>
      </c>
      <c r="C36" s="55" t="s">
        <v>96</v>
      </c>
      <c r="D36" s="56"/>
      <c r="E36" s="56" t="s">
        <v>59</v>
      </c>
      <c r="F36" s="56"/>
      <c r="G36" s="56"/>
      <c r="H36" s="56"/>
      <c r="I36" s="56" t="s">
        <v>60</v>
      </c>
      <c r="J36" s="56"/>
      <c r="K36" s="56"/>
      <c r="L36" s="56"/>
      <c r="M36" s="56" t="s">
        <v>60</v>
      </c>
      <c r="N36" s="56"/>
      <c r="O36" s="56"/>
      <c r="P36" s="56"/>
      <c r="Q36" s="56"/>
      <c r="R36" s="56"/>
      <c r="S36" s="56"/>
      <c r="T36" s="56"/>
      <c r="U36" s="56" t="s">
        <v>59</v>
      </c>
      <c r="V36" s="56"/>
      <c r="W36" s="56"/>
      <c r="X36" s="56"/>
      <c r="Y36" s="56"/>
      <c r="Z36" s="56" t="s">
        <v>59</v>
      </c>
      <c r="AA36" s="56"/>
      <c r="AB36" s="56"/>
      <c r="AC36" s="56"/>
      <c r="AD36" s="56"/>
      <c r="AE36" s="56"/>
      <c r="AF36" s="56"/>
      <c r="AG36" s="56"/>
      <c r="AH36" s="56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47"/>
      <c r="AX36" s="47"/>
      <c r="AY36" s="47"/>
      <c r="AZ36" s="47"/>
      <c r="BA36" s="47"/>
      <c r="BB36" s="47"/>
      <c r="BC36" s="47"/>
      <c r="BD36" s="47"/>
    </row>
    <row r="37" spans="2:56" s="50" customFormat="1" ht="12.95" customHeight="1">
      <c r="B37" s="54">
        <v>33</v>
      </c>
      <c r="C37" s="55" t="s">
        <v>98</v>
      </c>
      <c r="D37" s="56"/>
      <c r="E37" s="56"/>
      <c r="F37" s="56"/>
      <c r="G37" s="56"/>
      <c r="H37" s="56" t="s">
        <v>59</v>
      </c>
      <c r="I37" s="56" t="s">
        <v>60</v>
      </c>
      <c r="J37" s="56"/>
      <c r="K37" s="56"/>
      <c r="L37" s="56"/>
      <c r="M37" s="56"/>
      <c r="N37" s="56"/>
      <c r="O37" s="56" t="s">
        <v>59</v>
      </c>
      <c r="P37" s="56" t="s">
        <v>60</v>
      </c>
      <c r="Q37" s="56"/>
      <c r="R37" s="56"/>
      <c r="S37" s="56"/>
      <c r="T37" s="56"/>
      <c r="U37" s="56"/>
      <c r="V37" s="56" t="s">
        <v>59</v>
      </c>
      <c r="W37" s="56" t="s">
        <v>60</v>
      </c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60" t="s">
        <v>50</v>
      </c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47"/>
      <c r="AX37" s="47"/>
      <c r="AY37" s="47"/>
      <c r="AZ37" s="47"/>
      <c r="BA37" s="47"/>
      <c r="BB37" s="47"/>
      <c r="BC37" s="47"/>
      <c r="BD37" s="47"/>
    </row>
    <row r="38" spans="2:56" s="50" customFormat="1" ht="12.95" customHeight="1">
      <c r="B38" s="54">
        <v>34</v>
      </c>
      <c r="C38" s="55" t="s">
        <v>100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 t="s">
        <v>59</v>
      </c>
      <c r="Y38" s="56"/>
      <c r="Z38" s="56"/>
      <c r="AA38" s="56"/>
      <c r="AB38" s="56" t="s">
        <v>59</v>
      </c>
      <c r="AC38" s="56"/>
      <c r="AD38" s="56"/>
      <c r="AE38" s="56"/>
      <c r="AF38" s="56"/>
      <c r="AG38" s="56"/>
      <c r="AH38" s="56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47"/>
      <c r="AX38" s="47"/>
      <c r="AY38" s="47"/>
      <c r="AZ38" s="47"/>
      <c r="BA38" s="47"/>
      <c r="BB38" s="47"/>
      <c r="BC38" s="47"/>
      <c r="BD38" s="47"/>
    </row>
    <row r="39" spans="2:56" s="50" customFormat="1" ht="12.95" customHeight="1">
      <c r="B39" s="54">
        <v>36</v>
      </c>
      <c r="C39" s="55" t="s">
        <v>131</v>
      </c>
      <c r="D39" s="56"/>
      <c r="E39" s="56"/>
      <c r="F39" s="56" t="s">
        <v>60</v>
      </c>
      <c r="G39" s="56"/>
      <c r="H39" s="56"/>
      <c r="I39" s="56"/>
      <c r="J39" s="56" t="s">
        <v>59</v>
      </c>
      <c r="K39" s="56"/>
      <c r="L39" s="56" t="s">
        <v>59</v>
      </c>
      <c r="M39" s="56"/>
      <c r="N39" s="56"/>
      <c r="O39" s="56"/>
      <c r="P39" s="56"/>
      <c r="Q39" s="56"/>
      <c r="R39" s="56"/>
      <c r="S39" s="56" t="s">
        <v>59</v>
      </c>
      <c r="T39" s="56"/>
      <c r="U39" s="56"/>
      <c r="V39" s="56" t="s">
        <v>60</v>
      </c>
      <c r="W39" s="56"/>
      <c r="X39" s="56"/>
      <c r="Y39" s="56"/>
      <c r="Z39" s="56"/>
      <c r="AA39" s="56"/>
      <c r="AB39" s="56"/>
      <c r="AC39" s="56"/>
      <c r="AD39" s="56"/>
      <c r="AE39" s="56" t="s">
        <v>59</v>
      </c>
      <c r="AF39" s="56"/>
      <c r="AG39" s="56"/>
      <c r="AH39" s="56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47"/>
      <c r="AX39" s="47"/>
      <c r="AY39" s="47"/>
      <c r="AZ39" s="47"/>
      <c r="BA39" s="47"/>
      <c r="BB39" s="47"/>
      <c r="BC39" s="47"/>
      <c r="BD39" s="47"/>
    </row>
    <row r="40" spans="2:56" s="50" customFormat="1" ht="12.95" customHeight="1">
      <c r="B40" s="54">
        <v>37</v>
      </c>
      <c r="C40" s="55" t="s">
        <v>101</v>
      </c>
      <c r="D40" s="56"/>
      <c r="E40" s="56"/>
      <c r="F40" s="56" t="s">
        <v>59</v>
      </c>
      <c r="G40" s="56"/>
      <c r="H40" s="56"/>
      <c r="I40" s="56" t="s">
        <v>59</v>
      </c>
      <c r="J40" s="56"/>
      <c r="K40" s="56"/>
      <c r="L40" s="56"/>
      <c r="M40" s="56"/>
      <c r="N40" s="56"/>
      <c r="O40" s="56" t="s">
        <v>59</v>
      </c>
      <c r="P40" s="56" t="s">
        <v>59</v>
      </c>
      <c r="Q40" s="61" t="s">
        <v>60</v>
      </c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47"/>
      <c r="AX40" s="47"/>
      <c r="AY40" s="47"/>
      <c r="AZ40" s="47"/>
      <c r="BA40" s="47"/>
      <c r="BB40" s="47"/>
      <c r="BC40" s="47"/>
      <c r="BD40" s="47"/>
    </row>
    <row r="41" spans="2:56" s="50" customFormat="1" ht="12.95" customHeight="1">
      <c r="B41" s="54">
        <v>38</v>
      </c>
      <c r="C41" s="55" t="s">
        <v>102</v>
      </c>
      <c r="D41" s="56"/>
      <c r="E41" s="56"/>
      <c r="F41" s="56" t="s">
        <v>59</v>
      </c>
      <c r="G41" s="56"/>
      <c r="H41" s="56"/>
      <c r="I41" s="56"/>
      <c r="J41" s="56" t="s">
        <v>60</v>
      </c>
      <c r="K41" s="56"/>
      <c r="L41" s="56"/>
      <c r="M41" s="56"/>
      <c r="N41" s="56" t="s">
        <v>59</v>
      </c>
      <c r="O41" s="56"/>
      <c r="P41" s="56"/>
      <c r="Q41" s="56" t="s">
        <v>59</v>
      </c>
      <c r="R41" s="56"/>
      <c r="S41" s="56"/>
      <c r="T41" s="56"/>
      <c r="U41" s="56" t="s">
        <v>61</v>
      </c>
      <c r="V41" s="56"/>
      <c r="W41" s="56" t="s">
        <v>59</v>
      </c>
      <c r="X41" s="56"/>
      <c r="Y41" s="56"/>
      <c r="Z41" s="56"/>
      <c r="AA41" s="56"/>
      <c r="AB41" s="56"/>
      <c r="AC41" s="56" t="s">
        <v>59</v>
      </c>
      <c r="AD41" s="56"/>
      <c r="AE41" s="56" t="s">
        <v>60</v>
      </c>
      <c r="AF41" s="56"/>
      <c r="AG41" s="56"/>
      <c r="AH41" s="56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47"/>
      <c r="AX41" s="47"/>
      <c r="AY41" s="47"/>
      <c r="AZ41" s="47"/>
      <c r="BA41" s="47"/>
      <c r="BB41" s="47"/>
      <c r="BC41" s="47"/>
      <c r="BD41" s="47"/>
    </row>
    <row r="42" spans="2:56" s="50" customFormat="1" ht="12.95" customHeight="1">
      <c r="B42" s="54">
        <v>39</v>
      </c>
      <c r="C42" s="55" t="s">
        <v>103</v>
      </c>
      <c r="D42" s="56"/>
      <c r="E42" s="56" t="s">
        <v>59</v>
      </c>
      <c r="F42" s="56"/>
      <c r="G42" s="56" t="s">
        <v>60</v>
      </c>
      <c r="H42" s="56"/>
      <c r="I42" s="56"/>
      <c r="J42" s="56"/>
      <c r="K42" s="56"/>
      <c r="L42" s="56"/>
      <c r="M42" s="56"/>
      <c r="N42" s="56" t="s">
        <v>60</v>
      </c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 t="s">
        <v>59</v>
      </c>
      <c r="AB42" s="56"/>
      <c r="AC42" s="56"/>
      <c r="AD42" s="56"/>
      <c r="AE42" s="56"/>
      <c r="AF42" s="56"/>
      <c r="AG42" s="56"/>
      <c r="AH42" s="56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47"/>
      <c r="AX42" s="47"/>
      <c r="AY42" s="47"/>
      <c r="AZ42" s="47"/>
      <c r="BA42" s="47"/>
      <c r="BB42" s="47"/>
      <c r="BC42" s="47"/>
      <c r="BD42" s="47"/>
    </row>
    <row r="43" spans="2:56" s="50" customFormat="1" ht="12.95" customHeight="1">
      <c r="B43" s="54">
        <v>40</v>
      </c>
      <c r="C43" s="55" t="s">
        <v>104</v>
      </c>
      <c r="D43" s="56"/>
      <c r="E43" s="56"/>
      <c r="F43" s="56" t="s">
        <v>59</v>
      </c>
      <c r="G43" s="56" t="s">
        <v>60</v>
      </c>
      <c r="H43" s="56"/>
      <c r="I43" s="56"/>
      <c r="J43" s="61"/>
      <c r="K43" s="56"/>
      <c r="L43" s="56" t="s">
        <v>59</v>
      </c>
      <c r="M43" s="56"/>
      <c r="N43" s="56"/>
      <c r="O43" s="56" t="s">
        <v>59</v>
      </c>
      <c r="P43" s="56"/>
      <c r="Q43" s="56"/>
      <c r="R43" s="56"/>
      <c r="S43" s="56" t="s">
        <v>59</v>
      </c>
      <c r="T43" s="56"/>
      <c r="U43" s="56"/>
      <c r="V43" s="56" t="s">
        <v>60</v>
      </c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47"/>
      <c r="AX43" s="47"/>
      <c r="AY43" s="47"/>
      <c r="AZ43" s="47"/>
      <c r="BA43" s="47"/>
      <c r="BB43" s="47"/>
      <c r="BC43" s="47"/>
      <c r="BD43" s="47"/>
    </row>
    <row r="44" spans="2:56" s="50" customFormat="1" ht="12.95" customHeight="1">
      <c r="B44" s="54">
        <v>41</v>
      </c>
      <c r="C44" s="55" t="s">
        <v>105</v>
      </c>
      <c r="D44" s="56"/>
      <c r="E44" s="56"/>
      <c r="F44" s="56"/>
      <c r="G44" s="56" t="s">
        <v>59</v>
      </c>
      <c r="H44" s="56"/>
      <c r="I44" s="56" t="s">
        <v>59</v>
      </c>
      <c r="J44" s="56"/>
      <c r="K44" s="56"/>
      <c r="L44" s="56"/>
      <c r="M44" s="56"/>
      <c r="N44" s="56" t="s">
        <v>60</v>
      </c>
      <c r="O44" s="56"/>
      <c r="P44" s="56"/>
      <c r="Q44" s="56"/>
      <c r="R44" s="56"/>
      <c r="S44" s="56" t="s">
        <v>59</v>
      </c>
      <c r="T44" s="56"/>
      <c r="U44" s="56"/>
      <c r="V44" s="56" t="s">
        <v>59</v>
      </c>
      <c r="W44" s="56"/>
      <c r="X44" s="56"/>
      <c r="Y44" s="56"/>
      <c r="Z44" s="56"/>
      <c r="AA44" s="56" t="s">
        <v>59</v>
      </c>
      <c r="AB44" s="56" t="s">
        <v>60</v>
      </c>
      <c r="AC44" s="56"/>
      <c r="AD44" s="56"/>
      <c r="AE44" s="56"/>
      <c r="AF44" s="56"/>
      <c r="AG44" s="56"/>
      <c r="AH44" s="56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47"/>
      <c r="AX44" s="47"/>
      <c r="AY44" s="47"/>
      <c r="AZ44" s="47"/>
      <c r="BA44" s="47"/>
      <c r="BB44" s="47"/>
      <c r="BC44" s="47"/>
      <c r="BD44" s="47"/>
    </row>
    <row r="45" spans="2:56" s="50" customFormat="1" ht="12.95" customHeight="1">
      <c r="B45" s="54">
        <v>42</v>
      </c>
      <c r="C45" s="55" t="s">
        <v>106</v>
      </c>
      <c r="D45" s="56"/>
      <c r="E45" s="56"/>
      <c r="F45" s="56"/>
      <c r="G45" s="56" t="s">
        <v>60</v>
      </c>
      <c r="H45" s="56" t="s">
        <v>59</v>
      </c>
      <c r="I45" s="56"/>
      <c r="J45" s="56" t="s">
        <v>60</v>
      </c>
      <c r="K45" s="56"/>
      <c r="L45" s="56"/>
      <c r="M45" s="56"/>
      <c r="N45" s="56"/>
      <c r="O45" s="56"/>
      <c r="P45" s="56" t="s">
        <v>60</v>
      </c>
      <c r="Q45" s="56"/>
      <c r="R45" s="56"/>
      <c r="S45" s="56"/>
      <c r="T45" s="56"/>
      <c r="U45" s="56"/>
      <c r="V45" s="56"/>
      <c r="W45" s="56" t="s">
        <v>60</v>
      </c>
      <c r="X45" s="56"/>
      <c r="Y45" s="56"/>
      <c r="Z45" s="56"/>
      <c r="AA45" s="56"/>
      <c r="AB45" s="56"/>
      <c r="AC45" s="56" t="s">
        <v>59</v>
      </c>
      <c r="AD45" s="56"/>
      <c r="AE45" s="56" t="s">
        <v>60</v>
      </c>
      <c r="AF45" s="56"/>
      <c r="AG45" s="56"/>
      <c r="AH45" s="56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47"/>
      <c r="AX45" s="47"/>
      <c r="AY45" s="47"/>
      <c r="AZ45" s="47"/>
      <c r="BA45" s="47"/>
      <c r="BB45" s="47"/>
      <c r="BC45" s="47"/>
      <c r="BD45" s="47"/>
    </row>
    <row r="46" spans="2:56" s="50" customFormat="1" ht="12.95" customHeight="1">
      <c r="B46" s="54">
        <v>43</v>
      </c>
      <c r="C46" s="55" t="s">
        <v>107</v>
      </c>
      <c r="D46" s="56"/>
      <c r="E46" s="56" t="s">
        <v>59</v>
      </c>
      <c r="F46" s="56"/>
      <c r="G46" s="56"/>
      <c r="H46" s="56"/>
      <c r="I46" s="56" t="s">
        <v>59</v>
      </c>
      <c r="J46" s="56"/>
      <c r="K46" s="56"/>
      <c r="L46" s="56" t="s">
        <v>59</v>
      </c>
      <c r="M46" s="56"/>
      <c r="N46" s="56" t="s">
        <v>59</v>
      </c>
      <c r="O46" s="56"/>
      <c r="P46" s="56"/>
      <c r="Q46" s="56"/>
      <c r="R46" s="56"/>
      <c r="S46" s="56"/>
      <c r="T46" s="56"/>
      <c r="U46" s="56"/>
      <c r="V46" s="56" t="s">
        <v>60</v>
      </c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47"/>
      <c r="AX46" s="47"/>
      <c r="AY46" s="47"/>
      <c r="AZ46" s="47"/>
      <c r="BA46" s="47"/>
      <c r="BB46" s="47"/>
      <c r="BC46" s="47"/>
      <c r="BD46" s="47"/>
    </row>
    <row r="47" spans="2:56" s="50" customFormat="1" ht="12.95" customHeight="1">
      <c r="B47" s="54">
        <v>44</v>
      </c>
      <c r="C47" s="55" t="s">
        <v>133</v>
      </c>
      <c r="D47" s="56"/>
      <c r="E47" s="56"/>
      <c r="F47" s="56" t="s">
        <v>59</v>
      </c>
      <c r="G47" s="56" t="s">
        <v>60</v>
      </c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47"/>
      <c r="AX47" s="47"/>
      <c r="AY47" s="47"/>
      <c r="AZ47" s="47"/>
      <c r="BA47" s="47"/>
      <c r="BB47" s="47"/>
      <c r="BC47" s="47"/>
      <c r="BD47" s="47"/>
    </row>
    <row r="48" spans="2:56" s="50" customFormat="1" ht="12.95" customHeight="1">
      <c r="B48" s="54">
        <v>46</v>
      </c>
      <c r="C48" s="55" t="s">
        <v>112</v>
      </c>
      <c r="D48" s="56"/>
      <c r="E48" s="56"/>
      <c r="F48" s="56" t="s">
        <v>59</v>
      </c>
      <c r="G48" s="56" t="s">
        <v>60</v>
      </c>
      <c r="H48" s="56"/>
      <c r="I48" s="56"/>
      <c r="J48" s="56"/>
      <c r="K48" s="56"/>
      <c r="L48" s="56" t="s">
        <v>59</v>
      </c>
      <c r="M48" s="56"/>
      <c r="N48" s="56" t="s">
        <v>60</v>
      </c>
      <c r="O48" s="56"/>
      <c r="P48" s="56"/>
      <c r="Q48" s="56"/>
      <c r="R48" s="56"/>
      <c r="S48" s="56" t="s">
        <v>59</v>
      </c>
      <c r="T48" s="56"/>
      <c r="U48" s="56" t="s">
        <v>60</v>
      </c>
      <c r="V48" s="56"/>
      <c r="W48" s="56"/>
      <c r="X48" s="56"/>
      <c r="Y48" s="56"/>
      <c r="Z48" s="56"/>
      <c r="AA48" s="56" t="s">
        <v>59</v>
      </c>
      <c r="AB48" s="56" t="s">
        <v>60</v>
      </c>
      <c r="AC48" s="56"/>
      <c r="AD48" s="56"/>
      <c r="AE48" s="56"/>
      <c r="AF48" s="56"/>
      <c r="AG48" s="56"/>
      <c r="AH48" s="56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47"/>
      <c r="AX48" s="47"/>
      <c r="AY48" s="47"/>
      <c r="AZ48" s="47"/>
      <c r="BA48" s="47"/>
      <c r="BB48" s="47"/>
      <c r="BC48" s="47"/>
      <c r="BD48" s="47"/>
    </row>
    <row r="49" spans="2:56" s="50" customFormat="1" ht="12.95" customHeight="1">
      <c r="B49" s="54">
        <v>47</v>
      </c>
      <c r="C49" s="55" t="s">
        <v>113</v>
      </c>
      <c r="D49" s="56"/>
      <c r="E49" s="56"/>
      <c r="F49" s="56" t="s">
        <v>59</v>
      </c>
      <c r="G49" s="56"/>
      <c r="H49" s="56"/>
      <c r="I49" s="56" t="s">
        <v>60</v>
      </c>
      <c r="J49" s="56"/>
      <c r="K49" s="56"/>
      <c r="L49" s="56"/>
      <c r="M49" s="56"/>
      <c r="N49" s="56"/>
      <c r="O49" s="56" t="s">
        <v>59</v>
      </c>
      <c r="P49" s="56" t="s">
        <v>59</v>
      </c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 t="s">
        <v>59</v>
      </c>
      <c r="AD49" s="56"/>
      <c r="AE49" s="56"/>
      <c r="AF49" s="56"/>
      <c r="AG49" s="56"/>
      <c r="AH49" s="56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47"/>
      <c r="AX49" s="47"/>
      <c r="AY49" s="47"/>
      <c r="AZ49" s="47"/>
      <c r="BA49" s="47"/>
      <c r="BB49" s="47"/>
      <c r="BC49" s="47"/>
      <c r="BD49" s="47"/>
    </row>
    <row r="50" spans="2:56" s="50" customFormat="1" ht="12.95" customHeight="1">
      <c r="B50" s="54">
        <v>48</v>
      </c>
      <c r="C50" s="55" t="s">
        <v>114</v>
      </c>
      <c r="D50" s="56"/>
      <c r="E50" s="56"/>
      <c r="F50" s="56" t="s">
        <v>59</v>
      </c>
      <c r="G50" s="56"/>
      <c r="H50" s="56"/>
      <c r="I50" s="56" t="s">
        <v>59</v>
      </c>
      <c r="J50" s="56"/>
      <c r="K50" s="56"/>
      <c r="L50" s="56" t="s">
        <v>60</v>
      </c>
      <c r="M50" s="56"/>
      <c r="N50" s="56"/>
      <c r="O50" s="56"/>
      <c r="P50" s="56"/>
      <c r="Q50" s="56"/>
      <c r="R50" s="56"/>
      <c r="S50" s="56" t="s">
        <v>59</v>
      </c>
      <c r="T50" s="56"/>
      <c r="U50" s="56" t="s">
        <v>60</v>
      </c>
      <c r="V50" s="56"/>
      <c r="W50" s="56"/>
      <c r="X50" s="56"/>
      <c r="Y50" s="56"/>
      <c r="Z50" s="56"/>
      <c r="AA50" s="56"/>
      <c r="AB50" s="56"/>
      <c r="AC50" s="56" t="s">
        <v>59</v>
      </c>
      <c r="AD50" s="56"/>
      <c r="AE50" s="56"/>
      <c r="AF50" s="56"/>
      <c r="AG50" s="56"/>
      <c r="AH50" s="56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47"/>
      <c r="AX50" s="47"/>
      <c r="AY50" s="47"/>
      <c r="AZ50" s="47"/>
      <c r="BA50" s="47"/>
      <c r="BB50" s="47"/>
      <c r="BC50" s="47"/>
      <c r="BD50" s="47"/>
    </row>
    <row r="51" spans="2:56" s="50" customFormat="1" ht="12.95" customHeight="1">
      <c r="B51" s="54">
        <v>49</v>
      </c>
      <c r="C51" s="55" t="s">
        <v>135</v>
      </c>
      <c r="D51" s="56"/>
      <c r="E51" s="56"/>
      <c r="F51" s="56" t="s">
        <v>59</v>
      </c>
      <c r="G51" s="56"/>
      <c r="H51" s="56"/>
      <c r="I51" s="56" t="s">
        <v>59</v>
      </c>
      <c r="J51" s="56"/>
      <c r="K51" s="56"/>
      <c r="L51" s="56" t="s">
        <v>59</v>
      </c>
      <c r="M51" s="56" t="s">
        <v>60</v>
      </c>
      <c r="N51" s="56"/>
      <c r="O51" s="56"/>
      <c r="P51" s="56" t="s">
        <v>59</v>
      </c>
      <c r="Q51" s="56"/>
      <c r="R51" s="56"/>
      <c r="S51" s="56" t="s">
        <v>60</v>
      </c>
      <c r="T51" s="56"/>
      <c r="U51" s="56"/>
      <c r="V51" s="56"/>
      <c r="W51" s="56" t="s">
        <v>60</v>
      </c>
      <c r="X51" s="56"/>
      <c r="Y51" s="56"/>
      <c r="Z51" s="56"/>
      <c r="AA51" s="56"/>
      <c r="AB51" s="56"/>
      <c r="AC51" s="56" t="s">
        <v>59</v>
      </c>
      <c r="AD51" s="56"/>
      <c r="AE51" s="56" t="s">
        <v>59</v>
      </c>
      <c r="AF51" s="56"/>
      <c r="AG51" s="56"/>
      <c r="AH51" s="56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47"/>
      <c r="AX51" s="47"/>
      <c r="AY51" s="47"/>
      <c r="AZ51" s="47"/>
      <c r="BA51" s="47"/>
      <c r="BB51" s="47"/>
      <c r="BC51" s="47"/>
      <c r="BD51" s="47"/>
    </row>
    <row r="52" spans="2:56" s="50" customFormat="1" ht="12.95" customHeight="1">
      <c r="B52" s="54">
        <v>50</v>
      </c>
      <c r="C52" s="55" t="s">
        <v>136</v>
      </c>
      <c r="D52" s="56"/>
      <c r="E52" s="56"/>
      <c r="F52" s="56" t="s">
        <v>59</v>
      </c>
      <c r="G52" s="56"/>
      <c r="H52" s="56"/>
      <c r="I52" s="61" t="s">
        <v>60</v>
      </c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 t="s">
        <v>59</v>
      </c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47"/>
      <c r="AX52" s="47"/>
      <c r="AY52" s="47"/>
      <c r="AZ52" s="47"/>
      <c r="BA52" s="47"/>
      <c r="BB52" s="47"/>
      <c r="BC52" s="47"/>
      <c r="BD52" s="47"/>
    </row>
    <row r="53" spans="2:56" s="50" customFormat="1" ht="12.95" customHeight="1">
      <c r="B53" s="54">
        <v>51</v>
      </c>
      <c r="C53" s="55" t="s">
        <v>137</v>
      </c>
      <c r="D53" s="56"/>
      <c r="E53" s="56"/>
      <c r="F53" s="56" t="s">
        <v>59</v>
      </c>
      <c r="G53" s="56"/>
      <c r="H53" s="56"/>
      <c r="I53" s="56" t="s">
        <v>59</v>
      </c>
      <c r="J53" s="56"/>
      <c r="K53" s="56"/>
      <c r="L53" s="56" t="s">
        <v>59</v>
      </c>
      <c r="M53" s="56"/>
      <c r="N53" s="56" t="s">
        <v>59</v>
      </c>
      <c r="O53" s="56"/>
      <c r="P53" s="56" t="s">
        <v>60</v>
      </c>
      <c r="Q53" s="56"/>
      <c r="R53" s="56"/>
      <c r="S53" s="56"/>
      <c r="T53" s="56"/>
      <c r="U53" s="56"/>
      <c r="V53" s="56"/>
      <c r="W53" s="56"/>
      <c r="X53" s="56" t="s">
        <v>59</v>
      </c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47"/>
      <c r="AX53" s="47"/>
      <c r="AY53" s="47"/>
      <c r="AZ53" s="47"/>
      <c r="BA53" s="47"/>
      <c r="BB53" s="47"/>
      <c r="BC53" s="47"/>
      <c r="BD53" s="47"/>
    </row>
    <row r="54" spans="2:56" s="50" customFormat="1" ht="12.95" customHeight="1">
      <c r="B54" s="54">
        <v>52</v>
      </c>
      <c r="C54" s="55" t="s">
        <v>138</v>
      </c>
      <c r="D54" s="56"/>
      <c r="E54" s="56" t="s">
        <v>60</v>
      </c>
      <c r="F54" s="56"/>
      <c r="G54" s="56"/>
      <c r="H54" s="56"/>
      <c r="I54" s="56"/>
      <c r="J54" s="56"/>
      <c r="K54" s="56"/>
      <c r="L54" s="56"/>
      <c r="M54" s="56"/>
      <c r="N54" s="56"/>
      <c r="O54" s="56" t="s">
        <v>59</v>
      </c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 t="s">
        <v>59</v>
      </c>
      <c r="AD54" s="56"/>
      <c r="AE54" s="56"/>
      <c r="AF54" s="56"/>
      <c r="AG54" s="56"/>
      <c r="AH54" s="56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47"/>
      <c r="AX54" s="47"/>
      <c r="AY54" s="47"/>
      <c r="AZ54" s="47"/>
      <c r="BA54" s="47"/>
      <c r="BB54" s="47"/>
      <c r="BC54" s="47"/>
      <c r="BD54" s="47"/>
    </row>
    <row r="55" spans="2:56" s="50" customFormat="1" ht="12.95" customHeight="1">
      <c r="B55" s="54">
        <v>53</v>
      </c>
      <c r="C55" s="55" t="s">
        <v>116</v>
      </c>
      <c r="D55" s="56"/>
      <c r="E55" s="56"/>
      <c r="F55" s="56"/>
      <c r="G55" s="56"/>
      <c r="H55" s="56" t="s">
        <v>59</v>
      </c>
      <c r="I55" s="56"/>
      <c r="J55" s="56" t="s">
        <v>60</v>
      </c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 t="s">
        <v>59</v>
      </c>
      <c r="W55" s="56"/>
      <c r="X55" s="56"/>
      <c r="Y55" s="56"/>
      <c r="Z55" s="56"/>
      <c r="AA55" s="56" t="s">
        <v>60</v>
      </c>
      <c r="AB55" s="56"/>
      <c r="AC55" s="56"/>
      <c r="AD55" s="56"/>
      <c r="AE55" s="56"/>
      <c r="AF55" s="56"/>
      <c r="AG55" s="56"/>
      <c r="AH55" s="56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47"/>
      <c r="AX55" s="47"/>
      <c r="AY55" s="47"/>
      <c r="AZ55" s="47"/>
      <c r="BA55" s="47"/>
      <c r="BB55" s="47"/>
      <c r="BC55" s="47"/>
      <c r="BD55" s="47"/>
    </row>
    <row r="56" spans="2:56" s="50" customFormat="1" ht="12.95" hidden="1" customHeight="1">
      <c r="B56" s="55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61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47"/>
      <c r="AW56" s="47"/>
      <c r="AX56" s="47"/>
      <c r="AY56" s="47"/>
      <c r="AZ56" s="47"/>
      <c r="BA56" s="47"/>
      <c r="BB56" s="47"/>
      <c r="BC56" s="47"/>
    </row>
    <row r="57" spans="2:56" s="50" customFormat="1" ht="12.95" hidden="1" customHeight="1">
      <c r="B57" s="55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61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47"/>
      <c r="AW57" s="47"/>
      <c r="AX57" s="47"/>
      <c r="AY57" s="47"/>
      <c r="AZ57" s="47"/>
      <c r="BA57" s="47"/>
      <c r="BB57" s="47"/>
      <c r="BC57" s="47"/>
    </row>
    <row r="58" spans="2:56" s="50" customFormat="1" ht="12.95" hidden="1" customHeight="1">
      <c r="B58" s="55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47"/>
      <c r="AW58" s="47"/>
      <c r="AX58" s="47"/>
      <c r="AY58" s="47"/>
      <c r="AZ58" s="47"/>
      <c r="BA58" s="47"/>
      <c r="BB58" s="47"/>
      <c r="BC58" s="47"/>
    </row>
    <row r="59" spans="2:56" s="50" customFormat="1" ht="12.95" hidden="1" customHeight="1">
      <c r="B59" s="55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47"/>
      <c r="AW59" s="47"/>
      <c r="AX59" s="47"/>
      <c r="AY59" s="47"/>
      <c r="AZ59" s="47"/>
      <c r="BA59" s="47"/>
      <c r="BB59" s="47"/>
      <c r="BC59" s="47"/>
    </row>
    <row r="60" spans="2:56" s="50" customFormat="1" ht="12.95" hidden="1" customHeight="1">
      <c r="B60" s="55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60" t="s">
        <v>50</v>
      </c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47"/>
      <c r="AW60" s="47"/>
      <c r="AX60" s="47"/>
      <c r="AY60" s="47"/>
      <c r="AZ60" s="47"/>
      <c r="BA60" s="47"/>
      <c r="BB60" s="47"/>
      <c r="BC60" s="47"/>
    </row>
    <row r="61" spans="2:56" s="50" customFormat="1" ht="12.95" hidden="1" customHeight="1">
      <c r="B61" s="55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47"/>
      <c r="AW61" s="47"/>
      <c r="AX61" s="47"/>
      <c r="AY61" s="47"/>
      <c r="AZ61" s="47"/>
      <c r="BA61" s="47"/>
      <c r="BB61" s="47"/>
      <c r="BC61" s="47"/>
    </row>
    <row r="62" spans="2:56" s="50" customFormat="1" ht="12.95" hidden="1" customHeight="1">
      <c r="B62" s="55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47"/>
      <c r="AW62" s="47"/>
      <c r="AX62" s="47"/>
      <c r="AY62" s="47"/>
      <c r="AZ62" s="47"/>
      <c r="BA62" s="47"/>
      <c r="BB62" s="47"/>
      <c r="BC62" s="47"/>
    </row>
    <row r="63" spans="2:56" s="50" customFormat="1" ht="12.95" hidden="1" customHeight="1">
      <c r="B63" s="55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47"/>
      <c r="AW63" s="47"/>
      <c r="AX63" s="47"/>
      <c r="AY63" s="47"/>
      <c r="AZ63" s="47"/>
      <c r="BA63" s="47"/>
      <c r="BB63" s="47"/>
      <c r="BC63" s="47"/>
    </row>
    <row r="64" spans="2:56" s="50" customFormat="1" ht="12.95" hidden="1" customHeight="1">
      <c r="B64" s="55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47"/>
      <c r="AW64" s="47"/>
      <c r="AX64" s="47"/>
      <c r="AY64" s="47"/>
      <c r="AZ64" s="47"/>
      <c r="BA64" s="47"/>
      <c r="BB64" s="47"/>
      <c r="BC64" s="47"/>
    </row>
    <row r="65" spans="1:55" s="50" customFormat="1" ht="12.95" hidden="1" customHeight="1">
      <c r="B65" s="5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47"/>
      <c r="AW65" s="47"/>
      <c r="AX65" s="47"/>
      <c r="AY65" s="47"/>
      <c r="AZ65" s="47"/>
      <c r="BA65" s="47"/>
      <c r="BB65" s="47"/>
      <c r="BC65" s="47"/>
    </row>
    <row r="66" spans="1:55" s="50" customFormat="1" ht="12.95" hidden="1" customHeight="1">
      <c r="B66" s="55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47"/>
      <c r="AW66" s="47"/>
      <c r="AX66" s="47"/>
      <c r="AY66" s="47"/>
      <c r="AZ66" s="47"/>
      <c r="BA66" s="47"/>
      <c r="BB66" s="47"/>
      <c r="BC66" s="47"/>
    </row>
    <row r="67" spans="1:55" s="50" customFormat="1" ht="12.95" hidden="1" customHeight="1">
      <c r="B67" s="55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61"/>
      <c r="AD67" s="56"/>
      <c r="AE67" s="56"/>
      <c r="AF67" s="56"/>
      <c r="AG67" s="56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47"/>
      <c r="AW67" s="47"/>
      <c r="AX67" s="47"/>
      <c r="AY67" s="47"/>
      <c r="AZ67" s="47"/>
      <c r="BA67" s="47"/>
      <c r="BB67" s="47"/>
      <c r="BC67" s="47"/>
    </row>
    <row r="68" spans="1:55" s="50" customFormat="1" ht="12.95" hidden="1" customHeight="1">
      <c r="B68" s="55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47"/>
      <c r="AW68" s="47"/>
      <c r="AX68" s="47"/>
      <c r="AY68" s="47"/>
      <c r="AZ68" s="47"/>
      <c r="BA68" s="47"/>
      <c r="BB68" s="47"/>
      <c r="BC68" s="47"/>
    </row>
    <row r="69" spans="1:55" s="50" customFormat="1" ht="12.95" hidden="1" customHeight="1">
      <c r="B69" s="55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47"/>
      <c r="AW69" s="47"/>
      <c r="AX69" s="47"/>
      <c r="AY69" s="47"/>
      <c r="AZ69" s="47"/>
      <c r="BA69" s="47"/>
      <c r="BB69" s="47"/>
      <c r="BC69" s="47"/>
    </row>
    <row r="70" spans="1:55" s="50" customFormat="1" ht="12.95" hidden="1" customHeight="1">
      <c r="B70" s="55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47"/>
      <c r="AW70" s="47"/>
      <c r="AX70" s="47"/>
      <c r="AY70" s="47"/>
      <c r="AZ70" s="47"/>
      <c r="BA70" s="47"/>
      <c r="BB70" s="47"/>
      <c r="BC70" s="47"/>
    </row>
    <row r="71" spans="1:55" s="50" customFormat="1" ht="12.95" hidden="1" customHeight="1">
      <c r="B71" s="55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47"/>
      <c r="AW71" s="47"/>
      <c r="AX71" s="47"/>
      <c r="AY71" s="47"/>
      <c r="AZ71" s="47"/>
      <c r="BA71" s="47"/>
      <c r="BB71" s="47"/>
      <c r="BC71" s="47"/>
    </row>
    <row r="72" spans="1:55" s="50" customFormat="1" ht="12.95" hidden="1" customHeight="1">
      <c r="B72" s="55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47"/>
      <c r="AW72" s="47"/>
      <c r="AX72" s="47"/>
      <c r="AY72" s="47"/>
      <c r="AZ72" s="47"/>
      <c r="BA72" s="47"/>
      <c r="BB72" s="47"/>
      <c r="BC72" s="47"/>
    </row>
    <row r="73" spans="1:55" s="50" customFormat="1" ht="12.95" hidden="1" customHeight="1">
      <c r="B73" s="55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47"/>
      <c r="AW73" s="47"/>
      <c r="AX73" s="47"/>
      <c r="AY73" s="47"/>
      <c r="AZ73" s="47"/>
      <c r="BA73" s="47"/>
      <c r="BB73" s="47"/>
      <c r="BC73" s="47"/>
    </row>
    <row r="74" spans="1:55" s="50" customFormat="1" ht="12.95" hidden="1" customHeight="1">
      <c r="B74" s="55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47"/>
      <c r="AW74" s="47"/>
      <c r="AX74" s="47"/>
      <c r="AY74" s="47"/>
      <c r="AZ74" s="47"/>
      <c r="BA74" s="47"/>
      <c r="BB74" s="47"/>
      <c r="BC74" s="47"/>
    </row>
    <row r="75" spans="1:55" s="50" customFormat="1" ht="12.95" hidden="1" customHeight="1">
      <c r="B75" s="55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47"/>
      <c r="AW75" s="47"/>
      <c r="AX75" s="47"/>
      <c r="AY75" s="47"/>
      <c r="AZ75" s="47"/>
      <c r="BA75" s="47"/>
      <c r="BB75" s="47"/>
      <c r="BC75" s="47"/>
    </row>
    <row r="76" spans="1:55" s="50" customFormat="1" ht="12.95" hidden="1" customHeight="1">
      <c r="B76" s="55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47"/>
      <c r="AW76" s="47"/>
      <c r="AX76" s="47"/>
      <c r="AY76" s="47"/>
      <c r="AZ76" s="47"/>
      <c r="BA76" s="47"/>
      <c r="BB76" s="47"/>
      <c r="BC76" s="47"/>
    </row>
    <row r="77" spans="1:55" s="50" customFormat="1" ht="12.95" hidden="1" customHeight="1">
      <c r="B77" s="55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47"/>
      <c r="AW77" s="47"/>
      <c r="AX77" s="47"/>
      <c r="AY77" s="47"/>
      <c r="AZ77" s="47"/>
      <c r="BA77" s="47"/>
      <c r="BB77" s="47"/>
      <c r="BC77" s="47"/>
    </row>
    <row r="78" spans="1:55" s="50" customFormat="1" ht="12.95" hidden="1" customHeight="1">
      <c r="B78" s="55"/>
      <c r="C78" s="56"/>
      <c r="D78" s="56"/>
      <c r="E78" s="61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47"/>
      <c r="AW78" s="47"/>
      <c r="AX78" s="47"/>
      <c r="AY78" s="47"/>
      <c r="AZ78" s="47"/>
      <c r="BA78" s="47"/>
      <c r="BB78" s="47"/>
      <c r="BC78" s="47"/>
    </row>
    <row r="79" spans="1:55" s="50" customFormat="1" ht="12.95" hidden="1" customHeight="1">
      <c r="A79" s="50">
        <v>16</v>
      </c>
      <c r="B79" s="55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47"/>
      <c r="AW79" s="47"/>
      <c r="AX79" s="47"/>
      <c r="AY79" s="47"/>
      <c r="AZ79" s="47"/>
      <c r="BA79" s="47"/>
      <c r="BB79" s="47"/>
      <c r="BC79" s="47"/>
    </row>
    <row r="80" spans="1:55" s="50" customFormat="1" ht="12.95" hidden="1" customHeight="1">
      <c r="B80" s="55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61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47"/>
      <c r="AW80" s="47"/>
      <c r="AX80" s="47"/>
      <c r="AY80" s="47"/>
      <c r="AZ80" s="47"/>
      <c r="BA80" s="47"/>
      <c r="BB80" s="47"/>
      <c r="BC80" s="47"/>
    </row>
    <row r="81" spans="2:56" s="50" customFormat="1" ht="12.95" hidden="1" customHeight="1">
      <c r="B81" s="54">
        <v>79</v>
      </c>
      <c r="C81" s="5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47"/>
      <c r="AX81" s="47"/>
      <c r="AY81" s="47"/>
      <c r="AZ81" s="47"/>
      <c r="BA81" s="47"/>
      <c r="BB81" s="47"/>
      <c r="BC81" s="47"/>
      <c r="BD81" s="47"/>
    </row>
    <row r="82" spans="2:56" s="50" customFormat="1" ht="12.95" hidden="1" customHeight="1">
      <c r="B82" s="54">
        <v>80</v>
      </c>
      <c r="C82" s="55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47"/>
      <c r="AX82" s="47"/>
      <c r="AY82" s="47"/>
      <c r="AZ82" s="47"/>
      <c r="BA82" s="47"/>
      <c r="BB82" s="47"/>
      <c r="BC82" s="47"/>
      <c r="BD82" s="47"/>
    </row>
    <row r="83" spans="2:56" s="50" customFormat="1" ht="12.95" hidden="1" customHeight="1">
      <c r="B83" s="54">
        <v>81</v>
      </c>
      <c r="C83" s="55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47"/>
      <c r="AX83" s="47"/>
      <c r="AY83" s="47"/>
      <c r="AZ83" s="47"/>
      <c r="BA83" s="47"/>
      <c r="BB83" s="47"/>
      <c r="BC83" s="47"/>
      <c r="BD83" s="47"/>
    </row>
    <row r="84" spans="2:56" s="50" customFormat="1" ht="12.95" hidden="1" customHeight="1">
      <c r="B84" s="54">
        <v>82</v>
      </c>
      <c r="C84" s="55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47"/>
      <c r="AX84" s="47"/>
      <c r="AY84" s="47"/>
      <c r="AZ84" s="47"/>
      <c r="BA84" s="47"/>
      <c r="BB84" s="47"/>
      <c r="BC84" s="47"/>
      <c r="BD84" s="47"/>
    </row>
    <row r="85" spans="2:56" s="50" customFormat="1" ht="12.95" hidden="1" customHeight="1">
      <c r="B85" s="54">
        <v>83</v>
      </c>
      <c r="C85" s="5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47"/>
      <c r="AX85" s="47"/>
      <c r="AY85" s="47"/>
      <c r="AZ85" s="47"/>
      <c r="BA85" s="47"/>
      <c r="BB85" s="47"/>
      <c r="BC85" s="47"/>
      <c r="BD85" s="47"/>
    </row>
    <row r="86" spans="2:56" s="50" customFormat="1" ht="12.95" hidden="1" customHeight="1">
      <c r="B86" s="54">
        <v>84</v>
      </c>
      <c r="C86" s="55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47"/>
      <c r="AX86" s="47"/>
      <c r="AY86" s="47"/>
      <c r="AZ86" s="47"/>
      <c r="BA86" s="47"/>
      <c r="BB86" s="47"/>
      <c r="BC86" s="47"/>
      <c r="BD86" s="47"/>
    </row>
    <row r="87" spans="2:56" s="50" customFormat="1" ht="12.95" hidden="1" customHeight="1">
      <c r="B87" s="54">
        <v>85</v>
      </c>
      <c r="C87" s="55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47"/>
      <c r="AX87" s="47"/>
      <c r="AY87" s="47"/>
      <c r="AZ87" s="47"/>
      <c r="BA87" s="47"/>
      <c r="BB87" s="47"/>
      <c r="BC87" s="47"/>
      <c r="BD87" s="47"/>
    </row>
    <row r="88" spans="2:56" s="50" customFormat="1" ht="12.95" hidden="1" customHeight="1">
      <c r="B88" s="54">
        <v>86</v>
      </c>
      <c r="C88" s="55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61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47"/>
      <c r="AX88" s="47"/>
      <c r="AY88" s="47"/>
      <c r="AZ88" s="47"/>
      <c r="BA88" s="47"/>
      <c r="BB88" s="47"/>
      <c r="BC88" s="47"/>
      <c r="BD88" s="47"/>
    </row>
    <row r="89" spans="2:56" s="50" customFormat="1" ht="12.95" hidden="1" customHeight="1">
      <c r="B89" s="54">
        <v>87</v>
      </c>
      <c r="C89" s="55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47"/>
      <c r="AX89" s="47"/>
      <c r="AY89" s="47"/>
      <c r="AZ89" s="47"/>
      <c r="BA89" s="47"/>
      <c r="BB89" s="47"/>
      <c r="BC89" s="47"/>
      <c r="BD89" s="47"/>
    </row>
    <row r="90" spans="2:56" s="50" customFormat="1" ht="12.95" hidden="1" customHeight="1">
      <c r="B90" s="54">
        <v>88</v>
      </c>
      <c r="C90" s="55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47"/>
      <c r="AX90" s="47"/>
      <c r="AY90" s="47"/>
      <c r="AZ90" s="47"/>
      <c r="BA90" s="47"/>
      <c r="BB90" s="47"/>
      <c r="BC90" s="47"/>
      <c r="BD90" s="47"/>
    </row>
    <row r="91" spans="2:56" s="50" customFormat="1" ht="12.95" hidden="1" customHeight="1">
      <c r="B91" s="54">
        <v>89</v>
      </c>
      <c r="C91" s="55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47"/>
      <c r="AX91" s="47"/>
      <c r="AY91" s="47"/>
      <c r="AZ91" s="47"/>
      <c r="BA91" s="47"/>
      <c r="BB91" s="47"/>
      <c r="BC91" s="47"/>
      <c r="BD91" s="47"/>
    </row>
    <row r="92" spans="2:56" s="50" customFormat="1" ht="12.95" hidden="1" customHeight="1">
      <c r="B92" s="54">
        <v>90</v>
      </c>
      <c r="C92" s="55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47"/>
      <c r="AX92" s="47"/>
      <c r="AY92" s="47"/>
      <c r="AZ92" s="47"/>
      <c r="BA92" s="47"/>
      <c r="BB92" s="47"/>
      <c r="BC92" s="47"/>
      <c r="BD92" s="47"/>
    </row>
    <row r="93" spans="2:56" s="50" customFormat="1" ht="12.95" hidden="1" customHeight="1">
      <c r="B93" s="54">
        <v>91</v>
      </c>
      <c r="C93" s="55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47"/>
      <c r="AX93" s="47"/>
      <c r="AY93" s="47"/>
      <c r="AZ93" s="47"/>
      <c r="BA93" s="47"/>
      <c r="BB93" s="47"/>
      <c r="BC93" s="47"/>
      <c r="BD93" s="47"/>
    </row>
    <row r="94" spans="2:56" s="50" customFormat="1" ht="12.95" hidden="1" customHeight="1">
      <c r="B94" s="54">
        <v>92</v>
      </c>
      <c r="C94" s="55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47"/>
      <c r="AX94" s="47"/>
      <c r="AY94" s="47"/>
      <c r="AZ94" s="47"/>
      <c r="BA94" s="47"/>
      <c r="BB94" s="47"/>
      <c r="BC94" s="47"/>
      <c r="BD94" s="47"/>
    </row>
    <row r="95" spans="2:56" s="50" customFormat="1" ht="12.95" hidden="1" customHeight="1">
      <c r="B95" s="54">
        <v>93</v>
      </c>
      <c r="C95" s="55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47"/>
      <c r="AX95" s="47"/>
      <c r="AY95" s="47"/>
      <c r="AZ95" s="47"/>
      <c r="BA95" s="47"/>
      <c r="BB95" s="47"/>
      <c r="BC95" s="47"/>
      <c r="BD95" s="47"/>
    </row>
    <row r="96" spans="2:56" s="50" customFormat="1" ht="12.95" hidden="1" customHeight="1">
      <c r="B96" s="54">
        <v>94</v>
      </c>
      <c r="C96" s="55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47"/>
      <c r="AX96" s="47"/>
      <c r="AY96" s="47"/>
      <c r="AZ96" s="47"/>
      <c r="BA96" s="47"/>
      <c r="BB96" s="47"/>
      <c r="BC96" s="47"/>
      <c r="BD96" s="47"/>
    </row>
    <row r="97" spans="2:56" s="50" customFormat="1" ht="12.95" hidden="1" customHeight="1">
      <c r="B97" s="54">
        <v>95</v>
      </c>
      <c r="C97" s="55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47"/>
      <c r="AX97" s="47"/>
      <c r="AY97" s="47"/>
      <c r="AZ97" s="47"/>
      <c r="BA97" s="47"/>
      <c r="BB97" s="47"/>
      <c r="BC97" s="47"/>
      <c r="BD97" s="47"/>
    </row>
    <row r="98" spans="2:56" s="50" customFormat="1" ht="12.95" hidden="1" customHeight="1">
      <c r="B98" s="54">
        <v>96</v>
      </c>
      <c r="C98" s="55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47"/>
      <c r="AX98" s="47"/>
      <c r="AY98" s="47"/>
      <c r="AZ98" s="47"/>
      <c r="BA98" s="47"/>
      <c r="BB98" s="47"/>
      <c r="BC98" s="47"/>
      <c r="BD98" s="47"/>
    </row>
    <row r="99" spans="2:56" s="50" customFormat="1" ht="12.95" hidden="1" customHeight="1">
      <c r="B99" s="54">
        <v>97</v>
      </c>
      <c r="C99" s="55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47"/>
      <c r="AX99" s="47"/>
      <c r="AY99" s="47"/>
      <c r="AZ99" s="47"/>
      <c r="BA99" s="47"/>
      <c r="BB99" s="47"/>
      <c r="BC99" s="47"/>
      <c r="BD99" s="47"/>
    </row>
    <row r="100" spans="2:56" s="50" customFormat="1" ht="12.95" hidden="1" customHeight="1">
      <c r="B100" s="54">
        <v>98</v>
      </c>
      <c r="C100" s="55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47"/>
      <c r="AX100" s="47"/>
      <c r="AY100" s="47"/>
      <c r="AZ100" s="47"/>
      <c r="BA100" s="47"/>
      <c r="BB100" s="47"/>
      <c r="BC100" s="47"/>
      <c r="BD100" s="47"/>
    </row>
    <row r="101" spans="2:56" s="50" customFormat="1" ht="12.95" hidden="1" customHeight="1">
      <c r="B101" s="54">
        <v>99</v>
      </c>
      <c r="C101" s="55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47"/>
      <c r="AX101" s="47"/>
      <c r="AY101" s="47"/>
      <c r="AZ101" s="47"/>
      <c r="BA101" s="47"/>
      <c r="BB101" s="47"/>
      <c r="BC101" s="47"/>
      <c r="BD101" s="47"/>
    </row>
    <row r="102" spans="2:56" s="50" customFormat="1" ht="12.95" hidden="1" customHeight="1">
      <c r="B102" s="54">
        <v>100</v>
      </c>
      <c r="C102" s="55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61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47"/>
      <c r="AX102" s="47"/>
      <c r="AY102" s="47"/>
      <c r="AZ102" s="47"/>
      <c r="BA102" s="47"/>
      <c r="BB102" s="47"/>
      <c r="BC102" s="47"/>
      <c r="BD102" s="47"/>
    </row>
    <row r="103" spans="2:56" s="50" customFormat="1" ht="12.95" hidden="1" customHeight="1">
      <c r="B103" s="54">
        <v>101</v>
      </c>
      <c r="C103" s="55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47"/>
      <c r="AX103" s="47"/>
      <c r="AY103" s="47"/>
      <c r="AZ103" s="47"/>
      <c r="BA103" s="47"/>
      <c r="BB103" s="47"/>
      <c r="BC103" s="47"/>
      <c r="BD103" s="47"/>
    </row>
    <row r="104" spans="2:56" s="50" customFormat="1" ht="12.95" hidden="1" customHeight="1">
      <c r="B104" s="54">
        <v>102</v>
      </c>
      <c r="C104" s="55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47"/>
      <c r="AX104" s="47"/>
      <c r="AY104" s="47"/>
      <c r="AZ104" s="47"/>
      <c r="BA104" s="47"/>
      <c r="BB104" s="47"/>
      <c r="BC104" s="47"/>
      <c r="BD104" s="47"/>
    </row>
    <row r="105" spans="2:56" s="50" customFormat="1" ht="12.95" hidden="1" customHeight="1">
      <c r="B105" s="54">
        <v>103</v>
      </c>
      <c r="C105" s="55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47"/>
      <c r="AX105" s="47"/>
      <c r="AY105" s="47"/>
      <c r="AZ105" s="47"/>
      <c r="BA105" s="47"/>
      <c r="BB105" s="47"/>
      <c r="BC105" s="47"/>
      <c r="BD105" s="47"/>
    </row>
    <row r="106" spans="2:56" s="50" customFormat="1" ht="12.95" hidden="1" customHeight="1">
      <c r="B106" s="54">
        <v>104</v>
      </c>
      <c r="C106" s="55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61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47"/>
      <c r="AX106" s="47"/>
      <c r="AY106" s="47"/>
      <c r="AZ106" s="47"/>
      <c r="BA106" s="47"/>
      <c r="BB106" s="47"/>
      <c r="BC106" s="47"/>
      <c r="BD106" s="47"/>
    </row>
    <row r="107" spans="2:56" s="50" customFormat="1" ht="12.95" hidden="1" customHeight="1">
      <c r="B107" s="54">
        <v>105</v>
      </c>
      <c r="C107" s="55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47"/>
      <c r="AX107" s="47"/>
      <c r="AY107" s="47"/>
      <c r="AZ107" s="47"/>
      <c r="BA107" s="47"/>
      <c r="BB107" s="47"/>
      <c r="BC107" s="47"/>
      <c r="BD107" s="47"/>
    </row>
    <row r="108" spans="2:56" s="50" customFormat="1" ht="12.95" hidden="1" customHeight="1">
      <c r="B108" s="54">
        <v>106</v>
      </c>
      <c r="C108" s="55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47"/>
      <c r="AX108" s="47"/>
      <c r="AY108" s="47"/>
      <c r="AZ108" s="47"/>
      <c r="BA108" s="47"/>
      <c r="BB108" s="47"/>
      <c r="BC108" s="47"/>
      <c r="BD108" s="47"/>
    </row>
    <row r="109" spans="2:56" s="50" customFormat="1" ht="12.95" hidden="1" customHeight="1">
      <c r="B109" s="54">
        <v>107</v>
      </c>
      <c r="C109" s="55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47"/>
      <c r="AX109" s="47"/>
      <c r="AY109" s="47"/>
      <c r="AZ109" s="47"/>
      <c r="BA109" s="47"/>
      <c r="BB109" s="47"/>
      <c r="BC109" s="47"/>
      <c r="BD109" s="47"/>
    </row>
    <row r="110" spans="2:56" s="50" customFormat="1" ht="12.95" hidden="1" customHeight="1">
      <c r="B110" s="54">
        <v>108</v>
      </c>
      <c r="C110" s="55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47"/>
      <c r="AX110" s="47"/>
      <c r="AY110" s="47"/>
      <c r="AZ110" s="47"/>
      <c r="BA110" s="47"/>
      <c r="BB110" s="47"/>
      <c r="BC110" s="47"/>
      <c r="BD110" s="47"/>
    </row>
    <row r="111" spans="2:56" s="50" customFormat="1" ht="12.95" hidden="1" customHeight="1">
      <c r="B111" s="54">
        <v>109</v>
      </c>
      <c r="C111" s="55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47"/>
      <c r="AX111" s="47"/>
      <c r="AY111" s="47"/>
      <c r="AZ111" s="47"/>
      <c r="BA111" s="47"/>
      <c r="BB111" s="47"/>
      <c r="BC111" s="47"/>
      <c r="BD111" s="47"/>
    </row>
    <row r="112" spans="2:56" s="50" customFormat="1" ht="12.95" hidden="1" customHeight="1">
      <c r="B112" s="54">
        <v>110</v>
      </c>
      <c r="C112" s="55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47"/>
      <c r="AX112" s="47"/>
      <c r="AY112" s="47"/>
      <c r="AZ112" s="47"/>
      <c r="BA112" s="47"/>
      <c r="BB112" s="47"/>
      <c r="BC112" s="47"/>
      <c r="BD112" s="47"/>
    </row>
    <row r="113" spans="2:56" s="50" customFormat="1" ht="12.95" hidden="1" customHeight="1">
      <c r="B113" s="54">
        <v>111</v>
      </c>
      <c r="C113" s="5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47"/>
      <c r="AX113" s="47"/>
      <c r="AY113" s="47"/>
      <c r="AZ113" s="47"/>
      <c r="BA113" s="47"/>
      <c r="BB113" s="47"/>
      <c r="BC113" s="47"/>
      <c r="BD113" s="47"/>
    </row>
    <row r="114" spans="2:56" s="50" customFormat="1" ht="12.95" hidden="1" customHeight="1">
      <c r="B114" s="54">
        <v>112</v>
      </c>
      <c r="C114" s="55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47"/>
      <c r="AX114" s="47"/>
      <c r="AY114" s="47"/>
      <c r="AZ114" s="47"/>
      <c r="BA114" s="47"/>
      <c r="BB114" s="47"/>
      <c r="BC114" s="47"/>
      <c r="BD114" s="47"/>
    </row>
    <row r="115" spans="2:56" s="50" customFormat="1" ht="12.95" hidden="1" customHeight="1">
      <c r="B115" s="54">
        <v>113</v>
      </c>
      <c r="C115" s="55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47"/>
      <c r="AX115" s="47"/>
      <c r="AY115" s="47"/>
      <c r="AZ115" s="47"/>
      <c r="BA115" s="47"/>
      <c r="BB115" s="47"/>
      <c r="BC115" s="47"/>
      <c r="BD115" s="47"/>
    </row>
    <row r="116" spans="2:56" s="50" customFormat="1" ht="12.95" hidden="1" customHeight="1">
      <c r="B116" s="54">
        <v>114</v>
      </c>
      <c r="C116" s="55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47"/>
      <c r="AX116" s="47"/>
      <c r="AY116" s="47"/>
      <c r="AZ116" s="47"/>
      <c r="BA116" s="47"/>
      <c r="BB116" s="47"/>
      <c r="BC116" s="47"/>
      <c r="BD116" s="47"/>
    </row>
    <row r="117" spans="2:56" s="50" customFormat="1" ht="12.95" hidden="1" customHeight="1">
      <c r="B117" s="54">
        <v>116</v>
      </c>
      <c r="C117" s="5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47"/>
      <c r="AX117" s="47"/>
      <c r="AY117" s="47"/>
      <c r="AZ117" s="47"/>
      <c r="BA117" s="47"/>
      <c r="BB117" s="47"/>
      <c r="BC117" s="47"/>
      <c r="BD117" s="47"/>
    </row>
    <row r="118" spans="2:56" s="50" customFormat="1" ht="12.95" hidden="1" customHeight="1">
      <c r="B118" s="54">
        <v>117</v>
      </c>
      <c r="C118" s="55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60"/>
      <c r="AJ118" s="60"/>
      <c r="AK118" s="60"/>
      <c r="AL118" s="60"/>
      <c r="AM118" s="60"/>
      <c r="AN118" s="60"/>
      <c r="AO118" s="60"/>
      <c r="AP118" s="60"/>
      <c r="AQ118" s="60"/>
      <c r="AR118" s="60"/>
      <c r="AS118" s="60"/>
      <c r="AT118" s="60"/>
      <c r="AU118" s="60"/>
      <c r="AV118" s="60"/>
      <c r="AW118" s="47"/>
      <c r="AX118" s="47"/>
      <c r="AY118" s="47"/>
      <c r="AZ118" s="47"/>
      <c r="BA118" s="47"/>
      <c r="BB118" s="47"/>
      <c r="BC118" s="47"/>
      <c r="BD118" s="47"/>
    </row>
    <row r="119" spans="2:56" s="50" customFormat="1" ht="12.95" hidden="1" customHeight="1">
      <c r="B119" s="54">
        <v>118</v>
      </c>
      <c r="C119" s="55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60"/>
      <c r="AJ119" s="60"/>
      <c r="AK119" s="60"/>
      <c r="AL119" s="60"/>
      <c r="AM119" s="60"/>
      <c r="AN119" s="60"/>
      <c r="AO119" s="60"/>
      <c r="AP119" s="60"/>
      <c r="AQ119" s="60"/>
      <c r="AR119" s="60"/>
      <c r="AS119" s="60"/>
      <c r="AT119" s="60"/>
      <c r="AU119" s="60"/>
      <c r="AV119" s="60"/>
      <c r="AW119" s="47"/>
      <c r="AX119" s="47"/>
      <c r="AY119" s="47"/>
      <c r="AZ119" s="47"/>
      <c r="BA119" s="47"/>
      <c r="BB119" s="47"/>
      <c r="BC119" s="47"/>
      <c r="BD119" s="47"/>
    </row>
    <row r="120" spans="2:56" s="50" customFormat="1" ht="12.95" hidden="1" customHeight="1">
      <c r="B120" s="54">
        <v>119</v>
      </c>
      <c r="C120" s="55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47"/>
      <c r="AX120" s="47"/>
      <c r="AY120" s="47"/>
      <c r="AZ120" s="47"/>
      <c r="BA120" s="47"/>
      <c r="BB120" s="47"/>
      <c r="BC120" s="47"/>
      <c r="BD120" s="47"/>
    </row>
    <row r="121" spans="2:56" s="50" customFormat="1" ht="12.95" hidden="1" customHeight="1">
      <c r="B121" s="54">
        <v>120</v>
      </c>
      <c r="C121" s="55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47"/>
      <c r="AX121" s="47"/>
      <c r="AY121" s="47"/>
      <c r="AZ121" s="47"/>
      <c r="BA121" s="47"/>
      <c r="BB121" s="47"/>
      <c r="BC121" s="47"/>
      <c r="BD121" s="47"/>
    </row>
    <row r="122" spans="2:56" s="50" customFormat="1" ht="12.95" hidden="1" customHeight="1">
      <c r="B122" s="54">
        <v>121</v>
      </c>
      <c r="C122" s="55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60"/>
      <c r="AW122" s="47"/>
      <c r="AX122" s="47"/>
      <c r="AY122" s="47"/>
      <c r="AZ122" s="47"/>
      <c r="BA122" s="47"/>
      <c r="BB122" s="47"/>
      <c r="BC122" s="47"/>
      <c r="BD122" s="47"/>
    </row>
    <row r="123" spans="2:56" s="50" customFormat="1" ht="12.95" hidden="1" customHeight="1">
      <c r="B123" s="54">
        <v>125</v>
      </c>
      <c r="C123" s="55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/>
      <c r="AW123" s="47"/>
      <c r="AX123" s="47"/>
      <c r="AY123" s="47"/>
      <c r="AZ123" s="47"/>
      <c r="BA123" s="47"/>
      <c r="BB123" s="47"/>
      <c r="BC123" s="47"/>
      <c r="BD123" s="47"/>
    </row>
    <row r="124" spans="2:56" s="50" customFormat="1" ht="12.95" hidden="1" customHeight="1">
      <c r="B124" s="54">
        <v>126</v>
      </c>
      <c r="C124" s="63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47"/>
      <c r="AX124" s="47"/>
      <c r="AY124" s="47"/>
      <c r="AZ124" s="47"/>
      <c r="BA124" s="47"/>
      <c r="BB124" s="47"/>
      <c r="BC124" s="47"/>
      <c r="BD124" s="47"/>
    </row>
    <row r="125" spans="2:56" s="50" customFormat="1" ht="12.95" hidden="1" customHeight="1">
      <c r="B125" s="54">
        <v>127</v>
      </c>
      <c r="C125" s="55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47"/>
      <c r="AX125" s="47"/>
      <c r="AY125" s="47"/>
      <c r="AZ125" s="47"/>
      <c r="BA125" s="47"/>
      <c r="BB125" s="47"/>
      <c r="BC125" s="47"/>
      <c r="BD125" s="47"/>
    </row>
    <row r="126" spans="2:56" s="50" customFormat="1" ht="12.95" hidden="1" customHeight="1">
      <c r="B126" s="54">
        <v>128</v>
      </c>
      <c r="C126" s="55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/>
      <c r="AW126" s="47"/>
      <c r="AX126" s="47"/>
      <c r="AY126" s="47"/>
      <c r="AZ126" s="47"/>
      <c r="BA126" s="47"/>
      <c r="BB126" s="47"/>
      <c r="BC126" s="47"/>
      <c r="BD126" s="47"/>
    </row>
    <row r="127" spans="2:56" s="50" customFormat="1" ht="12.95" hidden="1" customHeight="1">
      <c r="B127" s="54">
        <v>129</v>
      </c>
      <c r="C127" s="55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60"/>
      <c r="AW127" s="47"/>
      <c r="AX127" s="47"/>
      <c r="AY127" s="47"/>
      <c r="AZ127" s="47"/>
      <c r="BA127" s="47"/>
      <c r="BB127" s="47"/>
      <c r="BC127" s="47"/>
      <c r="BD127" s="47"/>
    </row>
    <row r="128" spans="2:56" s="50" customFormat="1" ht="12.95" hidden="1" customHeight="1">
      <c r="B128" s="54">
        <v>130</v>
      </c>
      <c r="C128" s="55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47"/>
      <c r="AX128" s="47"/>
      <c r="AY128" s="47"/>
      <c r="AZ128" s="47"/>
      <c r="BA128" s="47"/>
      <c r="BB128" s="47"/>
      <c r="BC128" s="47"/>
      <c r="BD128" s="47"/>
    </row>
    <row r="129" spans="2:56" s="50" customFormat="1" ht="12.95" hidden="1" customHeight="1">
      <c r="B129" s="54">
        <v>131</v>
      </c>
      <c r="C129" s="55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60"/>
      <c r="AJ129" s="60"/>
      <c r="AK129" s="60"/>
      <c r="AL129" s="60"/>
      <c r="AM129" s="60"/>
      <c r="AN129" s="60"/>
      <c r="AO129" s="60"/>
      <c r="AP129" s="60"/>
      <c r="AQ129" s="60"/>
      <c r="AR129" s="60"/>
      <c r="AS129" s="60"/>
      <c r="AT129" s="60"/>
      <c r="AU129" s="60"/>
      <c r="AV129" s="60"/>
      <c r="AW129" s="47"/>
      <c r="AX129" s="47"/>
      <c r="AY129" s="47"/>
      <c r="AZ129" s="47"/>
      <c r="BA129" s="47"/>
      <c r="BB129" s="47"/>
      <c r="BC129" s="47"/>
      <c r="BD129" s="47"/>
    </row>
    <row r="130" spans="2:56" s="50" customFormat="1" ht="12.95" hidden="1" customHeight="1">
      <c r="B130" s="54">
        <v>132</v>
      </c>
      <c r="C130" s="55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60"/>
      <c r="AJ130" s="60"/>
      <c r="AK130" s="60"/>
      <c r="AL130" s="60"/>
      <c r="AM130" s="60"/>
      <c r="AN130" s="60"/>
      <c r="AO130" s="60"/>
      <c r="AP130" s="60"/>
      <c r="AQ130" s="60"/>
      <c r="AR130" s="60"/>
      <c r="AS130" s="60"/>
      <c r="AT130" s="60"/>
      <c r="AU130" s="60"/>
      <c r="AV130" s="60"/>
      <c r="AW130" s="47"/>
      <c r="AX130" s="47"/>
      <c r="AY130" s="47"/>
      <c r="AZ130" s="47"/>
      <c r="BA130" s="47"/>
      <c r="BB130" s="47"/>
      <c r="BC130" s="47"/>
      <c r="BD130" s="47"/>
    </row>
    <row r="131" spans="2:56" s="50" customFormat="1" ht="12.95" hidden="1" customHeight="1">
      <c r="B131" s="54">
        <v>133</v>
      </c>
      <c r="C131" s="63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60"/>
      <c r="AJ131" s="60"/>
      <c r="AK131" s="60"/>
      <c r="AL131" s="60"/>
      <c r="AM131" s="60"/>
      <c r="AN131" s="60"/>
      <c r="AO131" s="60"/>
      <c r="AP131" s="60"/>
      <c r="AQ131" s="60"/>
      <c r="AR131" s="60"/>
      <c r="AS131" s="60"/>
      <c r="AT131" s="60"/>
      <c r="AU131" s="60"/>
      <c r="AV131" s="60"/>
      <c r="AW131" s="47"/>
      <c r="AX131" s="47"/>
      <c r="AY131" s="47"/>
      <c r="AZ131" s="47"/>
      <c r="BA131" s="47"/>
      <c r="BB131" s="47"/>
      <c r="BC131" s="47"/>
      <c r="BD131" s="47"/>
    </row>
    <row r="132" spans="2:56" s="50" customFormat="1" ht="12.95" hidden="1" customHeight="1">
      <c r="B132" s="54">
        <v>134</v>
      </c>
      <c r="C132" s="64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60"/>
      <c r="AJ132" s="60"/>
      <c r="AK132" s="60"/>
      <c r="AL132" s="60"/>
      <c r="AM132" s="60"/>
      <c r="AN132" s="60"/>
      <c r="AO132" s="60"/>
      <c r="AP132" s="60"/>
      <c r="AQ132" s="60"/>
      <c r="AR132" s="60"/>
      <c r="AS132" s="60"/>
      <c r="AT132" s="60"/>
      <c r="AU132" s="60"/>
      <c r="AV132" s="60"/>
      <c r="AW132" s="47"/>
      <c r="AX132" s="47"/>
      <c r="AY132" s="47"/>
      <c r="AZ132" s="47"/>
      <c r="BA132" s="47"/>
      <c r="BB132" s="47"/>
      <c r="BC132" s="47"/>
      <c r="BD132" s="47"/>
    </row>
    <row r="133" spans="2:56" s="50" customFormat="1" ht="12.95" hidden="1" customHeight="1">
      <c r="B133" s="54">
        <v>135</v>
      </c>
      <c r="C133" s="64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60"/>
      <c r="AJ133" s="60"/>
      <c r="AK133" s="60"/>
      <c r="AL133" s="60"/>
      <c r="AM133" s="60"/>
      <c r="AN133" s="60"/>
      <c r="AO133" s="60"/>
      <c r="AP133" s="60"/>
      <c r="AQ133" s="60"/>
      <c r="AR133" s="60"/>
      <c r="AS133" s="60"/>
      <c r="AT133" s="60"/>
      <c r="AU133" s="60"/>
      <c r="AV133" s="60"/>
      <c r="AW133" s="47"/>
      <c r="AX133" s="47"/>
      <c r="AY133" s="47"/>
      <c r="AZ133" s="47"/>
      <c r="BA133" s="47"/>
      <c r="BB133" s="47"/>
      <c r="BC133" s="47"/>
      <c r="BD133" s="47"/>
    </row>
    <row r="134" spans="2:56" s="50" customFormat="1" ht="12.95" hidden="1" customHeight="1">
      <c r="B134" s="54">
        <v>136</v>
      </c>
      <c r="C134" s="64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60"/>
      <c r="AU134" s="60"/>
      <c r="AV134" s="60"/>
      <c r="AW134" s="47"/>
      <c r="AX134" s="47"/>
      <c r="AY134" s="47"/>
      <c r="AZ134" s="47"/>
      <c r="BA134" s="47"/>
      <c r="BB134" s="47"/>
      <c r="BC134" s="47"/>
      <c r="BD134" s="47"/>
    </row>
    <row r="135" spans="2:56" s="50" customFormat="1" ht="12.95" hidden="1" customHeight="1">
      <c r="B135" s="54">
        <v>137</v>
      </c>
      <c r="C135" s="64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60" t="s">
        <v>50</v>
      </c>
      <c r="AJ135" s="60"/>
      <c r="AK135" s="60"/>
      <c r="AL135" s="60"/>
      <c r="AM135" s="60"/>
      <c r="AN135" s="60"/>
      <c r="AO135" s="60"/>
      <c r="AP135" s="60"/>
      <c r="AQ135" s="60"/>
      <c r="AR135" s="60"/>
      <c r="AS135" s="60"/>
      <c r="AT135" s="60"/>
      <c r="AU135" s="60"/>
      <c r="AV135" s="60"/>
      <c r="AW135" s="47"/>
      <c r="AX135" s="47"/>
      <c r="AY135" s="47"/>
      <c r="AZ135" s="47"/>
      <c r="BA135" s="47"/>
      <c r="BB135" s="47"/>
      <c r="BC135" s="47"/>
      <c r="BD135" s="47"/>
    </row>
    <row r="136" spans="2:56" s="50" customFormat="1" ht="12.95" hidden="1" customHeight="1">
      <c r="B136" s="54">
        <v>138</v>
      </c>
      <c r="C136" s="64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47"/>
      <c r="AX136" s="47"/>
      <c r="AY136" s="47"/>
      <c r="AZ136" s="47"/>
      <c r="BA136" s="47"/>
      <c r="BB136" s="47"/>
      <c r="BC136" s="47"/>
      <c r="BD136" s="47"/>
    </row>
    <row r="137" spans="2:56" s="50" customFormat="1" ht="12.95" hidden="1" customHeight="1">
      <c r="B137" s="54">
        <v>139</v>
      </c>
      <c r="C137" s="64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60"/>
      <c r="AV137" s="60"/>
      <c r="AW137" s="47"/>
      <c r="AX137" s="47"/>
      <c r="AY137" s="47"/>
      <c r="AZ137" s="47"/>
      <c r="BA137" s="47"/>
      <c r="BB137" s="47"/>
      <c r="BC137" s="47"/>
      <c r="BD137" s="47"/>
    </row>
    <row r="138" spans="2:56" s="50" customFormat="1" ht="12.95" hidden="1" customHeight="1">
      <c r="B138" s="54">
        <v>140</v>
      </c>
      <c r="C138" s="64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60"/>
      <c r="AJ138" s="60"/>
      <c r="AK138" s="60"/>
      <c r="AL138" s="60"/>
      <c r="AM138" s="60"/>
      <c r="AN138" s="60"/>
      <c r="AO138" s="60"/>
      <c r="AP138" s="60"/>
      <c r="AQ138" s="60"/>
      <c r="AR138" s="60"/>
      <c r="AS138" s="60"/>
      <c r="AT138" s="60"/>
      <c r="AU138" s="60"/>
      <c r="AV138" s="60"/>
      <c r="AW138" s="47"/>
      <c r="AX138" s="47"/>
      <c r="AY138" s="47"/>
      <c r="AZ138" s="47"/>
      <c r="BA138" s="47"/>
      <c r="BB138" s="47"/>
      <c r="BC138" s="47"/>
      <c r="BD138" s="47"/>
    </row>
    <row r="139" spans="2:56" s="50" customFormat="1" ht="12.95" hidden="1" customHeight="1">
      <c r="B139" s="54">
        <v>141</v>
      </c>
      <c r="C139" s="64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/>
      <c r="AW139" s="47"/>
      <c r="AX139" s="47"/>
      <c r="AY139" s="47"/>
      <c r="AZ139" s="47"/>
      <c r="BA139" s="47"/>
      <c r="BB139" s="47"/>
      <c r="BC139" s="47"/>
      <c r="BD139" s="47"/>
    </row>
    <row r="140" spans="2:56" s="50" customFormat="1" ht="12.95" hidden="1" customHeight="1">
      <c r="B140" s="54">
        <v>142</v>
      </c>
      <c r="C140" s="64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60"/>
      <c r="AW140" s="47"/>
      <c r="AX140" s="47"/>
      <c r="AY140" s="47"/>
      <c r="AZ140" s="47"/>
      <c r="BA140" s="47"/>
      <c r="BB140" s="47"/>
      <c r="BC140" s="47"/>
      <c r="BD140" s="47"/>
    </row>
    <row r="141" spans="2:56" s="50" customFormat="1" ht="12.95" hidden="1" customHeight="1">
      <c r="B141" s="54">
        <v>143</v>
      </c>
      <c r="C141" s="64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60"/>
      <c r="AW141" s="47"/>
      <c r="AX141" s="47"/>
      <c r="AY141" s="47"/>
      <c r="AZ141" s="47"/>
      <c r="BA141" s="47"/>
      <c r="BB141" s="47"/>
      <c r="BC141" s="47"/>
      <c r="BD141" s="47"/>
    </row>
    <row r="142" spans="2:56" s="50" customFormat="1" ht="12.95" hidden="1" customHeight="1">
      <c r="B142" s="54">
        <v>144</v>
      </c>
      <c r="C142" s="64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47"/>
      <c r="AX142" s="47"/>
      <c r="AY142" s="47"/>
      <c r="AZ142" s="47"/>
      <c r="BA142" s="47"/>
      <c r="BB142" s="47"/>
      <c r="BC142" s="47"/>
      <c r="BD142" s="47"/>
    </row>
    <row r="143" spans="2:56" s="50" customFormat="1" ht="12.95" hidden="1" customHeight="1">
      <c r="B143" s="54">
        <v>145</v>
      </c>
      <c r="C143" s="64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60"/>
      <c r="AW143" s="47"/>
      <c r="AX143" s="47"/>
      <c r="AY143" s="47"/>
      <c r="AZ143" s="47"/>
      <c r="BA143" s="47"/>
      <c r="BB143" s="47"/>
      <c r="BC143" s="47"/>
      <c r="BD143" s="47"/>
    </row>
    <row r="144" spans="2:56" s="50" customFormat="1" ht="12.95" hidden="1" customHeight="1">
      <c r="B144" s="54">
        <v>146</v>
      </c>
      <c r="C144" s="64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60"/>
      <c r="AW144" s="47"/>
      <c r="AX144" s="47"/>
      <c r="AY144" s="47"/>
      <c r="AZ144" s="47"/>
      <c r="BA144" s="47"/>
      <c r="BB144" s="47"/>
      <c r="BC144" s="47"/>
      <c r="BD144" s="47"/>
    </row>
    <row r="145" spans="2:56" s="50" customFormat="1" ht="12.95" hidden="1" customHeight="1">
      <c r="B145" s="54">
        <v>147</v>
      </c>
      <c r="C145" s="64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60"/>
      <c r="AW145" s="47"/>
      <c r="AX145" s="47"/>
      <c r="AY145" s="47"/>
      <c r="AZ145" s="47"/>
      <c r="BA145" s="47"/>
      <c r="BB145" s="47"/>
      <c r="BC145" s="47"/>
      <c r="BD145" s="47"/>
    </row>
    <row r="146" spans="2:56" s="50" customFormat="1" ht="12.95" hidden="1" customHeight="1">
      <c r="B146" s="54">
        <v>148</v>
      </c>
      <c r="C146" s="64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60"/>
      <c r="AU146" s="60"/>
      <c r="AV146" s="60"/>
      <c r="AW146" s="47"/>
      <c r="AX146" s="47"/>
      <c r="AY146" s="47"/>
      <c r="AZ146" s="47"/>
      <c r="BA146" s="47"/>
      <c r="BB146" s="47"/>
      <c r="BC146" s="47"/>
      <c r="BD146" s="47"/>
    </row>
    <row r="147" spans="2:56" s="50" customFormat="1" ht="12.95" hidden="1" customHeight="1">
      <c r="B147" s="54">
        <v>149</v>
      </c>
      <c r="C147" s="64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47"/>
      <c r="AX147" s="47"/>
      <c r="AY147" s="47"/>
      <c r="AZ147" s="47"/>
      <c r="BA147" s="47"/>
      <c r="BB147" s="47"/>
      <c r="BC147" s="47"/>
      <c r="BD147" s="47"/>
    </row>
    <row r="148" spans="2:56" s="50" customFormat="1" ht="12.95" hidden="1" customHeight="1">
      <c r="B148" s="54"/>
      <c r="C148" s="64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47"/>
      <c r="AX148" s="47"/>
      <c r="AY148" s="47"/>
      <c r="AZ148" s="47"/>
      <c r="BA148" s="47"/>
      <c r="BB148" s="47"/>
      <c r="BC148" s="47"/>
      <c r="BD148" s="47"/>
    </row>
    <row r="149" spans="2:56" s="50" customFormat="1" ht="15" customHeight="1">
      <c r="B149" s="65"/>
      <c r="C149" s="66" t="s">
        <v>117</v>
      </c>
      <c r="D149" s="56">
        <f t="shared" ref="D149:AH149" si="0">COUNTA(D7:D148)</f>
        <v>0</v>
      </c>
      <c r="E149" s="56">
        <f t="shared" si="0"/>
        <v>18</v>
      </c>
      <c r="F149" s="56">
        <f t="shared" si="0"/>
        <v>20</v>
      </c>
      <c r="G149" s="56">
        <f t="shared" si="0"/>
        <v>15</v>
      </c>
      <c r="H149" s="56">
        <f t="shared" si="0"/>
        <v>15</v>
      </c>
      <c r="I149" s="56">
        <f t="shared" si="0"/>
        <v>24</v>
      </c>
      <c r="J149" s="56">
        <f t="shared" si="0"/>
        <v>13</v>
      </c>
      <c r="K149" s="56">
        <f t="shared" si="0"/>
        <v>0</v>
      </c>
      <c r="L149" s="56">
        <f t="shared" si="0"/>
        <v>17</v>
      </c>
      <c r="M149" s="56">
        <f t="shared" si="0"/>
        <v>9</v>
      </c>
      <c r="N149" s="56">
        <f t="shared" si="0"/>
        <v>11</v>
      </c>
      <c r="O149" s="56">
        <f t="shared" si="0"/>
        <v>12</v>
      </c>
      <c r="P149" s="56">
        <f t="shared" si="0"/>
        <v>11</v>
      </c>
      <c r="Q149" s="56">
        <f t="shared" si="0"/>
        <v>10</v>
      </c>
      <c r="R149" s="56">
        <f t="shared" si="0"/>
        <v>0</v>
      </c>
      <c r="S149" s="56">
        <f t="shared" si="0"/>
        <v>14</v>
      </c>
      <c r="T149" s="56">
        <f t="shared" si="0"/>
        <v>0</v>
      </c>
      <c r="U149" s="56">
        <f t="shared" si="0"/>
        <v>17</v>
      </c>
      <c r="V149" s="56">
        <f t="shared" si="0"/>
        <v>12</v>
      </c>
      <c r="W149" s="56">
        <f t="shared" si="0"/>
        <v>14</v>
      </c>
      <c r="X149" s="56">
        <f t="shared" si="0"/>
        <v>7</v>
      </c>
      <c r="Y149" s="56">
        <f t="shared" si="0"/>
        <v>0</v>
      </c>
      <c r="Z149" s="56">
        <f t="shared" si="0"/>
        <v>8</v>
      </c>
      <c r="AA149" s="56">
        <f t="shared" si="0"/>
        <v>9</v>
      </c>
      <c r="AB149" s="56">
        <f t="shared" si="0"/>
        <v>10</v>
      </c>
      <c r="AC149" s="56">
        <f t="shared" si="0"/>
        <v>11</v>
      </c>
      <c r="AD149" s="56">
        <f t="shared" si="0"/>
        <v>10</v>
      </c>
      <c r="AE149" s="56">
        <f t="shared" si="0"/>
        <v>10</v>
      </c>
      <c r="AF149" s="56">
        <f t="shared" si="0"/>
        <v>0</v>
      </c>
      <c r="AG149" s="56">
        <f t="shared" si="0"/>
        <v>0</v>
      </c>
      <c r="AH149" s="56">
        <f t="shared" si="0"/>
        <v>1</v>
      </c>
      <c r="AI149" s="60"/>
      <c r="AJ149" s="60"/>
      <c r="AK149" s="60"/>
      <c r="AL149" s="60"/>
      <c r="AM149" s="60"/>
      <c r="AN149" s="60"/>
      <c r="AO149" s="60"/>
      <c r="AP149" s="60"/>
      <c r="AQ149" s="60"/>
      <c r="AR149" s="60"/>
      <c r="AS149" s="60"/>
      <c r="AT149" s="60"/>
      <c r="AU149" s="60"/>
      <c r="AV149" s="60"/>
      <c r="AW149" s="47"/>
      <c r="AX149" s="47"/>
      <c r="AY149" s="47"/>
      <c r="AZ149" s="47"/>
      <c r="BA149" s="47"/>
      <c r="BB149" s="47"/>
      <c r="BC149" s="47"/>
      <c r="BD149" s="47"/>
    </row>
    <row r="150" spans="2:56">
      <c r="B150" s="46"/>
      <c r="C150" s="46"/>
      <c r="D150" s="46"/>
      <c r="E150" s="46"/>
      <c r="F150" s="46"/>
      <c r="G150" s="46"/>
      <c r="H150" s="46"/>
      <c r="I150" s="46"/>
      <c r="J150" s="46" t="s">
        <v>50</v>
      </c>
      <c r="K150" s="46"/>
      <c r="L150" s="46"/>
      <c r="M150" s="46"/>
      <c r="N150" s="46"/>
      <c r="O150" s="46"/>
      <c r="P150" s="46" t="s">
        <v>50</v>
      </c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6"/>
    </row>
    <row r="151" spans="2:56">
      <c r="B151" s="67" t="s">
        <v>61</v>
      </c>
      <c r="C151" s="68" t="s">
        <v>118</v>
      </c>
      <c r="D151" s="46"/>
      <c r="E151" s="46"/>
      <c r="F151" s="46"/>
      <c r="G151" s="46"/>
      <c r="H151" s="46"/>
      <c r="I151" s="46" t="s">
        <v>50</v>
      </c>
      <c r="J151" s="46"/>
      <c r="K151" s="46"/>
      <c r="L151" s="46"/>
      <c r="M151" s="46" t="s">
        <v>50</v>
      </c>
      <c r="N151" s="46" t="s">
        <v>50</v>
      </c>
      <c r="O151" s="46"/>
      <c r="P151" s="46" t="s">
        <v>50</v>
      </c>
      <c r="Q151" s="46"/>
      <c r="R151" s="46" t="s">
        <v>50</v>
      </c>
      <c r="S151" s="46" t="s">
        <v>50</v>
      </c>
      <c r="T151" s="46" t="s">
        <v>50</v>
      </c>
      <c r="U151" s="46" t="s">
        <v>50</v>
      </c>
      <c r="V151" s="46"/>
      <c r="W151" s="46" t="s">
        <v>50</v>
      </c>
      <c r="X151" s="46" t="s">
        <v>50</v>
      </c>
      <c r="Y151" s="46"/>
      <c r="Z151" s="46" t="s">
        <v>50</v>
      </c>
      <c r="AA151" s="46" t="s">
        <v>50</v>
      </c>
      <c r="AB151" s="46"/>
      <c r="AC151" s="46"/>
      <c r="AD151" s="46"/>
      <c r="AE151" s="46" t="s">
        <v>50</v>
      </c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6"/>
    </row>
    <row r="152" spans="2:56">
      <c r="B152" s="67" t="s">
        <v>59</v>
      </c>
      <c r="C152" s="68" t="s">
        <v>119</v>
      </c>
      <c r="D152" s="46"/>
      <c r="E152" s="46"/>
      <c r="F152" s="46"/>
      <c r="G152" s="46"/>
      <c r="H152" s="46"/>
      <c r="I152" s="46"/>
      <c r="J152" s="46"/>
      <c r="K152" s="46" t="s">
        <v>50</v>
      </c>
      <c r="L152" s="46" t="s">
        <v>50</v>
      </c>
      <c r="M152" s="46" t="s">
        <v>50</v>
      </c>
      <c r="N152" s="46" t="s">
        <v>50</v>
      </c>
      <c r="O152" s="46" t="s">
        <v>50</v>
      </c>
      <c r="P152" s="46" t="s">
        <v>50</v>
      </c>
      <c r="Q152" s="46" t="s">
        <v>50</v>
      </c>
      <c r="R152" s="46" t="s">
        <v>50</v>
      </c>
      <c r="S152" s="46" t="s">
        <v>50</v>
      </c>
      <c r="T152" s="46" t="s">
        <v>50</v>
      </c>
      <c r="U152" s="46" t="s">
        <v>50</v>
      </c>
      <c r="V152" s="46"/>
      <c r="W152" s="46"/>
      <c r="X152" s="46" t="s">
        <v>50</v>
      </c>
      <c r="Y152" s="46" t="s">
        <v>50</v>
      </c>
      <c r="Z152" s="46" t="s">
        <v>50</v>
      </c>
      <c r="AA152" s="46" t="s">
        <v>50</v>
      </c>
      <c r="AB152" s="46" t="s">
        <v>50</v>
      </c>
      <c r="AC152" s="46"/>
      <c r="AD152" s="46"/>
      <c r="AE152" s="46"/>
      <c r="AF152" s="46"/>
      <c r="AG152" s="46"/>
      <c r="AH152" s="46"/>
      <c r="AI152" s="46"/>
      <c r="AJ152" s="46" t="s">
        <v>50</v>
      </c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6"/>
    </row>
    <row r="153" spans="2:56">
      <c r="B153" s="67" t="s">
        <v>60</v>
      </c>
      <c r="C153" s="68" t="s">
        <v>120</v>
      </c>
      <c r="D153" s="46"/>
      <c r="E153" s="46"/>
      <c r="F153" s="46"/>
      <c r="G153" s="46"/>
      <c r="H153" s="46"/>
      <c r="I153" s="46"/>
      <c r="J153" s="46" t="s">
        <v>50</v>
      </c>
      <c r="K153" s="46" t="s">
        <v>50</v>
      </c>
      <c r="L153" s="46"/>
      <c r="M153" s="46"/>
      <c r="N153" s="46"/>
      <c r="O153" s="46"/>
      <c r="P153" s="46"/>
      <c r="Q153" s="46" t="s">
        <v>50</v>
      </c>
      <c r="R153" s="46"/>
      <c r="S153" s="46"/>
      <c r="T153" s="46"/>
      <c r="U153" s="46"/>
      <c r="V153" s="46" t="s">
        <v>50</v>
      </c>
      <c r="W153" s="46"/>
      <c r="X153" s="46" t="s">
        <v>50</v>
      </c>
      <c r="Y153" s="46"/>
      <c r="Z153" s="46" t="s">
        <v>50</v>
      </c>
      <c r="AA153" s="46" t="s">
        <v>50</v>
      </c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6"/>
    </row>
    <row r="154" spans="2:56"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 t="s">
        <v>50</v>
      </c>
      <c r="O154" s="46" t="s">
        <v>50</v>
      </c>
      <c r="P154" s="46" t="s">
        <v>50</v>
      </c>
      <c r="Q154" s="46"/>
      <c r="R154" s="46"/>
      <c r="S154" s="46"/>
      <c r="T154" s="46"/>
      <c r="U154" s="46"/>
      <c r="V154" s="46" t="s">
        <v>50</v>
      </c>
      <c r="W154" s="46"/>
      <c r="X154" s="46"/>
      <c r="Y154" s="46"/>
      <c r="Z154" s="46"/>
      <c r="AA154" s="46"/>
      <c r="AB154" s="46" t="s">
        <v>50</v>
      </c>
      <c r="AC154" s="46"/>
      <c r="AD154" s="46" t="s">
        <v>50</v>
      </c>
      <c r="AE154" s="46" t="s">
        <v>50</v>
      </c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6"/>
    </row>
    <row r="155" spans="2:56" ht="15.75">
      <c r="B155" s="131" t="s">
        <v>49</v>
      </c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  <c r="AC155" s="131"/>
      <c r="AD155" s="131"/>
      <c r="AE155" s="131"/>
      <c r="AF155" s="131"/>
      <c r="AG155" s="131"/>
      <c r="AH155" s="131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6"/>
    </row>
    <row r="156" spans="2:56">
      <c r="B156" s="132" t="s">
        <v>50</v>
      </c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  <c r="AC156" s="132"/>
      <c r="AD156" s="132"/>
      <c r="AE156" s="132"/>
      <c r="AF156" s="132"/>
      <c r="AG156" s="132"/>
      <c r="AH156" s="132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6"/>
    </row>
    <row r="157" spans="2:56">
      <c r="B157" s="47"/>
      <c r="C157" s="48" t="s">
        <v>51</v>
      </c>
      <c r="D157" s="46" t="s">
        <v>52</v>
      </c>
      <c r="E157" s="49" t="s">
        <v>46</v>
      </c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 t="s">
        <v>50</v>
      </c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6"/>
    </row>
    <row r="158" spans="2:56">
      <c r="B158" s="48"/>
      <c r="C158" s="48" t="s">
        <v>53</v>
      </c>
      <c r="D158" s="46" t="s">
        <v>52</v>
      </c>
      <c r="E158" s="49" t="s">
        <v>121</v>
      </c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 t="s">
        <v>50</v>
      </c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 t="s">
        <v>50</v>
      </c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6"/>
    </row>
    <row r="159" spans="2:56">
      <c r="B159" s="48"/>
      <c r="C159" s="48" t="s">
        <v>55</v>
      </c>
      <c r="D159" s="46" t="s">
        <v>52</v>
      </c>
      <c r="E159" s="49" t="s">
        <v>122</v>
      </c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6"/>
    </row>
    <row r="160" spans="2:56">
      <c r="B160" s="51" t="s">
        <v>57</v>
      </c>
      <c r="C160" s="51" t="s">
        <v>58</v>
      </c>
      <c r="D160" s="52">
        <v>1</v>
      </c>
      <c r="E160" s="53">
        <v>2</v>
      </c>
      <c r="F160" s="53">
        <v>3</v>
      </c>
      <c r="G160" s="53">
        <v>4</v>
      </c>
      <c r="H160" s="53">
        <v>5</v>
      </c>
      <c r="I160" s="53">
        <v>6</v>
      </c>
      <c r="J160" s="53">
        <v>7</v>
      </c>
      <c r="K160" s="52">
        <v>8</v>
      </c>
      <c r="L160" s="53">
        <v>9</v>
      </c>
      <c r="M160" s="53">
        <v>10</v>
      </c>
      <c r="N160" s="53">
        <v>11</v>
      </c>
      <c r="O160" s="53">
        <v>12</v>
      </c>
      <c r="P160" s="53">
        <v>13</v>
      </c>
      <c r="Q160" s="53">
        <v>14</v>
      </c>
      <c r="R160" s="52">
        <v>15</v>
      </c>
      <c r="S160" s="53">
        <v>16</v>
      </c>
      <c r="T160" s="52">
        <v>17</v>
      </c>
      <c r="U160" s="53">
        <v>18</v>
      </c>
      <c r="V160" s="53">
        <v>19</v>
      </c>
      <c r="W160" s="53">
        <v>20</v>
      </c>
      <c r="X160" s="53">
        <v>21</v>
      </c>
      <c r="Y160" s="52">
        <v>22</v>
      </c>
      <c r="Z160" s="53">
        <v>23</v>
      </c>
      <c r="AA160" s="53">
        <v>24</v>
      </c>
      <c r="AB160" s="53">
        <v>25</v>
      </c>
      <c r="AC160" s="53">
        <v>26</v>
      </c>
      <c r="AD160" s="53">
        <v>27</v>
      </c>
      <c r="AE160" s="53">
        <v>28</v>
      </c>
      <c r="AF160" s="53">
        <v>29</v>
      </c>
      <c r="AG160" s="53">
        <v>30</v>
      </c>
      <c r="AH160" s="53">
        <v>30</v>
      </c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6"/>
    </row>
    <row r="161" spans="2:56">
      <c r="B161" s="54">
        <v>1</v>
      </c>
      <c r="C161" s="55" t="s">
        <v>164</v>
      </c>
      <c r="D161" s="56"/>
      <c r="E161" s="56"/>
      <c r="F161" s="56"/>
      <c r="G161" s="56"/>
      <c r="H161" s="56"/>
      <c r="I161" s="56"/>
      <c r="J161" s="56"/>
      <c r="K161" s="56"/>
      <c r="L161" s="56"/>
      <c r="M161" s="56" t="s">
        <v>59</v>
      </c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 t="s">
        <v>59</v>
      </c>
      <c r="AB161" s="56"/>
      <c r="AC161" s="56"/>
      <c r="AD161" s="56"/>
      <c r="AE161" s="56"/>
      <c r="AF161" s="56"/>
      <c r="AG161" s="56"/>
      <c r="AH161" s="5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6"/>
    </row>
    <row r="162" spans="2:56">
      <c r="B162" s="54">
        <v>2</v>
      </c>
      <c r="C162" s="55" t="s">
        <v>62</v>
      </c>
      <c r="D162" s="56"/>
      <c r="E162" s="56" t="s">
        <v>60</v>
      </c>
      <c r="F162" s="56"/>
      <c r="G162" s="56"/>
      <c r="H162" s="56"/>
      <c r="I162" s="56"/>
      <c r="J162" s="56" t="s">
        <v>60</v>
      </c>
      <c r="K162" s="56"/>
      <c r="L162" s="56"/>
      <c r="M162" s="56"/>
      <c r="N162" s="56"/>
      <c r="O162" s="56"/>
      <c r="P162" s="56"/>
      <c r="Q162" s="56" t="s">
        <v>59</v>
      </c>
      <c r="R162" s="56"/>
      <c r="S162" s="56"/>
      <c r="T162" s="56"/>
      <c r="U162" s="56"/>
      <c r="V162" s="56"/>
      <c r="W162" s="56" t="s">
        <v>59</v>
      </c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6"/>
    </row>
    <row r="163" spans="2:56">
      <c r="B163" s="54">
        <v>3</v>
      </c>
      <c r="C163" s="55" t="s">
        <v>63</v>
      </c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 t="s">
        <v>60</v>
      </c>
      <c r="W163" s="56"/>
      <c r="X163" s="56"/>
      <c r="Y163" s="56"/>
      <c r="Z163" s="56"/>
      <c r="AA163" s="56" t="s">
        <v>59</v>
      </c>
      <c r="AB163" s="56"/>
      <c r="AC163" s="56"/>
      <c r="AD163" s="56"/>
      <c r="AE163" s="56"/>
      <c r="AF163" s="56"/>
      <c r="AG163" s="56"/>
      <c r="AH163" s="56"/>
      <c r="AI163" s="46"/>
      <c r="AJ163" s="46" t="s">
        <v>50</v>
      </c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6"/>
    </row>
    <row r="164" spans="2:56">
      <c r="B164" s="54">
        <v>4</v>
      </c>
      <c r="C164" s="55" t="s">
        <v>123</v>
      </c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 t="s">
        <v>60</v>
      </c>
      <c r="Q164" s="56"/>
      <c r="R164" s="56"/>
      <c r="S164" s="56"/>
      <c r="T164" s="56"/>
      <c r="U164" s="56"/>
      <c r="V164" s="56"/>
      <c r="W164" s="56" t="s">
        <v>50</v>
      </c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6"/>
    </row>
    <row r="165" spans="2:56">
      <c r="B165" s="54">
        <v>5</v>
      </c>
      <c r="C165" s="55" t="s">
        <v>65</v>
      </c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 t="s">
        <v>61</v>
      </c>
      <c r="AE165" s="56"/>
      <c r="AF165" s="56"/>
      <c r="AG165" s="56"/>
      <c r="AH165" s="5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6"/>
    </row>
    <row r="166" spans="2:56">
      <c r="B166" s="54">
        <v>6</v>
      </c>
      <c r="C166" s="55" t="s">
        <v>125</v>
      </c>
      <c r="D166" s="56"/>
      <c r="E166" s="56"/>
      <c r="F166" s="56"/>
      <c r="G166" s="56"/>
      <c r="H166" s="56"/>
      <c r="I166" s="56"/>
      <c r="J166" s="56"/>
      <c r="K166" s="56"/>
      <c r="L166" s="56"/>
      <c r="M166" s="56" t="s">
        <v>59</v>
      </c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 t="s">
        <v>59</v>
      </c>
      <c r="Y166" s="56"/>
      <c r="Z166" s="56" t="s">
        <v>60</v>
      </c>
      <c r="AA166" s="56"/>
      <c r="AB166" s="56"/>
      <c r="AC166" s="56"/>
      <c r="AD166" s="56"/>
      <c r="AE166" s="56"/>
      <c r="AF166" s="56"/>
      <c r="AG166" s="56"/>
      <c r="AH166" s="5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6"/>
    </row>
    <row r="167" spans="2:56">
      <c r="B167" s="54">
        <v>7</v>
      </c>
      <c r="C167" s="55" t="s">
        <v>69</v>
      </c>
      <c r="D167" s="56"/>
      <c r="E167" s="56"/>
      <c r="F167" s="56"/>
      <c r="G167" s="56"/>
      <c r="H167" s="56"/>
      <c r="I167" s="56"/>
      <c r="J167" s="56" t="s">
        <v>163</v>
      </c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</row>
    <row r="168" spans="2:56">
      <c r="B168" s="54">
        <v>8</v>
      </c>
      <c r="C168" s="55" t="s">
        <v>73</v>
      </c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 t="s">
        <v>59</v>
      </c>
      <c r="AA168" s="56"/>
      <c r="AB168" s="56"/>
      <c r="AC168" s="56"/>
      <c r="AD168" s="56"/>
      <c r="AE168" s="56"/>
      <c r="AF168" s="56"/>
      <c r="AG168" s="56"/>
      <c r="AH168" s="5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6"/>
    </row>
    <row r="169" spans="2:56">
      <c r="B169" s="54">
        <v>9</v>
      </c>
      <c r="C169" s="55" t="s">
        <v>74</v>
      </c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 t="s">
        <v>59</v>
      </c>
      <c r="AE169" s="56" t="s">
        <v>60</v>
      </c>
      <c r="AF169" s="56"/>
      <c r="AG169" s="56"/>
      <c r="AH169" s="5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6"/>
    </row>
    <row r="170" spans="2:56">
      <c r="B170" s="54">
        <v>10</v>
      </c>
      <c r="C170" s="55" t="s">
        <v>76</v>
      </c>
      <c r="D170" s="56"/>
      <c r="E170" s="56"/>
      <c r="F170" s="56"/>
      <c r="G170" s="56"/>
      <c r="H170" s="56"/>
      <c r="I170" s="56"/>
      <c r="J170" s="56"/>
      <c r="K170" s="56"/>
      <c r="L170" s="56"/>
      <c r="M170" s="56" t="s">
        <v>61</v>
      </c>
      <c r="N170" s="56"/>
      <c r="O170" s="56"/>
      <c r="P170" s="56"/>
      <c r="Q170" s="56"/>
      <c r="R170" s="56"/>
      <c r="S170" s="56" t="s">
        <v>60</v>
      </c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46"/>
      <c r="AJ170" s="46"/>
      <c r="AK170" s="46"/>
      <c r="AL170" s="46"/>
      <c r="AM170" s="46"/>
      <c r="AN170" s="46"/>
      <c r="AO170" s="46" t="s">
        <v>50</v>
      </c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</row>
    <row r="171" spans="2:56">
      <c r="B171" s="54">
        <v>12</v>
      </c>
      <c r="C171" s="55" t="s">
        <v>165</v>
      </c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 t="s">
        <v>59</v>
      </c>
      <c r="AA171" s="56"/>
      <c r="AB171" s="56"/>
      <c r="AC171" s="56"/>
      <c r="AD171" s="56"/>
      <c r="AE171" s="56"/>
      <c r="AF171" s="56"/>
      <c r="AG171" s="56"/>
      <c r="AH171" s="5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</row>
    <row r="172" spans="2:56">
      <c r="B172" s="54">
        <v>13</v>
      </c>
      <c r="C172" s="55" t="s">
        <v>153</v>
      </c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 t="s">
        <v>59</v>
      </c>
      <c r="AB172" s="56" t="s">
        <v>60</v>
      </c>
      <c r="AC172" s="56"/>
      <c r="AD172" s="56"/>
      <c r="AE172" s="56"/>
      <c r="AF172" s="56"/>
      <c r="AG172" s="56"/>
      <c r="AH172" s="5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</row>
    <row r="173" spans="2:56">
      <c r="B173" s="54">
        <v>14</v>
      </c>
      <c r="C173" s="55" t="s">
        <v>166</v>
      </c>
      <c r="D173" s="56"/>
      <c r="E173" s="56"/>
      <c r="F173" s="56"/>
      <c r="G173" s="56"/>
      <c r="H173" s="56"/>
      <c r="I173" s="56"/>
      <c r="J173" s="56"/>
      <c r="K173" s="56"/>
      <c r="L173" s="56"/>
      <c r="M173" s="56" t="s">
        <v>61</v>
      </c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</row>
    <row r="174" spans="2:56">
      <c r="B174" s="54">
        <v>16</v>
      </c>
      <c r="C174" s="55" t="s">
        <v>81</v>
      </c>
      <c r="D174" s="56"/>
      <c r="E174" s="56"/>
      <c r="F174" s="56"/>
      <c r="G174" s="56"/>
      <c r="H174" s="56"/>
      <c r="I174" s="56"/>
      <c r="J174" s="56"/>
      <c r="K174" s="56"/>
      <c r="L174" s="56"/>
      <c r="M174" s="56" t="s">
        <v>59</v>
      </c>
      <c r="N174" s="56" t="s">
        <v>60</v>
      </c>
      <c r="O174" s="56"/>
      <c r="P174" s="56"/>
      <c r="Q174" s="56"/>
      <c r="R174" s="56"/>
      <c r="S174" s="56"/>
      <c r="T174" s="56"/>
      <c r="U174" s="56"/>
      <c r="V174" s="56"/>
      <c r="W174" s="56"/>
      <c r="X174" s="56" t="s">
        <v>60</v>
      </c>
      <c r="Y174" s="56"/>
      <c r="Z174" s="56"/>
      <c r="AA174" s="56"/>
      <c r="AB174" s="56"/>
      <c r="AC174" s="56"/>
      <c r="AD174" s="56" t="s">
        <v>59</v>
      </c>
      <c r="AE174" s="56" t="s">
        <v>60</v>
      </c>
      <c r="AF174" s="56"/>
      <c r="AG174" s="56"/>
      <c r="AH174" s="5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</row>
    <row r="175" spans="2:56">
      <c r="B175" s="54">
        <v>17</v>
      </c>
      <c r="C175" s="55" t="s">
        <v>128</v>
      </c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 t="s">
        <v>59</v>
      </c>
      <c r="AA175" s="56"/>
      <c r="AB175" s="56"/>
      <c r="AC175" s="56" t="s">
        <v>60</v>
      </c>
      <c r="AD175" s="56"/>
      <c r="AE175" s="56"/>
      <c r="AF175" s="56"/>
      <c r="AG175" s="56"/>
      <c r="AH175" s="5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</row>
    <row r="176" spans="2:56">
      <c r="B176" s="54">
        <v>18</v>
      </c>
      <c r="C176" s="55" t="s">
        <v>167</v>
      </c>
      <c r="D176" s="56"/>
      <c r="E176" s="56"/>
      <c r="F176" s="56" t="s">
        <v>59</v>
      </c>
      <c r="G176" s="56" t="s">
        <v>60</v>
      </c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</row>
    <row r="177" spans="2:56">
      <c r="B177" s="54">
        <v>20</v>
      </c>
      <c r="C177" s="55" t="s">
        <v>84</v>
      </c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 t="s">
        <v>59</v>
      </c>
      <c r="AE177" s="56" t="s">
        <v>60</v>
      </c>
      <c r="AF177" s="56"/>
      <c r="AG177" s="56"/>
      <c r="AH177" s="5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</row>
    <row r="178" spans="2:56">
      <c r="B178" s="54">
        <v>21</v>
      </c>
      <c r="C178" s="55" t="s">
        <v>87</v>
      </c>
      <c r="D178" s="56"/>
      <c r="E178" s="56"/>
      <c r="F178" s="56"/>
      <c r="G178" s="56"/>
      <c r="H178" s="56"/>
      <c r="I178" s="56"/>
      <c r="J178" s="56" t="s">
        <v>59</v>
      </c>
      <c r="K178" s="56"/>
      <c r="L178" s="56"/>
      <c r="M178" s="56"/>
      <c r="N178" s="56" t="s">
        <v>60</v>
      </c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</row>
    <row r="179" spans="2:56">
      <c r="B179" s="54">
        <v>23</v>
      </c>
      <c r="C179" s="55" t="s">
        <v>88</v>
      </c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 t="s">
        <v>61</v>
      </c>
      <c r="AE179" s="56"/>
      <c r="AF179" s="56"/>
      <c r="AG179" s="56"/>
      <c r="AH179" s="5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</row>
    <row r="180" spans="2:56">
      <c r="B180" s="54">
        <v>24</v>
      </c>
      <c r="C180" s="55" t="s">
        <v>168</v>
      </c>
      <c r="D180" s="56"/>
      <c r="E180" s="56"/>
      <c r="F180" s="56"/>
      <c r="G180" s="56"/>
      <c r="H180" s="56" t="s">
        <v>61</v>
      </c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 t="s">
        <v>59</v>
      </c>
      <c r="AA180" s="56"/>
      <c r="AB180" s="56"/>
      <c r="AC180" s="56"/>
      <c r="AD180" s="56"/>
      <c r="AE180" s="56"/>
      <c r="AF180" s="56"/>
      <c r="AG180" s="56"/>
      <c r="AH180" s="5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</row>
    <row r="181" spans="2:56">
      <c r="B181" s="54">
        <v>25</v>
      </c>
      <c r="C181" s="55" t="s">
        <v>130</v>
      </c>
      <c r="D181" s="56"/>
      <c r="E181" s="56" t="s">
        <v>60</v>
      </c>
      <c r="F181" s="56"/>
      <c r="G181" s="56" t="s">
        <v>60</v>
      </c>
      <c r="H181" s="56"/>
      <c r="I181" s="56"/>
      <c r="J181" s="56" t="s">
        <v>59</v>
      </c>
      <c r="K181" s="56"/>
      <c r="L181" s="56" t="s">
        <v>60</v>
      </c>
      <c r="M181" s="56"/>
      <c r="N181" s="56"/>
      <c r="O181" s="56"/>
      <c r="P181" s="56"/>
      <c r="Q181" s="56" t="s">
        <v>60</v>
      </c>
      <c r="R181" s="56"/>
      <c r="S181" s="56"/>
      <c r="T181" s="56"/>
      <c r="U181" s="56" t="s">
        <v>60</v>
      </c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6"/>
    </row>
    <row r="182" spans="2:56">
      <c r="B182" s="54">
        <v>27</v>
      </c>
      <c r="C182" s="55" t="s">
        <v>169</v>
      </c>
      <c r="D182" s="56"/>
      <c r="E182" s="56"/>
      <c r="F182" s="56" t="s">
        <v>60</v>
      </c>
      <c r="G182" s="56"/>
      <c r="H182" s="56"/>
      <c r="I182" s="56"/>
      <c r="J182" s="56"/>
      <c r="K182" s="56"/>
      <c r="L182" s="56"/>
      <c r="M182" s="56"/>
      <c r="N182" s="56" t="s">
        <v>60</v>
      </c>
      <c r="O182" s="56"/>
      <c r="P182" s="56"/>
      <c r="Q182" s="56"/>
      <c r="R182" s="56"/>
      <c r="S182" s="56" t="s">
        <v>60</v>
      </c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6"/>
    </row>
    <row r="183" spans="2:56">
      <c r="B183" s="54">
        <v>28</v>
      </c>
      <c r="C183" s="55" t="s">
        <v>97</v>
      </c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 t="s">
        <v>59</v>
      </c>
      <c r="AA183" s="56"/>
      <c r="AB183" s="56"/>
      <c r="AC183" s="56"/>
      <c r="AD183" s="56"/>
      <c r="AE183" s="56"/>
      <c r="AF183" s="56"/>
      <c r="AG183" s="56"/>
      <c r="AH183" s="5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6"/>
    </row>
    <row r="184" spans="2:56">
      <c r="B184" s="54">
        <v>29</v>
      </c>
      <c r="C184" s="55" t="s">
        <v>170</v>
      </c>
      <c r="D184" s="56"/>
      <c r="E184" s="56"/>
      <c r="F184" s="56" t="s">
        <v>60</v>
      </c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 t="s">
        <v>60</v>
      </c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6"/>
    </row>
    <row r="185" spans="2:56">
      <c r="B185" s="54">
        <v>30</v>
      </c>
      <c r="C185" s="55" t="s">
        <v>99</v>
      </c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 t="s">
        <v>59</v>
      </c>
      <c r="Q185" s="56" t="s">
        <v>60</v>
      </c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6"/>
    </row>
    <row r="186" spans="2:56">
      <c r="B186" s="54">
        <v>31</v>
      </c>
      <c r="C186" s="55" t="s">
        <v>171</v>
      </c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 t="s">
        <v>61</v>
      </c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6"/>
    </row>
    <row r="187" spans="2:56">
      <c r="B187" s="54">
        <v>32</v>
      </c>
      <c r="C187" s="55" t="s">
        <v>172</v>
      </c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 t="s">
        <v>59</v>
      </c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</row>
    <row r="188" spans="2:56">
      <c r="B188" s="54">
        <v>33</v>
      </c>
      <c r="C188" s="55" t="s">
        <v>139</v>
      </c>
      <c r="D188" s="56"/>
      <c r="E188" s="56"/>
      <c r="F188" s="56"/>
      <c r="G188" s="56" t="s">
        <v>60</v>
      </c>
      <c r="H188" s="56" t="s">
        <v>60</v>
      </c>
      <c r="I188" s="56"/>
      <c r="J188" s="56"/>
      <c r="K188" s="56"/>
      <c r="L188" s="56" t="s">
        <v>60</v>
      </c>
      <c r="M188" s="56"/>
      <c r="N188" s="56" t="s">
        <v>60</v>
      </c>
      <c r="O188" s="56"/>
      <c r="P188" s="56"/>
      <c r="Q188" s="56"/>
      <c r="R188" s="56"/>
      <c r="S188" s="56" t="s">
        <v>59</v>
      </c>
      <c r="T188" s="56"/>
      <c r="U188" s="56"/>
      <c r="V188" s="56" t="s">
        <v>60</v>
      </c>
      <c r="W188" s="56"/>
      <c r="X188" s="56"/>
      <c r="Y188" s="56"/>
      <c r="Z188" s="56"/>
      <c r="AA188" s="56"/>
      <c r="AB188" s="56" t="s">
        <v>60</v>
      </c>
      <c r="AC188" s="56"/>
      <c r="AD188" s="56"/>
      <c r="AE188" s="56"/>
      <c r="AF188" s="56"/>
      <c r="AG188" s="56"/>
      <c r="AH188" s="5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</row>
    <row r="189" spans="2:56">
      <c r="B189" s="54">
        <v>34</v>
      </c>
      <c r="C189" s="55" t="s">
        <v>132</v>
      </c>
      <c r="D189" s="56"/>
      <c r="E189" s="56"/>
      <c r="F189" s="56"/>
      <c r="G189" s="56"/>
      <c r="H189" s="56"/>
      <c r="I189" s="56"/>
      <c r="J189" s="56" t="s">
        <v>61</v>
      </c>
      <c r="K189" s="56"/>
      <c r="L189" s="56" t="s">
        <v>60</v>
      </c>
      <c r="M189" s="56"/>
      <c r="N189" s="56" t="s">
        <v>59</v>
      </c>
      <c r="O189" s="56"/>
      <c r="P189" s="56" t="s">
        <v>60</v>
      </c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</row>
    <row r="190" spans="2:56">
      <c r="B190" s="54">
        <v>35</v>
      </c>
      <c r="C190" s="55" t="s">
        <v>108</v>
      </c>
      <c r="D190" s="56"/>
      <c r="E190" s="56" t="s">
        <v>60</v>
      </c>
      <c r="F190" s="56" t="s">
        <v>59</v>
      </c>
      <c r="G190" s="56" t="s">
        <v>60</v>
      </c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</row>
    <row r="191" spans="2:56">
      <c r="B191" s="54">
        <v>36</v>
      </c>
      <c r="C191" s="55" t="s">
        <v>109</v>
      </c>
      <c r="D191" s="56"/>
      <c r="E191" s="56"/>
      <c r="F191" s="56"/>
      <c r="G191" s="56" t="s">
        <v>60</v>
      </c>
      <c r="H191" s="56"/>
      <c r="I191" s="56"/>
      <c r="J191" s="56"/>
      <c r="K191" s="56"/>
      <c r="L191" s="56"/>
      <c r="M191" s="56"/>
      <c r="N191" s="56"/>
      <c r="O191" s="56"/>
      <c r="P191" s="56" t="s">
        <v>61</v>
      </c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 t="s">
        <v>60</v>
      </c>
      <c r="AC191" s="56"/>
      <c r="AD191" s="56"/>
      <c r="AE191" s="56"/>
      <c r="AF191" s="56"/>
      <c r="AG191" s="56"/>
      <c r="AH191" s="5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</row>
    <row r="192" spans="2:56">
      <c r="B192" s="54">
        <v>37</v>
      </c>
      <c r="C192" s="55" t="s">
        <v>110</v>
      </c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 t="s">
        <v>61</v>
      </c>
      <c r="AB192" s="56"/>
      <c r="AC192" s="56"/>
      <c r="AD192" s="56"/>
      <c r="AE192" s="56"/>
      <c r="AF192" s="56"/>
      <c r="AG192" s="56"/>
      <c r="AH192" s="5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</row>
    <row r="193" spans="2:56">
      <c r="B193" s="54">
        <v>38</v>
      </c>
      <c r="C193" s="55" t="s">
        <v>111</v>
      </c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 t="s">
        <v>59</v>
      </c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</row>
    <row r="194" spans="2:56">
      <c r="B194" s="54">
        <v>39</v>
      </c>
      <c r="C194" s="55" t="s">
        <v>173</v>
      </c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 t="s">
        <v>59</v>
      </c>
      <c r="AD194" s="56"/>
      <c r="AE194" s="56"/>
      <c r="AF194" s="56"/>
      <c r="AG194" s="56"/>
      <c r="AH194" s="5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6"/>
    </row>
    <row r="195" spans="2:56">
      <c r="B195" s="54">
        <v>40</v>
      </c>
      <c r="C195" s="55" t="s">
        <v>174</v>
      </c>
      <c r="D195" s="56"/>
      <c r="E195" s="56"/>
      <c r="F195" s="56"/>
      <c r="G195" s="56"/>
      <c r="H195" s="56" t="s">
        <v>60</v>
      </c>
      <c r="I195" s="56" t="s">
        <v>60</v>
      </c>
      <c r="J195" s="56"/>
      <c r="K195" s="56"/>
      <c r="L195" s="56"/>
      <c r="M195" s="56"/>
      <c r="N195" s="56"/>
      <c r="O195" s="56"/>
      <c r="P195" s="56" t="s">
        <v>60</v>
      </c>
      <c r="Q195" s="56"/>
      <c r="R195" s="56"/>
      <c r="S195" s="56"/>
      <c r="T195" s="56"/>
      <c r="U195" s="56"/>
      <c r="V195" s="56"/>
      <c r="W195" s="56" t="s">
        <v>60</v>
      </c>
      <c r="X195" s="56"/>
      <c r="Y195" s="56"/>
      <c r="Z195" s="56"/>
      <c r="AA195" s="56"/>
      <c r="AB195" s="56" t="s">
        <v>59</v>
      </c>
      <c r="AC195" s="56"/>
      <c r="AD195" s="56" t="s">
        <v>60</v>
      </c>
      <c r="AE195" s="56"/>
      <c r="AF195" s="56"/>
      <c r="AG195" s="56"/>
      <c r="AH195" s="5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6"/>
    </row>
    <row r="196" spans="2:56">
      <c r="B196" s="54">
        <v>41</v>
      </c>
      <c r="C196" s="55" t="s">
        <v>134</v>
      </c>
      <c r="D196" s="56"/>
      <c r="E196" s="56"/>
      <c r="F196" s="56"/>
      <c r="G196" s="56"/>
      <c r="H196" s="56"/>
      <c r="I196" s="56" t="s">
        <v>59</v>
      </c>
      <c r="J196" s="56"/>
      <c r="K196" s="56"/>
      <c r="L196" s="56"/>
      <c r="M196" s="56"/>
      <c r="N196" s="56"/>
      <c r="O196" s="56"/>
      <c r="P196" s="56" t="s">
        <v>59</v>
      </c>
      <c r="Q196" s="56" t="s">
        <v>60</v>
      </c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 t="s">
        <v>59</v>
      </c>
      <c r="AD196" s="56"/>
      <c r="AE196" s="56"/>
      <c r="AF196" s="56"/>
      <c r="AG196" s="56"/>
      <c r="AH196" s="5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6"/>
    </row>
    <row r="197" spans="2:56">
      <c r="B197" s="54">
        <v>42</v>
      </c>
      <c r="C197" s="55" t="s">
        <v>175</v>
      </c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 t="s">
        <v>60</v>
      </c>
      <c r="AC197" s="56"/>
      <c r="AD197" s="56"/>
      <c r="AE197" s="56"/>
      <c r="AF197" s="56"/>
      <c r="AG197" s="56"/>
      <c r="AH197" s="5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6"/>
    </row>
    <row r="198" spans="2:56">
      <c r="B198" s="54">
        <v>43</v>
      </c>
      <c r="C198" s="55" t="s">
        <v>115</v>
      </c>
      <c r="D198" s="56"/>
      <c r="E198" s="56"/>
      <c r="F198" s="56"/>
      <c r="G198" s="56" t="s">
        <v>60</v>
      </c>
      <c r="H198" s="56"/>
      <c r="I198" s="56"/>
      <c r="J198" s="56"/>
      <c r="K198" s="56"/>
      <c r="L198" s="56"/>
      <c r="M198" s="56"/>
      <c r="N198" s="56"/>
      <c r="O198" s="56"/>
      <c r="P198" s="56" t="s">
        <v>60</v>
      </c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 t="s">
        <v>60</v>
      </c>
      <c r="AD198" s="56"/>
      <c r="AE198" s="56"/>
      <c r="AF198" s="56"/>
      <c r="AG198" s="56"/>
      <c r="AH198" s="5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6"/>
    </row>
    <row r="199" spans="2:56">
      <c r="B199" s="54">
        <v>44</v>
      </c>
      <c r="C199" s="55" t="s">
        <v>176</v>
      </c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 t="s">
        <v>60</v>
      </c>
      <c r="T199" s="56"/>
      <c r="U199" s="56"/>
      <c r="V199" s="56"/>
      <c r="W199" s="56" t="s">
        <v>60</v>
      </c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6"/>
    </row>
    <row r="200" spans="2:56">
      <c r="B200" s="54">
        <v>45</v>
      </c>
      <c r="C200" s="64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6"/>
    </row>
    <row r="201" spans="2:56">
      <c r="B201" s="54">
        <v>46</v>
      </c>
      <c r="C201" s="64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6"/>
    </row>
    <row r="202" spans="2:56">
      <c r="B202" s="54">
        <v>47</v>
      </c>
      <c r="C202" s="64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6"/>
    </row>
    <row r="203" spans="2:56">
      <c r="B203" s="54">
        <v>48</v>
      </c>
      <c r="C203" s="64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6"/>
    </row>
    <row r="204" spans="2:56">
      <c r="B204" s="54">
        <v>49</v>
      </c>
      <c r="C204" s="64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6"/>
    </row>
    <row r="205" spans="2:56">
      <c r="B205" s="54">
        <v>50</v>
      </c>
      <c r="C205" s="64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6"/>
    </row>
    <row r="206" spans="2:56" hidden="1">
      <c r="B206" s="54">
        <v>51</v>
      </c>
      <c r="C206" s="64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6"/>
    </row>
    <row r="207" spans="2:56" hidden="1">
      <c r="B207" s="54">
        <v>52</v>
      </c>
      <c r="C207" s="64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</row>
    <row r="208" spans="2:56" hidden="1">
      <c r="B208" s="54">
        <v>53</v>
      </c>
      <c r="C208" s="64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6"/>
    </row>
    <row r="209" spans="2:56" hidden="1">
      <c r="B209" s="54">
        <v>54</v>
      </c>
      <c r="C209" s="64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6"/>
    </row>
    <row r="210" spans="2:56" hidden="1">
      <c r="B210" s="54">
        <v>55</v>
      </c>
      <c r="C210" s="64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</row>
    <row r="211" spans="2:56" hidden="1">
      <c r="B211" s="54">
        <v>56</v>
      </c>
      <c r="C211" s="64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</row>
    <row r="212" spans="2:56" hidden="1">
      <c r="B212" s="54">
        <v>57</v>
      </c>
      <c r="C212" s="64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</row>
    <row r="213" spans="2:56" hidden="1">
      <c r="B213" s="54">
        <v>58</v>
      </c>
      <c r="C213" s="64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</row>
    <row r="214" spans="2:56" hidden="1">
      <c r="B214" s="54">
        <v>59</v>
      </c>
      <c r="C214" s="64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</row>
    <row r="215" spans="2:56" hidden="1">
      <c r="B215" s="54">
        <v>60</v>
      </c>
      <c r="C215" s="64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</row>
    <row r="216" spans="2:56" hidden="1">
      <c r="B216" s="54">
        <v>61</v>
      </c>
      <c r="C216" s="64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</row>
    <row r="217" spans="2:56" hidden="1">
      <c r="B217" s="54">
        <v>62</v>
      </c>
      <c r="C217" s="64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</row>
    <row r="218" spans="2:56" hidden="1">
      <c r="B218" s="54">
        <v>63</v>
      </c>
      <c r="C218" s="64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</row>
    <row r="219" spans="2:56" hidden="1">
      <c r="B219" s="54">
        <v>64</v>
      </c>
      <c r="C219" s="64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</row>
    <row r="220" spans="2:56" hidden="1">
      <c r="B220" s="54">
        <v>65</v>
      </c>
      <c r="C220" s="64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6"/>
    </row>
    <row r="221" spans="2:56" hidden="1">
      <c r="B221" s="54">
        <v>66</v>
      </c>
      <c r="C221" s="64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6"/>
    </row>
    <row r="222" spans="2:56" hidden="1">
      <c r="B222" s="54">
        <v>67</v>
      </c>
      <c r="C222" s="64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6"/>
    </row>
    <row r="223" spans="2:56" hidden="1">
      <c r="B223" s="54">
        <v>68</v>
      </c>
      <c r="C223" s="64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6"/>
    </row>
    <row r="224" spans="2:56" hidden="1">
      <c r="B224" s="54">
        <v>69</v>
      </c>
      <c r="C224" s="64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6"/>
    </row>
    <row r="225" spans="2:56" hidden="1">
      <c r="B225" s="54">
        <v>70</v>
      </c>
      <c r="C225" s="64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6"/>
    </row>
    <row r="226" spans="2:56" hidden="1">
      <c r="B226" s="54">
        <v>71</v>
      </c>
      <c r="C226" s="64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6"/>
    </row>
    <row r="227" spans="2:56" hidden="1">
      <c r="B227" s="54">
        <v>72</v>
      </c>
      <c r="C227" s="64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6"/>
    </row>
    <row r="228" spans="2:56" hidden="1">
      <c r="B228" s="54">
        <v>73</v>
      </c>
      <c r="C228" s="64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6"/>
    </row>
    <row r="229" spans="2:56" hidden="1">
      <c r="B229" s="54">
        <v>74</v>
      </c>
      <c r="C229" s="64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6"/>
    </row>
    <row r="230" spans="2:56" hidden="1">
      <c r="B230" s="54">
        <v>75</v>
      </c>
      <c r="C230" s="64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6"/>
    </row>
    <row r="231" spans="2:56" hidden="1">
      <c r="B231" s="54">
        <v>76</v>
      </c>
      <c r="C231" s="64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6"/>
    </row>
    <row r="232" spans="2:56" hidden="1">
      <c r="B232" s="54">
        <v>77</v>
      </c>
      <c r="C232" s="64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6"/>
    </row>
    <row r="233" spans="2:56" hidden="1">
      <c r="B233" s="54">
        <v>78</v>
      </c>
      <c r="C233" s="64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6"/>
    </row>
    <row r="234" spans="2:56" hidden="1">
      <c r="B234" s="54">
        <v>80</v>
      </c>
      <c r="C234" s="64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6"/>
    </row>
    <row r="235" spans="2:56" hidden="1">
      <c r="B235" s="54">
        <v>81</v>
      </c>
      <c r="C235" s="64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6"/>
    </row>
    <row r="236" spans="2:56" hidden="1">
      <c r="B236" s="54">
        <v>82</v>
      </c>
      <c r="C236" s="64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6"/>
    </row>
    <row r="237" spans="2:56" hidden="1">
      <c r="B237" s="54">
        <v>83</v>
      </c>
      <c r="C237" s="64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6"/>
    </row>
    <row r="238" spans="2:56" hidden="1">
      <c r="B238" s="54">
        <v>84</v>
      </c>
      <c r="C238" s="64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6"/>
    </row>
    <row r="239" spans="2:56" hidden="1">
      <c r="B239" s="54">
        <v>85</v>
      </c>
      <c r="C239" s="64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6"/>
    </row>
    <row r="240" spans="2:56" hidden="1">
      <c r="B240" s="54">
        <v>86</v>
      </c>
      <c r="C240" s="64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6"/>
    </row>
    <row r="241" spans="2:56" hidden="1">
      <c r="B241" s="54">
        <v>87</v>
      </c>
      <c r="C241" s="64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6"/>
    </row>
    <row r="242" spans="2:56" hidden="1">
      <c r="B242" s="54">
        <v>88</v>
      </c>
      <c r="C242" s="64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6"/>
    </row>
    <row r="243" spans="2:56" hidden="1">
      <c r="B243" s="54">
        <v>89</v>
      </c>
      <c r="C243" s="64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6"/>
    </row>
    <row r="244" spans="2:56" hidden="1">
      <c r="B244" s="54">
        <v>90</v>
      </c>
      <c r="C244" s="64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6"/>
    </row>
    <row r="245" spans="2:56" hidden="1">
      <c r="B245" s="54">
        <v>91</v>
      </c>
      <c r="C245" s="64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6"/>
    </row>
    <row r="246" spans="2:56" hidden="1">
      <c r="B246" s="54">
        <v>92</v>
      </c>
      <c r="C246" s="64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6"/>
    </row>
    <row r="247" spans="2:56">
      <c r="B247" s="54"/>
      <c r="C247" s="69" t="s">
        <v>140</v>
      </c>
      <c r="D247" s="56">
        <f>COUNTA(D161:D246)</f>
        <v>0</v>
      </c>
      <c r="E247" s="56">
        <f>COUNTA(E161:E246)</f>
        <v>3</v>
      </c>
      <c r="F247" s="56">
        <f>COUNTA(F161:F246)</f>
        <v>4</v>
      </c>
      <c r="G247" s="56">
        <f t="shared" ref="G247:AH247" si="1">COUNTA(G161:G246)</f>
        <v>6</v>
      </c>
      <c r="H247" s="56">
        <f t="shared" si="1"/>
        <v>3</v>
      </c>
      <c r="I247" s="56">
        <f t="shared" si="1"/>
        <v>2</v>
      </c>
      <c r="J247" s="56">
        <f t="shared" si="1"/>
        <v>5</v>
      </c>
      <c r="K247" s="56">
        <f t="shared" si="1"/>
        <v>0</v>
      </c>
      <c r="L247" s="56">
        <f t="shared" si="1"/>
        <v>3</v>
      </c>
      <c r="M247" s="56">
        <f t="shared" si="1"/>
        <v>5</v>
      </c>
      <c r="N247" s="56">
        <f t="shared" si="1"/>
        <v>5</v>
      </c>
      <c r="O247" s="56">
        <f t="shared" si="1"/>
        <v>2</v>
      </c>
      <c r="P247" s="56">
        <f t="shared" si="1"/>
        <v>8</v>
      </c>
      <c r="Q247" s="56">
        <f t="shared" si="1"/>
        <v>4</v>
      </c>
      <c r="R247" s="56">
        <f t="shared" si="1"/>
        <v>0</v>
      </c>
      <c r="S247" s="56">
        <f t="shared" si="1"/>
        <v>4</v>
      </c>
      <c r="T247" s="56">
        <f t="shared" si="1"/>
        <v>0</v>
      </c>
      <c r="U247" s="56">
        <f t="shared" si="1"/>
        <v>1</v>
      </c>
      <c r="V247" s="56">
        <f t="shared" si="1"/>
        <v>3</v>
      </c>
      <c r="W247" s="56">
        <f t="shared" si="1"/>
        <v>4</v>
      </c>
      <c r="X247" s="56">
        <f t="shared" si="1"/>
        <v>2</v>
      </c>
      <c r="Y247" s="56">
        <f t="shared" si="1"/>
        <v>0</v>
      </c>
      <c r="Z247" s="56">
        <f t="shared" si="1"/>
        <v>6</v>
      </c>
      <c r="AA247" s="56">
        <f t="shared" si="1"/>
        <v>4</v>
      </c>
      <c r="AB247" s="56">
        <f t="shared" si="1"/>
        <v>5</v>
      </c>
      <c r="AC247" s="56">
        <f t="shared" si="1"/>
        <v>4</v>
      </c>
      <c r="AD247" s="56">
        <f t="shared" si="1"/>
        <v>6</v>
      </c>
      <c r="AE247" s="56">
        <f t="shared" si="1"/>
        <v>3</v>
      </c>
      <c r="AF247" s="56">
        <f t="shared" si="1"/>
        <v>0</v>
      </c>
      <c r="AG247" s="56"/>
      <c r="AH247" s="56">
        <f t="shared" si="1"/>
        <v>0</v>
      </c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6"/>
    </row>
    <row r="248" spans="2:56"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6"/>
    </row>
    <row r="249" spans="2:56">
      <c r="B249" s="67" t="s">
        <v>61</v>
      </c>
      <c r="C249" s="68" t="s">
        <v>118</v>
      </c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 t="s">
        <v>50</v>
      </c>
      <c r="O249" s="46"/>
      <c r="P249" s="46"/>
      <c r="Q249" s="46"/>
      <c r="R249" s="46"/>
      <c r="S249" s="46"/>
      <c r="T249" s="46"/>
      <c r="U249" s="46" t="s">
        <v>50</v>
      </c>
      <c r="V249" s="46"/>
      <c r="W249" s="46" t="s">
        <v>50</v>
      </c>
      <c r="X249" s="46"/>
      <c r="Y249" s="46"/>
      <c r="Z249" s="46" t="s">
        <v>50</v>
      </c>
      <c r="AA249" s="46"/>
      <c r="AB249" s="46"/>
      <c r="AC249" s="46" t="s">
        <v>50</v>
      </c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6"/>
    </row>
    <row r="250" spans="2:56">
      <c r="B250" s="67" t="s">
        <v>59</v>
      </c>
      <c r="C250" s="68" t="s">
        <v>119</v>
      </c>
      <c r="D250" s="46"/>
      <c r="E250" s="46"/>
      <c r="F250" s="46"/>
      <c r="G250" s="46"/>
      <c r="H250" s="46"/>
      <c r="I250" s="46"/>
      <c r="J250" s="46"/>
      <c r="K250" s="46" t="s">
        <v>50</v>
      </c>
      <c r="L250" s="46"/>
      <c r="M250" s="46" t="s">
        <v>50</v>
      </c>
      <c r="N250" s="46"/>
      <c r="O250" s="46"/>
      <c r="P250" s="46" t="s">
        <v>50</v>
      </c>
      <c r="Q250" s="46" t="s">
        <v>50</v>
      </c>
      <c r="R250" s="46"/>
      <c r="S250" s="46"/>
      <c r="T250" s="46"/>
      <c r="U250" s="46"/>
      <c r="V250" s="46" t="s">
        <v>50</v>
      </c>
      <c r="W250" s="46"/>
      <c r="X250" s="46"/>
      <c r="Y250" s="46" t="s">
        <v>50</v>
      </c>
      <c r="Z250" s="46" t="s">
        <v>50</v>
      </c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6"/>
    </row>
    <row r="251" spans="2:56">
      <c r="B251" s="67" t="s">
        <v>60</v>
      </c>
      <c r="C251" s="68" t="s">
        <v>120</v>
      </c>
      <c r="D251" s="46"/>
      <c r="E251" s="46"/>
      <c r="F251" s="46"/>
      <c r="G251" s="46"/>
      <c r="H251" s="46"/>
      <c r="I251" s="46"/>
      <c r="J251" s="46" t="s">
        <v>50</v>
      </c>
      <c r="K251" s="46"/>
      <c r="L251" s="46"/>
      <c r="M251" s="46"/>
      <c r="N251" s="46"/>
      <c r="O251" s="46" t="s">
        <v>50</v>
      </c>
      <c r="P251" s="46" t="s">
        <v>50</v>
      </c>
      <c r="Q251" s="46"/>
      <c r="R251" s="46" t="s">
        <v>50</v>
      </c>
      <c r="S251" s="46" t="s">
        <v>50</v>
      </c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6"/>
    </row>
    <row r="252" spans="2:56">
      <c r="B252" s="46"/>
      <c r="C252" s="46"/>
      <c r="D252" s="46"/>
      <c r="E252" s="46"/>
      <c r="F252" s="46"/>
      <c r="G252" s="46"/>
      <c r="H252" s="46"/>
      <c r="I252" s="46"/>
      <c r="J252" s="46"/>
      <c r="K252" s="46" t="s">
        <v>50</v>
      </c>
      <c r="L252" s="46"/>
      <c r="M252" s="46" t="s">
        <v>50</v>
      </c>
      <c r="N252" s="46"/>
      <c r="O252" s="46" t="s">
        <v>50</v>
      </c>
      <c r="P252" s="46"/>
      <c r="Q252" s="46" t="s">
        <v>50</v>
      </c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6"/>
    </row>
    <row r="253" spans="2:56"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 t="s">
        <v>50</v>
      </c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6"/>
    </row>
    <row r="254" spans="2:56"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 t="s">
        <v>50</v>
      </c>
      <c r="Q254" s="46"/>
      <c r="R254" s="46"/>
      <c r="S254" s="46"/>
      <c r="T254" s="46" t="s">
        <v>50</v>
      </c>
      <c r="U254" s="46"/>
      <c r="V254" s="46"/>
      <c r="W254" s="46"/>
      <c r="X254" s="46" t="s">
        <v>50</v>
      </c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6"/>
    </row>
    <row r="255" spans="2:56"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46"/>
    </row>
    <row r="256" spans="2:56"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 t="s">
        <v>50</v>
      </c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46"/>
    </row>
    <row r="257" spans="2:56"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</row>
    <row r="258" spans="2:56"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 t="s">
        <v>50</v>
      </c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</row>
    <row r="259" spans="2:56"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 t="s">
        <v>50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</row>
    <row r="260" spans="2:56"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</row>
    <row r="261" spans="2:56"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</row>
    <row r="262" spans="2:56"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</row>
    <row r="263" spans="2:56"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 t="s">
        <v>50</v>
      </c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</row>
    <row r="264" spans="2:56"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</row>
    <row r="265" spans="2:56"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</row>
    <row r="266" spans="2:56"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46"/>
    </row>
    <row r="267" spans="2:56"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46"/>
    </row>
    <row r="268" spans="2:56"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46"/>
    </row>
    <row r="269" spans="2:56"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46"/>
    </row>
    <row r="270" spans="2:56"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46"/>
    </row>
    <row r="271" spans="2:56"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46"/>
    </row>
    <row r="272" spans="2:56"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46"/>
    </row>
    <row r="273" spans="2:56"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46"/>
    </row>
    <row r="274" spans="2:56"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46"/>
    </row>
    <row r="275" spans="2:56"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46"/>
    </row>
    <row r="276" spans="2:56"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46"/>
    </row>
    <row r="277" spans="2:56"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46"/>
    </row>
    <row r="278" spans="2:56"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46"/>
    </row>
    <row r="279" spans="2:56"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46"/>
    </row>
    <row r="280" spans="2:56"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46"/>
    </row>
    <row r="281" spans="2:56"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46"/>
    </row>
    <row r="282" spans="2:56"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46"/>
    </row>
    <row r="283" spans="2:56"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46"/>
    </row>
    <row r="284" spans="2:56"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46"/>
    </row>
    <row r="285" spans="2:56"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46"/>
    </row>
    <row r="286" spans="2:56"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46"/>
    </row>
    <row r="287" spans="2:56"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46"/>
    </row>
    <row r="288" spans="2:56"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46"/>
    </row>
    <row r="289" spans="2:56"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46"/>
    </row>
    <row r="290" spans="2:56"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46"/>
    </row>
    <row r="291" spans="2:56"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46"/>
    </row>
    <row r="292" spans="2:56"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46"/>
    </row>
    <row r="293" spans="2:56"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46"/>
    </row>
    <row r="294" spans="2:56"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46"/>
    </row>
    <row r="295" spans="2:56"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</row>
    <row r="296" spans="2:56"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46"/>
    </row>
    <row r="297" spans="2:56"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46"/>
    </row>
    <row r="298" spans="2:56"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46"/>
    </row>
    <row r="299" spans="2:56"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46"/>
    </row>
    <row r="300" spans="2:56"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46"/>
    </row>
    <row r="301" spans="2:56"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46"/>
    </row>
    <row r="302" spans="2:56"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46"/>
    </row>
    <row r="303" spans="2:56"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46"/>
    </row>
    <row r="304" spans="2:56"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46"/>
    </row>
    <row r="305" spans="2:56"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46"/>
    </row>
    <row r="306" spans="2:56"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46"/>
    </row>
    <row r="307" spans="2:56"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46"/>
    </row>
    <row r="308" spans="2:56"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46"/>
    </row>
    <row r="309" spans="2:56"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46"/>
    </row>
    <row r="310" spans="2:56"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46"/>
    </row>
    <row r="311" spans="2:56"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46"/>
    </row>
    <row r="312" spans="2:56"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46"/>
    </row>
    <row r="313" spans="2:56"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46"/>
    </row>
    <row r="314" spans="2:56"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46"/>
    </row>
    <row r="315" spans="2:56"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46"/>
    </row>
    <row r="316" spans="2:56"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46"/>
    </row>
    <row r="317" spans="2:56"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46"/>
    </row>
    <row r="318" spans="2:56"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46"/>
    </row>
    <row r="319" spans="2:56"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46"/>
    </row>
    <row r="320" spans="2:56"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46"/>
    </row>
    <row r="321" spans="2:56"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46"/>
    </row>
    <row r="322" spans="2:56"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46"/>
    </row>
    <row r="323" spans="2:56"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46"/>
    </row>
    <row r="324" spans="2:56"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46"/>
    </row>
    <row r="325" spans="2:56"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46"/>
    </row>
    <row r="326" spans="2:56"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46"/>
    </row>
    <row r="327" spans="2:56"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46"/>
    </row>
    <row r="328" spans="2:56"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46"/>
    </row>
    <row r="329" spans="2:56"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46"/>
    </row>
    <row r="330" spans="2:56"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46"/>
    </row>
    <row r="331" spans="2:56"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46"/>
    </row>
    <row r="332" spans="2:56"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46"/>
    </row>
    <row r="333" spans="2:56"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46"/>
    </row>
    <row r="334" spans="2:56"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46"/>
    </row>
    <row r="335" spans="2:56"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46"/>
    </row>
    <row r="336" spans="2:56"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46"/>
    </row>
    <row r="337" spans="2:56"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46"/>
    </row>
    <row r="338" spans="2:56"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46"/>
    </row>
    <row r="339" spans="2:56"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46"/>
    </row>
    <row r="340" spans="2:56"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46"/>
    </row>
    <row r="341" spans="2:56"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46"/>
    </row>
    <row r="342" spans="2:56"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46"/>
    </row>
    <row r="343" spans="2:56"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46"/>
    </row>
    <row r="344" spans="2:56"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46"/>
    </row>
    <row r="345" spans="2:56"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46"/>
    </row>
    <row r="346" spans="2:56"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46"/>
    </row>
    <row r="347" spans="2:56"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46"/>
    </row>
  </sheetData>
  <mergeCells count="4">
    <mergeCell ref="B1:AH1"/>
    <mergeCell ref="B2:AH2"/>
    <mergeCell ref="B155:AH155"/>
    <mergeCell ref="B156:AH156"/>
  </mergeCells>
  <conditionalFormatting sqref="M7:AH7 D25 O26:AH26 D32:D34 O29:AH31 O35:AH36 D37:D38 D42:D43 O39:AH41 D54 C57 C59:C60 N58:AG58 C63 N61:AG62 N64:AG65 K71:AG71 N70:AG70 K74:AG74 O72:AG72 C76:C77 N75:AG75 D116 N78:AG79 D120 O121:AH122 D123:D125 P123:AH124 D128:D129 O126:AH127 D131:D134 O130:AH130 K66:AG67 N73:AG73 L118:AH119 C68:C69 D148:AH148 D136:D147 F136:AH147 E68:AG69 F131:AH134 F128:AH129 F125:AH125 F120:AH120 F116:AH116 E76:AG77 E63:AG63 E59:AG60 E57:AG57 F54:AH54 F42:AH43 F37:AH38 F32:AH34 F25:AH25 O114:AH115 D117:AH117 D15:AH18 D161:Q175 D179:N187 F22:AD22 AF22:AH22 AE23 D55:AH55 C56:AG56 D81:AH81 C80:AG80 D27:AH28 O44:AH53 D47:N48 R161:AH184 O176:Q184">
    <cfRule type="containsText" dxfId="693" priority="475" operator="containsText" text="B">
      <formula>NOT(ISERROR(SEARCH("B",C7)))</formula>
    </cfRule>
    <cfRule type="containsText" dxfId="692" priority="476" operator="containsText" text="TB">
      <formula>NOT(ISERROR(SEARCH("TB",C7)))</formula>
    </cfRule>
    <cfRule type="containsText" dxfId="691" priority="477" operator="containsText" text="T">
      <formula>NOT(ISERROR(SEARCH("T",C7)))</formula>
    </cfRule>
  </conditionalFormatting>
  <conditionalFormatting sqref="M7:AH7 D25 O26:AH26 D32:D34 O29:AH31 O35:AH36 D37:D38 D42:D43 O39:AH41 D54 C57 C59:C60 N58:AG58 C63 N61:AG62 N64:AG65 K71:AG71 N70:AG70 K74:AG74 O72:AG72 C76:C77 N75:AG75 D116 N78:AG79 D120 O121:AH122 D123:D125 P123:AH124 D128:D129 O126:AH127 D131:D134 O130:AH130 K66:AG67 N73:AG73 L118:AH119 C68:C69 D136:D147 F136:AH147 E68:AG69 F131:AH134 F128:AH129 F125:AH125 F120:AH120 F116:AH116 E76:AG77 E63:AG63 E59:AG60 E57:AG57 F54:AH54 F42:AH43 F37:AH38 F32:AH34 F25:AH25 D148:AH148 O114:AH115 D117:AH117 D15:AH18 D161:Q175 D179:N187 F22:AD22 AF22:AH22 AE23 D55:AH55 C56:AG56 D81:AH81 C80:AG80 D27:AH28 O44:AH53 D47:N48 R161:AH184 O176:Q184">
    <cfRule type="containsText" dxfId="690" priority="474" operator="containsText" text="TB">
      <formula>NOT(ISERROR(SEARCH("TB",C7)))</formula>
    </cfRule>
  </conditionalFormatting>
  <conditionalFormatting sqref="B151:B153">
    <cfRule type="containsText" dxfId="689" priority="471" operator="containsText" text="B">
      <formula>NOT(ISERROR(SEARCH("B",B151)))</formula>
    </cfRule>
    <cfRule type="containsText" dxfId="688" priority="472" operator="containsText" text="TB">
      <formula>NOT(ISERROR(SEARCH("TB",B151)))</formula>
    </cfRule>
    <cfRule type="containsText" dxfId="687" priority="473" operator="containsText" text="T">
      <formula>NOT(ISERROR(SEARCH("T",B151)))</formula>
    </cfRule>
  </conditionalFormatting>
  <conditionalFormatting sqref="B151:B153">
    <cfRule type="containsText" dxfId="686" priority="470" operator="containsText" text="TB">
      <formula>NOT(ISERROR(SEARCH("TB",B151)))</formula>
    </cfRule>
  </conditionalFormatting>
  <conditionalFormatting sqref="D188:AH246 O185:AH187">
    <cfRule type="containsText" dxfId="685" priority="467" operator="containsText" text="B">
      <formula>NOT(ISERROR(SEARCH("B",D185)))</formula>
    </cfRule>
    <cfRule type="containsText" dxfId="684" priority="468" operator="containsText" text="TB">
      <formula>NOT(ISERROR(SEARCH("TB",D185)))</formula>
    </cfRule>
    <cfRule type="containsText" dxfId="683" priority="469" operator="containsText" text="T">
      <formula>NOT(ISERROR(SEARCH("T",D185)))</formula>
    </cfRule>
  </conditionalFormatting>
  <conditionalFormatting sqref="D188:AH247 O185:AH187">
    <cfRule type="containsText" dxfId="682" priority="466" operator="containsText" text="TB">
      <formula>NOT(ISERROR(SEARCH("TB",D185)))</formula>
    </cfRule>
  </conditionalFormatting>
  <conditionalFormatting sqref="B249:B251">
    <cfRule type="containsText" dxfId="681" priority="463" operator="containsText" text="B">
      <formula>NOT(ISERROR(SEARCH("B",B249)))</formula>
    </cfRule>
    <cfRule type="containsText" dxfId="680" priority="464" operator="containsText" text="TB">
      <formula>NOT(ISERROR(SEARCH("TB",B249)))</formula>
    </cfRule>
    <cfRule type="containsText" dxfId="679" priority="465" operator="containsText" text="T">
      <formula>NOT(ISERROR(SEARCH("T",B249)))</formula>
    </cfRule>
  </conditionalFormatting>
  <conditionalFormatting sqref="B249:B251">
    <cfRule type="containsText" dxfId="678" priority="462" operator="containsText" text="TB">
      <formula>NOT(ISERROR(SEARCH("TB",B249)))</formula>
    </cfRule>
  </conditionalFormatting>
  <conditionalFormatting sqref="D8:D12 M13:AH14 D20 D22 O21:AH21 D24 O23:AD23 F24:AH24 F20:AH20 F8:AH12 M19:AH19 AF23:AH23">
    <cfRule type="containsText" dxfId="677" priority="459" operator="containsText" text="B">
      <formula>NOT(ISERROR(SEARCH("B",D8)))</formula>
    </cfRule>
    <cfRule type="containsText" dxfId="676" priority="460" operator="containsText" text="TB">
      <formula>NOT(ISERROR(SEARCH("TB",D8)))</formula>
    </cfRule>
    <cfRule type="containsText" dxfId="675" priority="461" operator="containsText" text="T">
      <formula>NOT(ISERROR(SEARCH("T",D8)))</formula>
    </cfRule>
  </conditionalFormatting>
  <conditionalFormatting sqref="D8:D12 M13:AH14 D20 D22 O21:AH21 D24 O23:AD23 F24:AH24 F20:AH20 F8:AH12 M19:AH19 AF23:AH23">
    <cfRule type="containsText" dxfId="674" priority="458" operator="containsText" text="TB">
      <formula>NOT(ISERROR(SEARCH("TB",D8)))</formula>
    </cfRule>
  </conditionalFormatting>
  <conditionalFormatting sqref="D7 F7:L7">
    <cfRule type="containsText" dxfId="673" priority="455" operator="containsText" text="B">
      <formula>NOT(ISERROR(SEARCH("B",D7)))</formula>
    </cfRule>
    <cfRule type="containsText" dxfId="672" priority="456" operator="containsText" text="TB">
      <formula>NOT(ISERROR(SEARCH("TB",D7)))</formula>
    </cfRule>
    <cfRule type="containsText" dxfId="671" priority="457" operator="containsText" text="T">
      <formula>NOT(ISERROR(SEARCH("T",D7)))</formula>
    </cfRule>
  </conditionalFormatting>
  <conditionalFormatting sqref="D7 F7:L7">
    <cfRule type="containsText" dxfId="670" priority="454" operator="containsText" text="TB">
      <formula>NOT(ISERROR(SEARCH("TB",D7)))</formula>
    </cfRule>
  </conditionalFormatting>
  <conditionalFormatting sqref="D13:D14 F13:L14">
    <cfRule type="containsText" dxfId="669" priority="451" operator="containsText" text="B">
      <formula>NOT(ISERROR(SEARCH("B",D13)))</formula>
    </cfRule>
    <cfRule type="containsText" dxfId="668" priority="452" operator="containsText" text="TB">
      <formula>NOT(ISERROR(SEARCH("TB",D13)))</formula>
    </cfRule>
    <cfRule type="containsText" dxfId="667" priority="453" operator="containsText" text="T">
      <formula>NOT(ISERROR(SEARCH("T",D13)))</formula>
    </cfRule>
  </conditionalFormatting>
  <conditionalFormatting sqref="D13:D14 F13:L14">
    <cfRule type="containsText" dxfId="666" priority="450" operator="containsText" text="TB">
      <formula>NOT(ISERROR(SEARCH("TB",D13)))</formula>
    </cfRule>
  </conditionalFormatting>
  <conditionalFormatting sqref="D19 F19:L19">
    <cfRule type="containsText" dxfId="665" priority="447" operator="containsText" text="B">
      <formula>NOT(ISERROR(SEARCH("B",D19)))</formula>
    </cfRule>
    <cfRule type="containsText" dxfId="664" priority="448" operator="containsText" text="TB">
      <formula>NOT(ISERROR(SEARCH("TB",D19)))</formula>
    </cfRule>
    <cfRule type="containsText" dxfId="663" priority="449" operator="containsText" text="T">
      <formula>NOT(ISERROR(SEARCH("T",D19)))</formula>
    </cfRule>
  </conditionalFormatting>
  <conditionalFormatting sqref="D19 F19:L19">
    <cfRule type="containsText" dxfId="662" priority="446" operator="containsText" text="TB">
      <formula>NOT(ISERROR(SEARCH("TB",D19)))</formula>
    </cfRule>
  </conditionalFormatting>
  <conditionalFormatting sqref="D21 F21:N21">
    <cfRule type="containsText" dxfId="661" priority="443" operator="containsText" text="B">
      <formula>NOT(ISERROR(SEARCH("B",D21)))</formula>
    </cfRule>
    <cfRule type="containsText" dxfId="660" priority="444" operator="containsText" text="TB">
      <formula>NOT(ISERROR(SEARCH("TB",D21)))</formula>
    </cfRule>
    <cfRule type="containsText" dxfId="659" priority="445" operator="containsText" text="T">
      <formula>NOT(ISERROR(SEARCH("T",D21)))</formula>
    </cfRule>
  </conditionalFormatting>
  <conditionalFormatting sqref="D21 F21:N21">
    <cfRule type="containsText" dxfId="658" priority="442" operator="containsText" text="TB">
      <formula>NOT(ISERROR(SEARCH("TB",D21)))</formula>
    </cfRule>
  </conditionalFormatting>
  <conditionalFormatting sqref="D23 F23:N23">
    <cfRule type="containsText" dxfId="657" priority="439" operator="containsText" text="B">
      <formula>NOT(ISERROR(SEARCH("B",D23)))</formula>
    </cfRule>
    <cfRule type="containsText" dxfId="656" priority="440" operator="containsText" text="TB">
      <formula>NOT(ISERROR(SEARCH("TB",D23)))</formula>
    </cfRule>
    <cfRule type="containsText" dxfId="655" priority="441" operator="containsText" text="T">
      <formula>NOT(ISERROR(SEARCH("T",D23)))</formula>
    </cfRule>
  </conditionalFormatting>
  <conditionalFormatting sqref="D23 F23:N23">
    <cfRule type="containsText" dxfId="654" priority="438" operator="containsText" text="TB">
      <formula>NOT(ISERROR(SEARCH("TB",D23)))</formula>
    </cfRule>
  </conditionalFormatting>
  <conditionalFormatting sqref="D26 F26:N26">
    <cfRule type="containsText" dxfId="653" priority="435" operator="containsText" text="B">
      <formula>NOT(ISERROR(SEARCH("B",D26)))</formula>
    </cfRule>
    <cfRule type="containsText" dxfId="652" priority="436" operator="containsText" text="TB">
      <formula>NOT(ISERROR(SEARCH("TB",D26)))</formula>
    </cfRule>
    <cfRule type="containsText" dxfId="651" priority="437" operator="containsText" text="T">
      <formula>NOT(ISERROR(SEARCH("T",D26)))</formula>
    </cfRule>
  </conditionalFormatting>
  <conditionalFormatting sqref="D26 F26:N26">
    <cfRule type="containsText" dxfId="650" priority="434" operator="containsText" text="TB">
      <formula>NOT(ISERROR(SEARCH("TB",D26)))</formula>
    </cfRule>
  </conditionalFormatting>
  <conditionalFormatting sqref="D29:D31 F29:N31">
    <cfRule type="containsText" dxfId="649" priority="431" operator="containsText" text="B">
      <formula>NOT(ISERROR(SEARCH("B",D29)))</formula>
    </cfRule>
    <cfRule type="containsText" dxfId="648" priority="432" operator="containsText" text="TB">
      <formula>NOT(ISERROR(SEARCH("TB",D29)))</formula>
    </cfRule>
    <cfRule type="containsText" dxfId="647" priority="433" operator="containsText" text="T">
      <formula>NOT(ISERROR(SEARCH("T",D29)))</formula>
    </cfRule>
  </conditionalFormatting>
  <conditionalFormatting sqref="D29:D31 F29:N31">
    <cfRule type="containsText" dxfId="646" priority="430" operator="containsText" text="TB">
      <formula>NOT(ISERROR(SEARCH("TB",D29)))</formula>
    </cfRule>
  </conditionalFormatting>
  <conditionalFormatting sqref="D35:D36 F35:N36">
    <cfRule type="containsText" dxfId="645" priority="427" operator="containsText" text="B">
      <formula>NOT(ISERROR(SEARCH("B",D35)))</formula>
    </cfRule>
    <cfRule type="containsText" dxfId="644" priority="428" operator="containsText" text="TB">
      <formula>NOT(ISERROR(SEARCH("TB",D35)))</formula>
    </cfRule>
    <cfRule type="containsText" dxfId="643" priority="429" operator="containsText" text="T">
      <formula>NOT(ISERROR(SEARCH("T",D35)))</formula>
    </cfRule>
  </conditionalFormatting>
  <conditionalFormatting sqref="D35:D36 F35:N36">
    <cfRule type="containsText" dxfId="642" priority="426" operator="containsText" text="TB">
      <formula>NOT(ISERROR(SEARCH("TB",D35)))</formula>
    </cfRule>
  </conditionalFormatting>
  <conditionalFormatting sqref="D39:D41 F39:N41">
    <cfRule type="containsText" dxfId="641" priority="423" operator="containsText" text="B">
      <formula>NOT(ISERROR(SEARCH("B",D39)))</formula>
    </cfRule>
    <cfRule type="containsText" dxfId="640" priority="424" operator="containsText" text="TB">
      <formula>NOT(ISERROR(SEARCH("TB",D39)))</formula>
    </cfRule>
    <cfRule type="containsText" dxfId="639" priority="425" operator="containsText" text="T">
      <formula>NOT(ISERROR(SEARCH("T",D39)))</formula>
    </cfRule>
  </conditionalFormatting>
  <conditionalFormatting sqref="D39:D41 F39:N41">
    <cfRule type="containsText" dxfId="638" priority="422" operator="containsText" text="TB">
      <formula>NOT(ISERROR(SEARCH("TB",D39)))</formula>
    </cfRule>
  </conditionalFormatting>
  <conditionalFormatting sqref="D44:D46 F44:N46">
    <cfRule type="containsText" dxfId="637" priority="419" operator="containsText" text="B">
      <formula>NOT(ISERROR(SEARCH("B",D44)))</formula>
    </cfRule>
    <cfRule type="containsText" dxfId="636" priority="420" operator="containsText" text="TB">
      <formula>NOT(ISERROR(SEARCH("TB",D44)))</formula>
    </cfRule>
    <cfRule type="containsText" dxfId="635" priority="421" operator="containsText" text="T">
      <formula>NOT(ISERROR(SEARCH("T",D44)))</formula>
    </cfRule>
  </conditionalFormatting>
  <conditionalFormatting sqref="D44:D46 F44:N46">
    <cfRule type="containsText" dxfId="634" priority="418" operator="containsText" text="TB">
      <formula>NOT(ISERROR(SEARCH("TB",D44)))</formula>
    </cfRule>
  </conditionalFormatting>
  <conditionalFormatting sqref="D49:D50 F49:N50">
    <cfRule type="containsText" dxfId="633" priority="415" operator="containsText" text="B">
      <formula>NOT(ISERROR(SEARCH("B",D49)))</formula>
    </cfRule>
    <cfRule type="containsText" dxfId="632" priority="416" operator="containsText" text="TB">
      <formula>NOT(ISERROR(SEARCH("TB",D49)))</formula>
    </cfRule>
    <cfRule type="containsText" dxfId="631" priority="417" operator="containsText" text="T">
      <formula>NOT(ISERROR(SEARCH("T",D49)))</formula>
    </cfRule>
  </conditionalFormatting>
  <conditionalFormatting sqref="D49:D50 F49:N50">
    <cfRule type="containsText" dxfId="630" priority="414" operator="containsText" text="TB">
      <formula>NOT(ISERROR(SEARCH("TB",D49)))</formula>
    </cfRule>
  </conditionalFormatting>
  <conditionalFormatting sqref="D51:D53 F51:N53">
    <cfRule type="containsText" dxfId="629" priority="411" operator="containsText" text="B">
      <formula>NOT(ISERROR(SEARCH("B",D51)))</formula>
    </cfRule>
    <cfRule type="containsText" dxfId="628" priority="412" operator="containsText" text="TB">
      <formula>NOT(ISERROR(SEARCH("TB",D51)))</formula>
    </cfRule>
    <cfRule type="containsText" dxfId="627" priority="413" operator="containsText" text="T">
      <formula>NOT(ISERROR(SEARCH("T",D51)))</formula>
    </cfRule>
  </conditionalFormatting>
  <conditionalFormatting sqref="D51:D53 F51:N53">
    <cfRule type="containsText" dxfId="626" priority="410" operator="containsText" text="TB">
      <formula>NOT(ISERROR(SEARCH("TB",D51)))</formula>
    </cfRule>
  </conditionalFormatting>
  <conditionalFormatting sqref="C58 E58:M58">
    <cfRule type="containsText" dxfId="625" priority="407" operator="containsText" text="B">
      <formula>NOT(ISERROR(SEARCH("B",C58)))</formula>
    </cfRule>
    <cfRule type="containsText" dxfId="624" priority="408" operator="containsText" text="TB">
      <formula>NOT(ISERROR(SEARCH("TB",C58)))</formula>
    </cfRule>
    <cfRule type="containsText" dxfId="623" priority="409" operator="containsText" text="T">
      <formula>NOT(ISERROR(SEARCH("T",C58)))</formula>
    </cfRule>
  </conditionalFormatting>
  <conditionalFormatting sqref="C58 E58:M58">
    <cfRule type="containsText" dxfId="622" priority="406" operator="containsText" text="TB">
      <formula>NOT(ISERROR(SEARCH("TB",C58)))</formula>
    </cfRule>
  </conditionalFormatting>
  <conditionalFormatting sqref="C61 E61:M61">
    <cfRule type="containsText" dxfId="621" priority="403" operator="containsText" text="B">
      <formula>NOT(ISERROR(SEARCH("B",C61)))</formula>
    </cfRule>
    <cfRule type="containsText" dxfId="620" priority="404" operator="containsText" text="TB">
      <formula>NOT(ISERROR(SEARCH("TB",C61)))</formula>
    </cfRule>
    <cfRule type="containsText" dxfId="619" priority="405" operator="containsText" text="T">
      <formula>NOT(ISERROR(SEARCH("T",C61)))</formula>
    </cfRule>
  </conditionalFormatting>
  <conditionalFormatting sqref="C61 E61:M61">
    <cfRule type="containsText" dxfId="618" priority="402" operator="containsText" text="TB">
      <formula>NOT(ISERROR(SEARCH("TB",C61)))</formula>
    </cfRule>
  </conditionalFormatting>
  <conditionalFormatting sqref="C62 E62:M62">
    <cfRule type="containsText" dxfId="617" priority="399" operator="containsText" text="B">
      <formula>NOT(ISERROR(SEARCH("B",C62)))</formula>
    </cfRule>
    <cfRule type="containsText" dxfId="616" priority="400" operator="containsText" text="TB">
      <formula>NOT(ISERROR(SEARCH("TB",C62)))</formula>
    </cfRule>
    <cfRule type="containsText" dxfId="615" priority="401" operator="containsText" text="T">
      <formula>NOT(ISERROR(SEARCH("T",C62)))</formula>
    </cfRule>
  </conditionalFormatting>
  <conditionalFormatting sqref="C62 E62:M62">
    <cfRule type="containsText" dxfId="614" priority="398" operator="containsText" text="TB">
      <formula>NOT(ISERROR(SEARCH("TB",C62)))</formula>
    </cfRule>
  </conditionalFormatting>
  <conditionalFormatting sqref="C64:C65 E64:M65">
    <cfRule type="containsText" dxfId="613" priority="395" operator="containsText" text="B">
      <formula>NOT(ISERROR(SEARCH("B",C64)))</formula>
    </cfRule>
    <cfRule type="containsText" dxfId="612" priority="396" operator="containsText" text="TB">
      <formula>NOT(ISERROR(SEARCH("TB",C64)))</formula>
    </cfRule>
    <cfRule type="containsText" dxfId="611" priority="397" operator="containsText" text="T">
      <formula>NOT(ISERROR(SEARCH("T",C64)))</formula>
    </cfRule>
  </conditionalFormatting>
  <conditionalFormatting sqref="C64:C65 E64:M65">
    <cfRule type="containsText" dxfId="610" priority="394" operator="containsText" text="TB">
      <formula>NOT(ISERROR(SEARCH("TB",C64)))</formula>
    </cfRule>
  </conditionalFormatting>
  <conditionalFormatting sqref="C70 E70:M70">
    <cfRule type="containsText" dxfId="609" priority="391" operator="containsText" text="B">
      <formula>NOT(ISERROR(SEARCH("B",C70)))</formula>
    </cfRule>
    <cfRule type="containsText" dxfId="608" priority="392" operator="containsText" text="TB">
      <formula>NOT(ISERROR(SEARCH("TB",C70)))</formula>
    </cfRule>
    <cfRule type="containsText" dxfId="607" priority="393" operator="containsText" text="T">
      <formula>NOT(ISERROR(SEARCH("T",C70)))</formula>
    </cfRule>
  </conditionalFormatting>
  <conditionalFormatting sqref="C70 E70:M70">
    <cfRule type="containsText" dxfId="606" priority="390" operator="containsText" text="TB">
      <formula>NOT(ISERROR(SEARCH("TB",C70)))</formula>
    </cfRule>
  </conditionalFormatting>
  <conditionalFormatting sqref="C72">
    <cfRule type="containsText" dxfId="605" priority="387" operator="containsText" text="B">
      <formula>NOT(ISERROR(SEARCH("B",C72)))</formula>
    </cfRule>
    <cfRule type="containsText" dxfId="604" priority="388" operator="containsText" text="TB">
      <formula>NOT(ISERROR(SEARCH("TB",C72)))</formula>
    </cfRule>
    <cfRule type="containsText" dxfId="603" priority="389" operator="containsText" text="T">
      <formula>NOT(ISERROR(SEARCH("T",C72)))</formula>
    </cfRule>
  </conditionalFormatting>
  <conditionalFormatting sqref="C72">
    <cfRule type="containsText" dxfId="602" priority="386" operator="containsText" text="TB">
      <formula>NOT(ISERROR(SEARCH("TB",C72)))</formula>
    </cfRule>
  </conditionalFormatting>
  <conditionalFormatting sqref="E72:N72">
    <cfRule type="containsText" dxfId="601" priority="383" operator="containsText" text="B">
      <formula>NOT(ISERROR(SEARCH("B",E72)))</formula>
    </cfRule>
    <cfRule type="containsText" dxfId="600" priority="384" operator="containsText" text="TB">
      <formula>NOT(ISERROR(SEARCH("TB",E72)))</formula>
    </cfRule>
    <cfRule type="containsText" dxfId="599" priority="385" operator="containsText" text="T">
      <formula>NOT(ISERROR(SEARCH("T",E72)))</formula>
    </cfRule>
  </conditionalFormatting>
  <conditionalFormatting sqref="E72:N72">
    <cfRule type="containsText" dxfId="598" priority="382" operator="containsText" text="TB">
      <formula>NOT(ISERROR(SEARCH("TB",E72)))</formula>
    </cfRule>
  </conditionalFormatting>
  <conditionalFormatting sqref="C75 E75:M75">
    <cfRule type="containsText" dxfId="597" priority="379" operator="containsText" text="B">
      <formula>NOT(ISERROR(SEARCH("B",C75)))</formula>
    </cfRule>
    <cfRule type="containsText" dxfId="596" priority="380" operator="containsText" text="TB">
      <formula>NOT(ISERROR(SEARCH("TB",C75)))</formula>
    </cfRule>
    <cfRule type="containsText" dxfId="595" priority="381" operator="containsText" text="T">
      <formula>NOT(ISERROR(SEARCH("T",C75)))</formula>
    </cfRule>
  </conditionalFormatting>
  <conditionalFormatting sqref="C75 E75:M75">
    <cfRule type="containsText" dxfId="594" priority="378" operator="containsText" text="TB">
      <formula>NOT(ISERROR(SEARCH("TB",C75)))</formula>
    </cfRule>
  </conditionalFormatting>
  <conditionalFormatting sqref="C78:C79 E78:M79">
    <cfRule type="containsText" dxfId="593" priority="375" operator="containsText" text="B">
      <formula>NOT(ISERROR(SEARCH("B",C78)))</formula>
    </cfRule>
    <cfRule type="containsText" dxfId="592" priority="376" operator="containsText" text="TB">
      <formula>NOT(ISERROR(SEARCH("TB",C78)))</formula>
    </cfRule>
    <cfRule type="containsText" dxfId="591" priority="377" operator="containsText" text="T">
      <formula>NOT(ISERROR(SEARCH("T",C78)))</formula>
    </cfRule>
  </conditionalFormatting>
  <conditionalFormatting sqref="C78:C79 E78:M79">
    <cfRule type="containsText" dxfId="590" priority="374" operator="containsText" text="TB">
      <formula>NOT(ISERROR(SEARCH("TB",C78)))</formula>
    </cfRule>
  </conditionalFormatting>
  <conditionalFormatting sqref="D114:D115 F114:N115">
    <cfRule type="containsText" dxfId="589" priority="371" operator="containsText" text="B">
      <formula>NOT(ISERROR(SEARCH("B",D114)))</formula>
    </cfRule>
    <cfRule type="containsText" dxfId="588" priority="372" operator="containsText" text="TB">
      <formula>NOT(ISERROR(SEARCH("TB",D114)))</formula>
    </cfRule>
    <cfRule type="containsText" dxfId="587" priority="373" operator="containsText" text="T">
      <formula>NOT(ISERROR(SEARCH("T",D114)))</formula>
    </cfRule>
  </conditionalFormatting>
  <conditionalFormatting sqref="D114:D115 F114:N115">
    <cfRule type="containsText" dxfId="586" priority="370" operator="containsText" text="TB">
      <formula>NOT(ISERROR(SEARCH("TB",D114)))</formula>
    </cfRule>
  </conditionalFormatting>
  <conditionalFormatting sqref="D121 F121:N121">
    <cfRule type="containsText" dxfId="585" priority="367" operator="containsText" text="B">
      <formula>NOT(ISERROR(SEARCH("B",D121)))</formula>
    </cfRule>
    <cfRule type="containsText" dxfId="584" priority="368" operator="containsText" text="TB">
      <formula>NOT(ISERROR(SEARCH("TB",D121)))</formula>
    </cfRule>
    <cfRule type="containsText" dxfId="583" priority="369" operator="containsText" text="T">
      <formula>NOT(ISERROR(SEARCH("T",D121)))</formula>
    </cfRule>
  </conditionalFormatting>
  <conditionalFormatting sqref="D121 F121:N121">
    <cfRule type="containsText" dxfId="582" priority="366" operator="containsText" text="TB">
      <formula>NOT(ISERROR(SEARCH("TB",D121)))</formula>
    </cfRule>
  </conditionalFormatting>
  <conditionalFormatting sqref="D122 F122:N122">
    <cfRule type="containsText" dxfId="581" priority="363" operator="containsText" text="B">
      <formula>NOT(ISERROR(SEARCH("B",D122)))</formula>
    </cfRule>
    <cfRule type="containsText" dxfId="580" priority="364" operator="containsText" text="TB">
      <formula>NOT(ISERROR(SEARCH("TB",D122)))</formula>
    </cfRule>
    <cfRule type="containsText" dxfId="579" priority="365" operator="containsText" text="T">
      <formula>NOT(ISERROR(SEARCH("T",D122)))</formula>
    </cfRule>
  </conditionalFormatting>
  <conditionalFormatting sqref="D122 F122:N122">
    <cfRule type="containsText" dxfId="578" priority="362" operator="containsText" text="TB">
      <formula>NOT(ISERROR(SEARCH("TB",D122)))</formula>
    </cfRule>
  </conditionalFormatting>
  <conditionalFormatting sqref="F123:O124">
    <cfRule type="containsText" dxfId="577" priority="359" operator="containsText" text="B">
      <formula>NOT(ISERROR(SEARCH("B",F123)))</formula>
    </cfRule>
    <cfRule type="containsText" dxfId="576" priority="360" operator="containsText" text="TB">
      <formula>NOT(ISERROR(SEARCH("TB",F123)))</formula>
    </cfRule>
    <cfRule type="containsText" dxfId="575" priority="361" operator="containsText" text="T">
      <formula>NOT(ISERROR(SEARCH("T",F123)))</formula>
    </cfRule>
  </conditionalFormatting>
  <conditionalFormatting sqref="F123:O124">
    <cfRule type="containsText" dxfId="574" priority="358" operator="containsText" text="TB">
      <formula>NOT(ISERROR(SEARCH("TB",F123)))</formula>
    </cfRule>
  </conditionalFormatting>
  <conditionalFormatting sqref="D126:D127 F126:N127">
    <cfRule type="containsText" dxfId="573" priority="355" operator="containsText" text="B">
      <formula>NOT(ISERROR(SEARCH("B",D126)))</formula>
    </cfRule>
    <cfRule type="containsText" dxfId="572" priority="356" operator="containsText" text="TB">
      <formula>NOT(ISERROR(SEARCH("TB",D126)))</formula>
    </cfRule>
    <cfRule type="containsText" dxfId="571" priority="357" operator="containsText" text="T">
      <formula>NOT(ISERROR(SEARCH("T",D126)))</formula>
    </cfRule>
  </conditionalFormatting>
  <conditionalFormatting sqref="D126:D127 F126:N127">
    <cfRule type="containsText" dxfId="570" priority="354" operator="containsText" text="TB">
      <formula>NOT(ISERROR(SEARCH("TB",D126)))</formula>
    </cfRule>
  </conditionalFormatting>
  <conditionalFormatting sqref="D130 F130:N130">
    <cfRule type="containsText" dxfId="569" priority="351" operator="containsText" text="B">
      <formula>NOT(ISERROR(SEARCH("B",D130)))</formula>
    </cfRule>
    <cfRule type="containsText" dxfId="568" priority="352" operator="containsText" text="TB">
      <formula>NOT(ISERROR(SEARCH("TB",D130)))</formula>
    </cfRule>
    <cfRule type="containsText" dxfId="567" priority="353" operator="containsText" text="T">
      <formula>NOT(ISERROR(SEARCH("T",D130)))</formula>
    </cfRule>
  </conditionalFormatting>
  <conditionalFormatting sqref="D130 F130:N130">
    <cfRule type="containsText" dxfId="566" priority="350" operator="containsText" text="TB">
      <formula>NOT(ISERROR(SEARCH("TB",D130)))</formula>
    </cfRule>
  </conditionalFormatting>
  <conditionalFormatting sqref="C66:C67 E66:J67">
    <cfRule type="containsText" dxfId="565" priority="347" operator="containsText" text="B">
      <formula>NOT(ISERROR(SEARCH("B",C66)))</formula>
    </cfRule>
    <cfRule type="containsText" dxfId="564" priority="348" operator="containsText" text="TB">
      <formula>NOT(ISERROR(SEARCH("TB",C66)))</formula>
    </cfRule>
    <cfRule type="containsText" dxfId="563" priority="349" operator="containsText" text="T">
      <formula>NOT(ISERROR(SEARCH("T",C66)))</formula>
    </cfRule>
  </conditionalFormatting>
  <conditionalFormatting sqref="C66:C67 E66:J67">
    <cfRule type="containsText" dxfId="562" priority="346" operator="containsText" text="TB">
      <formula>NOT(ISERROR(SEARCH("TB",C66)))</formula>
    </cfRule>
  </conditionalFormatting>
  <conditionalFormatting sqref="C71 E71:J71">
    <cfRule type="containsText" dxfId="561" priority="343" operator="containsText" text="B">
      <formula>NOT(ISERROR(SEARCH("B",C71)))</formula>
    </cfRule>
    <cfRule type="containsText" dxfId="560" priority="344" operator="containsText" text="TB">
      <formula>NOT(ISERROR(SEARCH("TB",C71)))</formula>
    </cfRule>
    <cfRule type="containsText" dxfId="559" priority="345" operator="containsText" text="T">
      <formula>NOT(ISERROR(SEARCH("T",C71)))</formula>
    </cfRule>
  </conditionalFormatting>
  <conditionalFormatting sqref="C71 E71:J71">
    <cfRule type="containsText" dxfId="558" priority="342" operator="containsText" text="TB">
      <formula>NOT(ISERROR(SEARCH("TB",C71)))</formula>
    </cfRule>
  </conditionalFormatting>
  <conditionalFormatting sqref="C73 E73:M73">
    <cfRule type="containsText" dxfId="557" priority="339" operator="containsText" text="B">
      <formula>NOT(ISERROR(SEARCH("B",C73)))</formula>
    </cfRule>
    <cfRule type="containsText" dxfId="556" priority="340" operator="containsText" text="TB">
      <formula>NOT(ISERROR(SEARCH("TB",C73)))</formula>
    </cfRule>
    <cfRule type="containsText" dxfId="555" priority="341" operator="containsText" text="T">
      <formula>NOT(ISERROR(SEARCH("T",C73)))</formula>
    </cfRule>
  </conditionalFormatting>
  <conditionalFormatting sqref="C73 E73:M73">
    <cfRule type="containsText" dxfId="554" priority="338" operator="containsText" text="TB">
      <formula>NOT(ISERROR(SEARCH("TB",C73)))</formula>
    </cfRule>
  </conditionalFormatting>
  <conditionalFormatting sqref="C74 E74:J74">
    <cfRule type="containsText" dxfId="553" priority="335" operator="containsText" text="B">
      <formula>NOT(ISERROR(SEARCH("B",C74)))</formula>
    </cfRule>
    <cfRule type="containsText" dxfId="552" priority="336" operator="containsText" text="TB">
      <formula>NOT(ISERROR(SEARCH("TB",C74)))</formula>
    </cfRule>
    <cfRule type="containsText" dxfId="551" priority="337" operator="containsText" text="T">
      <formula>NOT(ISERROR(SEARCH("T",C74)))</formula>
    </cfRule>
  </conditionalFormatting>
  <conditionalFormatting sqref="C74 E74:J74">
    <cfRule type="containsText" dxfId="550" priority="334" operator="containsText" text="TB">
      <formula>NOT(ISERROR(SEARCH("TB",C74)))</formula>
    </cfRule>
  </conditionalFormatting>
  <conditionalFormatting sqref="D118:D119 F118:K119">
    <cfRule type="containsText" dxfId="549" priority="331" operator="containsText" text="B">
      <formula>NOT(ISERROR(SEARCH("B",D118)))</formula>
    </cfRule>
    <cfRule type="containsText" dxfId="548" priority="332" operator="containsText" text="TB">
      <formula>NOT(ISERROR(SEARCH("TB",D118)))</formula>
    </cfRule>
    <cfRule type="containsText" dxfId="547" priority="333" operator="containsText" text="T">
      <formula>NOT(ISERROR(SEARCH("T",D118)))</formula>
    </cfRule>
  </conditionalFormatting>
  <conditionalFormatting sqref="D118:D119 F118:K119">
    <cfRule type="containsText" dxfId="546" priority="330" operator="containsText" text="TB">
      <formula>NOT(ISERROR(SEARCH("TB",D118)))</formula>
    </cfRule>
  </conditionalFormatting>
  <conditionalFormatting sqref="D176:J176 L176:N176 D177:N178">
    <cfRule type="containsText" dxfId="545" priority="327" operator="containsText" text="B">
      <formula>NOT(ISERROR(SEARCH("B",D176)))</formula>
    </cfRule>
    <cfRule type="containsText" dxfId="544" priority="328" operator="containsText" text="TB">
      <formula>NOT(ISERROR(SEARCH("TB",D176)))</formula>
    </cfRule>
    <cfRule type="containsText" dxfId="543" priority="329" operator="containsText" text="T">
      <formula>NOT(ISERROR(SEARCH("T",D176)))</formula>
    </cfRule>
  </conditionalFormatting>
  <conditionalFormatting sqref="D176:J176 L176:N176 D177:N178">
    <cfRule type="containsText" dxfId="542" priority="326" operator="containsText" text="TB">
      <formula>NOT(ISERROR(SEARCH("TB",D176)))</formula>
    </cfRule>
  </conditionalFormatting>
  <conditionalFormatting sqref="K176">
    <cfRule type="containsText" dxfId="541" priority="323" operator="containsText" text="B">
      <formula>NOT(ISERROR(SEARCH("B",K176)))</formula>
    </cfRule>
    <cfRule type="containsText" dxfId="540" priority="324" operator="containsText" text="TB">
      <formula>NOT(ISERROR(SEARCH("TB",K176)))</formula>
    </cfRule>
    <cfRule type="containsText" dxfId="539" priority="325" operator="containsText" text="T">
      <formula>NOT(ISERROR(SEARCH("T",K176)))</formula>
    </cfRule>
  </conditionalFormatting>
  <conditionalFormatting sqref="K176">
    <cfRule type="containsText" dxfId="538" priority="322" operator="containsText" text="TB">
      <formula>NOT(ISERROR(SEARCH("TB",K176)))</formula>
    </cfRule>
  </conditionalFormatting>
  <conditionalFormatting sqref="D135 F135:AH135">
    <cfRule type="containsText" dxfId="537" priority="319" operator="containsText" text="B">
      <formula>NOT(ISERROR(SEARCH("B",D135)))</formula>
    </cfRule>
    <cfRule type="containsText" dxfId="536" priority="320" operator="containsText" text="TB">
      <formula>NOT(ISERROR(SEARCH("TB",D135)))</formula>
    </cfRule>
    <cfRule type="containsText" dxfId="535" priority="321" operator="containsText" text="T">
      <formula>NOT(ISERROR(SEARCH("T",D135)))</formula>
    </cfRule>
  </conditionalFormatting>
  <conditionalFormatting sqref="D135 F135:AH135">
    <cfRule type="containsText" dxfId="534" priority="318" operator="containsText" text="TB">
      <formula>NOT(ISERROR(SEARCH("TB",D135)))</formula>
    </cfRule>
  </conditionalFormatting>
  <conditionalFormatting sqref="E25 E32:E34 E37:E38 E42:E43 E54 D57 D59:D60 D63 D76:D77 E116 E120 E123:E125 E128:E129 E131:E134 D68:D69 E136:E147">
    <cfRule type="containsText" dxfId="533" priority="315" operator="containsText" text="B">
      <formula>NOT(ISERROR(SEARCH("B",D25)))</formula>
    </cfRule>
    <cfRule type="containsText" dxfId="532" priority="316" operator="containsText" text="TB">
      <formula>NOT(ISERROR(SEARCH("TB",D25)))</formula>
    </cfRule>
    <cfRule type="containsText" dxfId="531" priority="317" operator="containsText" text="T">
      <formula>NOT(ISERROR(SEARCH("T",D25)))</formula>
    </cfRule>
  </conditionalFormatting>
  <conditionalFormatting sqref="E25 E32:E34 E37:E38 E42:E43 E54 D57 D59:D60 D63 D76:D77 E116 E120 E123:E125 E128:E129 E131:E134 D68:D69 E136:E147">
    <cfRule type="containsText" dxfId="530" priority="314" operator="containsText" text="TB">
      <formula>NOT(ISERROR(SEARCH("TB",D25)))</formula>
    </cfRule>
  </conditionalFormatting>
  <conditionalFormatting sqref="E8:E12 E20 E22 E24">
    <cfRule type="containsText" dxfId="529" priority="311" operator="containsText" text="B">
      <formula>NOT(ISERROR(SEARCH("B",E8)))</formula>
    </cfRule>
    <cfRule type="containsText" dxfId="528" priority="312" operator="containsText" text="TB">
      <formula>NOT(ISERROR(SEARCH("TB",E8)))</formula>
    </cfRule>
    <cfRule type="containsText" dxfId="527" priority="313" operator="containsText" text="T">
      <formula>NOT(ISERROR(SEARCH("T",E8)))</formula>
    </cfRule>
  </conditionalFormatting>
  <conditionalFormatting sqref="E8:E12 E20 E22 E24">
    <cfRule type="containsText" dxfId="526" priority="310" operator="containsText" text="TB">
      <formula>NOT(ISERROR(SEARCH("TB",E8)))</formula>
    </cfRule>
  </conditionalFormatting>
  <conditionalFormatting sqref="E7">
    <cfRule type="containsText" dxfId="525" priority="307" operator="containsText" text="B">
      <formula>NOT(ISERROR(SEARCH("B",E7)))</formula>
    </cfRule>
    <cfRule type="containsText" dxfId="524" priority="308" operator="containsText" text="TB">
      <formula>NOT(ISERROR(SEARCH("TB",E7)))</formula>
    </cfRule>
    <cfRule type="containsText" dxfId="523" priority="309" operator="containsText" text="T">
      <formula>NOT(ISERROR(SEARCH("T",E7)))</formula>
    </cfRule>
  </conditionalFormatting>
  <conditionalFormatting sqref="E7">
    <cfRule type="containsText" dxfId="522" priority="306" operator="containsText" text="TB">
      <formula>NOT(ISERROR(SEARCH("TB",E7)))</formula>
    </cfRule>
  </conditionalFormatting>
  <conditionalFormatting sqref="E13:E14">
    <cfRule type="containsText" dxfId="521" priority="303" operator="containsText" text="B">
      <formula>NOT(ISERROR(SEARCH("B",E13)))</formula>
    </cfRule>
    <cfRule type="containsText" dxfId="520" priority="304" operator="containsText" text="TB">
      <formula>NOT(ISERROR(SEARCH("TB",E13)))</formula>
    </cfRule>
    <cfRule type="containsText" dxfId="519" priority="305" operator="containsText" text="T">
      <formula>NOT(ISERROR(SEARCH("T",E13)))</formula>
    </cfRule>
  </conditionalFormatting>
  <conditionalFormatting sqref="E13:E14">
    <cfRule type="containsText" dxfId="518" priority="302" operator="containsText" text="TB">
      <formula>NOT(ISERROR(SEARCH("TB",E13)))</formula>
    </cfRule>
  </conditionalFormatting>
  <conditionalFormatting sqref="E19">
    <cfRule type="containsText" dxfId="517" priority="299" operator="containsText" text="B">
      <formula>NOT(ISERROR(SEARCH("B",E19)))</formula>
    </cfRule>
    <cfRule type="containsText" dxfId="516" priority="300" operator="containsText" text="TB">
      <formula>NOT(ISERROR(SEARCH("TB",E19)))</formula>
    </cfRule>
    <cfRule type="containsText" dxfId="515" priority="301" operator="containsText" text="T">
      <formula>NOT(ISERROR(SEARCH("T",E19)))</formula>
    </cfRule>
  </conditionalFormatting>
  <conditionalFormatting sqref="E19">
    <cfRule type="containsText" dxfId="514" priority="298" operator="containsText" text="TB">
      <formula>NOT(ISERROR(SEARCH("TB",E19)))</formula>
    </cfRule>
  </conditionalFormatting>
  <conditionalFormatting sqref="E21">
    <cfRule type="containsText" dxfId="513" priority="295" operator="containsText" text="B">
      <formula>NOT(ISERROR(SEARCH("B",E21)))</formula>
    </cfRule>
    <cfRule type="containsText" dxfId="512" priority="296" operator="containsText" text="TB">
      <formula>NOT(ISERROR(SEARCH("TB",E21)))</formula>
    </cfRule>
    <cfRule type="containsText" dxfId="511" priority="297" operator="containsText" text="T">
      <formula>NOT(ISERROR(SEARCH("T",E21)))</formula>
    </cfRule>
  </conditionalFormatting>
  <conditionalFormatting sqref="E21">
    <cfRule type="containsText" dxfId="510" priority="294" operator="containsText" text="TB">
      <formula>NOT(ISERROR(SEARCH("TB",E21)))</formula>
    </cfRule>
  </conditionalFormatting>
  <conditionalFormatting sqref="E23">
    <cfRule type="containsText" dxfId="509" priority="291" operator="containsText" text="B">
      <formula>NOT(ISERROR(SEARCH("B",E23)))</formula>
    </cfRule>
    <cfRule type="containsText" dxfId="508" priority="292" operator="containsText" text="TB">
      <formula>NOT(ISERROR(SEARCH("TB",E23)))</formula>
    </cfRule>
    <cfRule type="containsText" dxfId="507" priority="293" operator="containsText" text="T">
      <formula>NOT(ISERROR(SEARCH("T",E23)))</formula>
    </cfRule>
  </conditionalFormatting>
  <conditionalFormatting sqref="E23">
    <cfRule type="containsText" dxfId="506" priority="290" operator="containsText" text="TB">
      <formula>NOT(ISERROR(SEARCH("TB",E23)))</formula>
    </cfRule>
  </conditionalFormatting>
  <conditionalFormatting sqref="E26">
    <cfRule type="containsText" dxfId="505" priority="287" operator="containsText" text="B">
      <formula>NOT(ISERROR(SEARCH("B",E26)))</formula>
    </cfRule>
    <cfRule type="containsText" dxfId="504" priority="288" operator="containsText" text="TB">
      <formula>NOT(ISERROR(SEARCH("TB",E26)))</formula>
    </cfRule>
    <cfRule type="containsText" dxfId="503" priority="289" operator="containsText" text="T">
      <formula>NOT(ISERROR(SEARCH("T",E26)))</formula>
    </cfRule>
  </conditionalFormatting>
  <conditionalFormatting sqref="E26">
    <cfRule type="containsText" dxfId="502" priority="286" operator="containsText" text="TB">
      <formula>NOT(ISERROR(SEARCH("TB",E26)))</formula>
    </cfRule>
  </conditionalFormatting>
  <conditionalFormatting sqref="E29:E31">
    <cfRule type="containsText" dxfId="501" priority="283" operator="containsText" text="B">
      <formula>NOT(ISERROR(SEARCH("B",E29)))</formula>
    </cfRule>
    <cfRule type="containsText" dxfId="500" priority="284" operator="containsText" text="TB">
      <formula>NOT(ISERROR(SEARCH("TB",E29)))</formula>
    </cfRule>
    <cfRule type="containsText" dxfId="499" priority="285" operator="containsText" text="T">
      <formula>NOT(ISERROR(SEARCH("T",E29)))</formula>
    </cfRule>
  </conditionalFormatting>
  <conditionalFormatting sqref="E29:E31">
    <cfRule type="containsText" dxfId="498" priority="282" operator="containsText" text="TB">
      <formula>NOT(ISERROR(SEARCH("TB",E29)))</formula>
    </cfRule>
  </conditionalFormatting>
  <conditionalFormatting sqref="E35:E36">
    <cfRule type="containsText" dxfId="497" priority="279" operator="containsText" text="B">
      <formula>NOT(ISERROR(SEARCH("B",E35)))</formula>
    </cfRule>
    <cfRule type="containsText" dxfId="496" priority="280" operator="containsText" text="TB">
      <formula>NOT(ISERROR(SEARCH("TB",E35)))</formula>
    </cfRule>
    <cfRule type="containsText" dxfId="495" priority="281" operator="containsText" text="T">
      <formula>NOT(ISERROR(SEARCH("T",E35)))</formula>
    </cfRule>
  </conditionalFormatting>
  <conditionalFormatting sqref="E35:E36">
    <cfRule type="containsText" dxfId="494" priority="278" operator="containsText" text="TB">
      <formula>NOT(ISERROR(SEARCH("TB",E35)))</formula>
    </cfRule>
  </conditionalFormatting>
  <conditionalFormatting sqref="E39:E41">
    <cfRule type="containsText" dxfId="493" priority="275" operator="containsText" text="B">
      <formula>NOT(ISERROR(SEARCH("B",E39)))</formula>
    </cfRule>
    <cfRule type="containsText" dxfId="492" priority="276" operator="containsText" text="TB">
      <formula>NOT(ISERROR(SEARCH("TB",E39)))</formula>
    </cfRule>
    <cfRule type="containsText" dxfId="491" priority="277" operator="containsText" text="T">
      <formula>NOT(ISERROR(SEARCH("T",E39)))</formula>
    </cfRule>
  </conditionalFormatting>
  <conditionalFormatting sqref="E39:E41">
    <cfRule type="containsText" dxfId="490" priority="274" operator="containsText" text="TB">
      <formula>NOT(ISERROR(SEARCH("TB",E39)))</formula>
    </cfRule>
  </conditionalFormatting>
  <conditionalFormatting sqref="E44:E46">
    <cfRule type="containsText" dxfId="489" priority="271" operator="containsText" text="B">
      <formula>NOT(ISERROR(SEARCH("B",E44)))</formula>
    </cfRule>
    <cfRule type="containsText" dxfId="488" priority="272" operator="containsText" text="TB">
      <formula>NOT(ISERROR(SEARCH("TB",E44)))</formula>
    </cfRule>
    <cfRule type="containsText" dxfId="487" priority="273" operator="containsText" text="T">
      <formula>NOT(ISERROR(SEARCH("T",E44)))</formula>
    </cfRule>
  </conditionalFormatting>
  <conditionalFormatting sqref="E44:E46">
    <cfRule type="containsText" dxfId="486" priority="270" operator="containsText" text="TB">
      <formula>NOT(ISERROR(SEARCH("TB",E44)))</formula>
    </cfRule>
  </conditionalFormatting>
  <conditionalFormatting sqref="E49:E50">
    <cfRule type="containsText" dxfId="485" priority="267" operator="containsText" text="B">
      <formula>NOT(ISERROR(SEARCH("B",E49)))</formula>
    </cfRule>
    <cfRule type="containsText" dxfId="484" priority="268" operator="containsText" text="TB">
      <formula>NOT(ISERROR(SEARCH("TB",E49)))</formula>
    </cfRule>
    <cfRule type="containsText" dxfId="483" priority="269" operator="containsText" text="T">
      <formula>NOT(ISERROR(SEARCH("T",E49)))</formula>
    </cfRule>
  </conditionalFormatting>
  <conditionalFormatting sqref="E49:E50">
    <cfRule type="containsText" dxfId="482" priority="266" operator="containsText" text="TB">
      <formula>NOT(ISERROR(SEARCH("TB",E49)))</formula>
    </cfRule>
  </conditionalFormatting>
  <conditionalFormatting sqref="E51:E53">
    <cfRule type="containsText" dxfId="481" priority="263" operator="containsText" text="B">
      <formula>NOT(ISERROR(SEARCH("B",E51)))</formula>
    </cfRule>
    <cfRule type="containsText" dxfId="480" priority="264" operator="containsText" text="TB">
      <formula>NOT(ISERROR(SEARCH("TB",E51)))</formula>
    </cfRule>
    <cfRule type="containsText" dxfId="479" priority="265" operator="containsText" text="T">
      <formula>NOT(ISERROR(SEARCH("T",E51)))</formula>
    </cfRule>
  </conditionalFormatting>
  <conditionalFormatting sqref="E51:E53">
    <cfRule type="containsText" dxfId="478" priority="262" operator="containsText" text="TB">
      <formula>NOT(ISERROR(SEARCH("TB",E51)))</formula>
    </cfRule>
  </conditionalFormatting>
  <conditionalFormatting sqref="D58">
    <cfRule type="containsText" dxfId="477" priority="259" operator="containsText" text="B">
      <formula>NOT(ISERROR(SEARCH("B",D58)))</formula>
    </cfRule>
    <cfRule type="containsText" dxfId="476" priority="260" operator="containsText" text="TB">
      <formula>NOT(ISERROR(SEARCH("TB",D58)))</formula>
    </cfRule>
    <cfRule type="containsText" dxfId="475" priority="261" operator="containsText" text="T">
      <formula>NOT(ISERROR(SEARCH("T",D58)))</formula>
    </cfRule>
  </conditionalFormatting>
  <conditionalFormatting sqref="D58">
    <cfRule type="containsText" dxfId="474" priority="258" operator="containsText" text="TB">
      <formula>NOT(ISERROR(SEARCH("TB",D58)))</formula>
    </cfRule>
  </conditionalFormatting>
  <conditionalFormatting sqref="D61">
    <cfRule type="containsText" dxfId="473" priority="255" operator="containsText" text="B">
      <formula>NOT(ISERROR(SEARCH("B",D61)))</formula>
    </cfRule>
    <cfRule type="containsText" dxfId="472" priority="256" operator="containsText" text="TB">
      <formula>NOT(ISERROR(SEARCH("TB",D61)))</formula>
    </cfRule>
    <cfRule type="containsText" dxfId="471" priority="257" operator="containsText" text="T">
      <formula>NOT(ISERROR(SEARCH("T",D61)))</formula>
    </cfRule>
  </conditionalFormatting>
  <conditionalFormatting sqref="D61">
    <cfRule type="containsText" dxfId="470" priority="254" operator="containsText" text="TB">
      <formula>NOT(ISERROR(SEARCH("TB",D61)))</formula>
    </cfRule>
  </conditionalFormatting>
  <conditionalFormatting sqref="D62">
    <cfRule type="containsText" dxfId="469" priority="251" operator="containsText" text="B">
      <formula>NOT(ISERROR(SEARCH("B",D62)))</formula>
    </cfRule>
    <cfRule type="containsText" dxfId="468" priority="252" operator="containsText" text="TB">
      <formula>NOT(ISERROR(SEARCH("TB",D62)))</formula>
    </cfRule>
    <cfRule type="containsText" dxfId="467" priority="253" operator="containsText" text="T">
      <formula>NOT(ISERROR(SEARCH("T",D62)))</formula>
    </cfRule>
  </conditionalFormatting>
  <conditionalFormatting sqref="D62">
    <cfRule type="containsText" dxfId="466" priority="250" operator="containsText" text="TB">
      <formula>NOT(ISERROR(SEARCH("TB",D62)))</formula>
    </cfRule>
  </conditionalFormatting>
  <conditionalFormatting sqref="D64:D65">
    <cfRule type="containsText" dxfId="465" priority="247" operator="containsText" text="B">
      <formula>NOT(ISERROR(SEARCH("B",D64)))</formula>
    </cfRule>
    <cfRule type="containsText" dxfId="464" priority="248" operator="containsText" text="TB">
      <formula>NOT(ISERROR(SEARCH("TB",D64)))</formula>
    </cfRule>
    <cfRule type="containsText" dxfId="463" priority="249" operator="containsText" text="T">
      <formula>NOT(ISERROR(SEARCH("T",D64)))</formula>
    </cfRule>
  </conditionalFormatting>
  <conditionalFormatting sqref="D64:D65">
    <cfRule type="containsText" dxfId="462" priority="246" operator="containsText" text="TB">
      <formula>NOT(ISERROR(SEARCH("TB",D64)))</formula>
    </cfRule>
  </conditionalFormatting>
  <conditionalFormatting sqref="D70">
    <cfRule type="containsText" dxfId="461" priority="243" operator="containsText" text="B">
      <formula>NOT(ISERROR(SEARCH("B",D70)))</formula>
    </cfRule>
    <cfRule type="containsText" dxfId="460" priority="244" operator="containsText" text="TB">
      <formula>NOT(ISERROR(SEARCH("TB",D70)))</formula>
    </cfRule>
    <cfRule type="containsText" dxfId="459" priority="245" operator="containsText" text="T">
      <formula>NOT(ISERROR(SEARCH("T",D70)))</formula>
    </cfRule>
  </conditionalFormatting>
  <conditionalFormatting sqref="D70">
    <cfRule type="containsText" dxfId="458" priority="242" operator="containsText" text="TB">
      <formula>NOT(ISERROR(SEARCH("TB",D70)))</formula>
    </cfRule>
  </conditionalFormatting>
  <conditionalFormatting sqref="D72">
    <cfRule type="containsText" dxfId="457" priority="239" operator="containsText" text="B">
      <formula>NOT(ISERROR(SEARCH("B",D72)))</formula>
    </cfRule>
    <cfRule type="containsText" dxfId="456" priority="240" operator="containsText" text="TB">
      <formula>NOT(ISERROR(SEARCH("TB",D72)))</formula>
    </cfRule>
    <cfRule type="containsText" dxfId="455" priority="241" operator="containsText" text="T">
      <formula>NOT(ISERROR(SEARCH("T",D72)))</formula>
    </cfRule>
  </conditionalFormatting>
  <conditionalFormatting sqref="D72">
    <cfRule type="containsText" dxfId="454" priority="238" operator="containsText" text="TB">
      <formula>NOT(ISERROR(SEARCH("TB",D72)))</formula>
    </cfRule>
  </conditionalFormatting>
  <conditionalFormatting sqref="D75">
    <cfRule type="containsText" dxfId="453" priority="235" operator="containsText" text="B">
      <formula>NOT(ISERROR(SEARCH("B",D75)))</formula>
    </cfRule>
    <cfRule type="containsText" dxfId="452" priority="236" operator="containsText" text="TB">
      <formula>NOT(ISERROR(SEARCH("TB",D75)))</formula>
    </cfRule>
    <cfRule type="containsText" dxfId="451" priority="237" operator="containsText" text="T">
      <formula>NOT(ISERROR(SEARCH("T",D75)))</formula>
    </cfRule>
  </conditionalFormatting>
  <conditionalFormatting sqref="D75">
    <cfRule type="containsText" dxfId="450" priority="234" operator="containsText" text="TB">
      <formula>NOT(ISERROR(SEARCH("TB",D75)))</formula>
    </cfRule>
  </conditionalFormatting>
  <conditionalFormatting sqref="D78:D79">
    <cfRule type="containsText" dxfId="449" priority="231" operator="containsText" text="B">
      <formula>NOT(ISERROR(SEARCH("B",D78)))</formula>
    </cfRule>
    <cfRule type="containsText" dxfId="448" priority="232" operator="containsText" text="TB">
      <formula>NOT(ISERROR(SEARCH("TB",D78)))</formula>
    </cfRule>
    <cfRule type="containsText" dxfId="447" priority="233" operator="containsText" text="T">
      <formula>NOT(ISERROR(SEARCH("T",D78)))</formula>
    </cfRule>
  </conditionalFormatting>
  <conditionalFormatting sqref="D78:D79">
    <cfRule type="containsText" dxfId="446" priority="230" operator="containsText" text="TB">
      <formula>NOT(ISERROR(SEARCH("TB",D78)))</formula>
    </cfRule>
  </conditionalFormatting>
  <conditionalFormatting sqref="E114:E115">
    <cfRule type="containsText" dxfId="445" priority="227" operator="containsText" text="B">
      <formula>NOT(ISERROR(SEARCH("B",E114)))</formula>
    </cfRule>
    <cfRule type="containsText" dxfId="444" priority="228" operator="containsText" text="TB">
      <formula>NOT(ISERROR(SEARCH("TB",E114)))</formula>
    </cfRule>
    <cfRule type="containsText" dxfId="443" priority="229" operator="containsText" text="T">
      <formula>NOT(ISERROR(SEARCH("T",E114)))</formula>
    </cfRule>
  </conditionalFormatting>
  <conditionalFormatting sqref="E114:E115">
    <cfRule type="containsText" dxfId="442" priority="226" operator="containsText" text="TB">
      <formula>NOT(ISERROR(SEARCH("TB",E114)))</formula>
    </cfRule>
  </conditionalFormatting>
  <conditionalFormatting sqref="E121">
    <cfRule type="containsText" dxfId="441" priority="223" operator="containsText" text="B">
      <formula>NOT(ISERROR(SEARCH("B",E121)))</formula>
    </cfRule>
    <cfRule type="containsText" dxfId="440" priority="224" operator="containsText" text="TB">
      <formula>NOT(ISERROR(SEARCH("TB",E121)))</formula>
    </cfRule>
    <cfRule type="containsText" dxfId="439" priority="225" operator="containsText" text="T">
      <formula>NOT(ISERROR(SEARCH("T",E121)))</formula>
    </cfRule>
  </conditionalFormatting>
  <conditionalFormatting sqref="E121">
    <cfRule type="containsText" dxfId="438" priority="222" operator="containsText" text="TB">
      <formula>NOT(ISERROR(SEARCH("TB",E121)))</formula>
    </cfRule>
  </conditionalFormatting>
  <conditionalFormatting sqref="E122">
    <cfRule type="containsText" dxfId="437" priority="219" operator="containsText" text="B">
      <formula>NOT(ISERROR(SEARCH("B",E122)))</formula>
    </cfRule>
    <cfRule type="containsText" dxfId="436" priority="220" operator="containsText" text="TB">
      <formula>NOT(ISERROR(SEARCH("TB",E122)))</formula>
    </cfRule>
    <cfRule type="containsText" dxfId="435" priority="221" operator="containsText" text="T">
      <formula>NOT(ISERROR(SEARCH("T",E122)))</formula>
    </cfRule>
  </conditionalFormatting>
  <conditionalFormatting sqref="E122">
    <cfRule type="containsText" dxfId="434" priority="218" operator="containsText" text="TB">
      <formula>NOT(ISERROR(SEARCH("TB",E122)))</formula>
    </cfRule>
  </conditionalFormatting>
  <conditionalFormatting sqref="E126:E127">
    <cfRule type="containsText" dxfId="433" priority="215" operator="containsText" text="B">
      <formula>NOT(ISERROR(SEARCH("B",E126)))</formula>
    </cfRule>
    <cfRule type="containsText" dxfId="432" priority="216" operator="containsText" text="TB">
      <formula>NOT(ISERROR(SEARCH("TB",E126)))</formula>
    </cfRule>
    <cfRule type="containsText" dxfId="431" priority="217" operator="containsText" text="T">
      <formula>NOT(ISERROR(SEARCH("T",E126)))</formula>
    </cfRule>
  </conditionalFormatting>
  <conditionalFormatting sqref="E126:E127">
    <cfRule type="containsText" dxfId="430" priority="214" operator="containsText" text="TB">
      <formula>NOT(ISERROR(SEARCH("TB",E126)))</formula>
    </cfRule>
  </conditionalFormatting>
  <conditionalFormatting sqref="E130">
    <cfRule type="containsText" dxfId="429" priority="211" operator="containsText" text="B">
      <formula>NOT(ISERROR(SEARCH("B",E130)))</formula>
    </cfRule>
    <cfRule type="containsText" dxfId="428" priority="212" operator="containsText" text="TB">
      <formula>NOT(ISERROR(SEARCH("TB",E130)))</formula>
    </cfRule>
    <cfRule type="containsText" dxfId="427" priority="213" operator="containsText" text="T">
      <formula>NOT(ISERROR(SEARCH("T",E130)))</formula>
    </cfRule>
  </conditionalFormatting>
  <conditionalFormatting sqref="E130">
    <cfRule type="containsText" dxfId="426" priority="210" operator="containsText" text="TB">
      <formula>NOT(ISERROR(SEARCH("TB",E130)))</formula>
    </cfRule>
  </conditionalFormatting>
  <conditionalFormatting sqref="D66:D67">
    <cfRule type="containsText" dxfId="425" priority="207" operator="containsText" text="B">
      <formula>NOT(ISERROR(SEARCH("B",D66)))</formula>
    </cfRule>
    <cfRule type="containsText" dxfId="424" priority="208" operator="containsText" text="TB">
      <formula>NOT(ISERROR(SEARCH("TB",D66)))</formula>
    </cfRule>
    <cfRule type="containsText" dxfId="423" priority="209" operator="containsText" text="T">
      <formula>NOT(ISERROR(SEARCH("T",D66)))</formula>
    </cfRule>
  </conditionalFormatting>
  <conditionalFormatting sqref="D66:D67">
    <cfRule type="containsText" dxfId="422" priority="206" operator="containsText" text="TB">
      <formula>NOT(ISERROR(SEARCH("TB",D66)))</formula>
    </cfRule>
  </conditionalFormatting>
  <conditionalFormatting sqref="D71">
    <cfRule type="containsText" dxfId="421" priority="203" operator="containsText" text="B">
      <formula>NOT(ISERROR(SEARCH("B",D71)))</formula>
    </cfRule>
    <cfRule type="containsText" dxfId="420" priority="204" operator="containsText" text="TB">
      <formula>NOT(ISERROR(SEARCH("TB",D71)))</formula>
    </cfRule>
    <cfRule type="containsText" dxfId="419" priority="205" operator="containsText" text="T">
      <formula>NOT(ISERROR(SEARCH("T",D71)))</formula>
    </cfRule>
  </conditionalFormatting>
  <conditionalFormatting sqref="D71">
    <cfRule type="containsText" dxfId="418" priority="202" operator="containsText" text="TB">
      <formula>NOT(ISERROR(SEARCH("TB",D71)))</formula>
    </cfRule>
  </conditionalFormatting>
  <conditionalFormatting sqref="D73">
    <cfRule type="containsText" dxfId="417" priority="199" operator="containsText" text="B">
      <formula>NOT(ISERROR(SEARCH("B",D73)))</formula>
    </cfRule>
    <cfRule type="containsText" dxfId="416" priority="200" operator="containsText" text="TB">
      <formula>NOT(ISERROR(SEARCH("TB",D73)))</formula>
    </cfRule>
    <cfRule type="containsText" dxfId="415" priority="201" operator="containsText" text="T">
      <formula>NOT(ISERROR(SEARCH("T",D73)))</formula>
    </cfRule>
  </conditionalFormatting>
  <conditionalFormatting sqref="D73">
    <cfRule type="containsText" dxfId="414" priority="198" operator="containsText" text="TB">
      <formula>NOT(ISERROR(SEARCH("TB",D73)))</formula>
    </cfRule>
  </conditionalFormatting>
  <conditionalFormatting sqref="D74">
    <cfRule type="containsText" dxfId="413" priority="195" operator="containsText" text="B">
      <formula>NOT(ISERROR(SEARCH("B",D74)))</formula>
    </cfRule>
    <cfRule type="containsText" dxfId="412" priority="196" operator="containsText" text="TB">
      <formula>NOT(ISERROR(SEARCH("TB",D74)))</formula>
    </cfRule>
    <cfRule type="containsText" dxfId="411" priority="197" operator="containsText" text="T">
      <formula>NOT(ISERROR(SEARCH("T",D74)))</formula>
    </cfRule>
  </conditionalFormatting>
  <conditionalFormatting sqref="D74">
    <cfRule type="containsText" dxfId="410" priority="194" operator="containsText" text="TB">
      <formula>NOT(ISERROR(SEARCH("TB",D74)))</formula>
    </cfRule>
  </conditionalFormatting>
  <conditionalFormatting sqref="E118:E119">
    <cfRule type="containsText" dxfId="409" priority="191" operator="containsText" text="B">
      <formula>NOT(ISERROR(SEARCH("B",E118)))</formula>
    </cfRule>
    <cfRule type="containsText" dxfId="408" priority="192" operator="containsText" text="TB">
      <formula>NOT(ISERROR(SEARCH("TB",E118)))</formula>
    </cfRule>
    <cfRule type="containsText" dxfId="407" priority="193" operator="containsText" text="T">
      <formula>NOT(ISERROR(SEARCH("T",E118)))</formula>
    </cfRule>
  </conditionalFormatting>
  <conditionalFormatting sqref="E118:E119">
    <cfRule type="containsText" dxfId="406" priority="190" operator="containsText" text="TB">
      <formula>NOT(ISERROR(SEARCH("TB",E118)))</formula>
    </cfRule>
  </conditionalFormatting>
  <conditionalFormatting sqref="E135">
    <cfRule type="containsText" dxfId="405" priority="187" operator="containsText" text="B">
      <formula>NOT(ISERROR(SEARCH("B",E135)))</formula>
    </cfRule>
    <cfRule type="containsText" dxfId="404" priority="188" operator="containsText" text="TB">
      <formula>NOT(ISERROR(SEARCH("TB",E135)))</formula>
    </cfRule>
    <cfRule type="containsText" dxfId="403" priority="189" operator="containsText" text="T">
      <formula>NOT(ISERROR(SEARCH("T",E135)))</formula>
    </cfRule>
  </conditionalFormatting>
  <conditionalFormatting sqref="E135">
    <cfRule type="containsText" dxfId="402" priority="186" operator="containsText" text="TB">
      <formula>NOT(ISERROR(SEARCH("TB",E135)))</formula>
    </cfRule>
  </conditionalFormatting>
  <conditionalFormatting sqref="D149:AH149">
    <cfRule type="containsText" dxfId="401" priority="185" operator="containsText" text="TB">
      <formula>NOT(ISERROR(SEARCH("TB",D149)))</formula>
    </cfRule>
  </conditionalFormatting>
  <conditionalFormatting sqref="D82 D85 O86:AH87 D88:D90 P88:AH89 D93:D94 O91:AH92 D96:D99 O95:AH95 L83:AH84 D113:AH113 D101:D112 F101:AH112 F96:AH99 F93:AH94 F90:AH90 F85:AH85 F82:AH82">
    <cfRule type="containsText" dxfId="400" priority="182" operator="containsText" text="B">
      <formula>NOT(ISERROR(SEARCH("B",D82)))</formula>
    </cfRule>
    <cfRule type="containsText" dxfId="399" priority="183" operator="containsText" text="TB">
      <formula>NOT(ISERROR(SEARCH("TB",D82)))</formula>
    </cfRule>
    <cfRule type="containsText" dxfId="398" priority="184" operator="containsText" text="T">
      <formula>NOT(ISERROR(SEARCH("T",D82)))</formula>
    </cfRule>
  </conditionalFormatting>
  <conditionalFormatting sqref="D82 D85 O86:AH87 D88:D90 P88:AH89 D93:D94 O91:AH92 D96:D99 O95:AH95 L83:AH84 D101:D112 F101:AH112 F96:AH99 F93:AH94 F90:AH90 F85:AH85 F82:AH82 D113:AH113">
    <cfRule type="containsText" dxfId="397" priority="181" operator="containsText" text="TB">
      <formula>NOT(ISERROR(SEARCH("TB",D82)))</formula>
    </cfRule>
  </conditionalFormatting>
  <conditionalFormatting sqref="D86 F86:N86">
    <cfRule type="containsText" dxfId="396" priority="178" operator="containsText" text="B">
      <formula>NOT(ISERROR(SEARCH("B",D86)))</formula>
    </cfRule>
    <cfRule type="containsText" dxfId="395" priority="179" operator="containsText" text="TB">
      <formula>NOT(ISERROR(SEARCH("TB",D86)))</formula>
    </cfRule>
    <cfRule type="containsText" dxfId="394" priority="180" operator="containsText" text="T">
      <formula>NOT(ISERROR(SEARCH("T",D86)))</formula>
    </cfRule>
  </conditionalFormatting>
  <conditionalFormatting sqref="D86 F86:N86">
    <cfRule type="containsText" dxfId="393" priority="177" operator="containsText" text="TB">
      <formula>NOT(ISERROR(SEARCH("TB",D86)))</formula>
    </cfRule>
  </conditionalFormatting>
  <conditionalFormatting sqref="D87 F87:N87">
    <cfRule type="containsText" dxfId="392" priority="174" operator="containsText" text="B">
      <formula>NOT(ISERROR(SEARCH("B",D87)))</formula>
    </cfRule>
    <cfRule type="containsText" dxfId="391" priority="175" operator="containsText" text="TB">
      <formula>NOT(ISERROR(SEARCH("TB",D87)))</formula>
    </cfRule>
    <cfRule type="containsText" dxfId="390" priority="176" operator="containsText" text="T">
      <formula>NOT(ISERROR(SEARCH("T",D87)))</formula>
    </cfRule>
  </conditionalFormatting>
  <conditionalFormatting sqref="D87 F87:N87">
    <cfRule type="containsText" dxfId="389" priority="173" operator="containsText" text="TB">
      <formula>NOT(ISERROR(SEARCH("TB",D87)))</formula>
    </cfRule>
  </conditionalFormatting>
  <conditionalFormatting sqref="F88:O89">
    <cfRule type="containsText" dxfId="388" priority="170" operator="containsText" text="B">
      <formula>NOT(ISERROR(SEARCH("B",F88)))</formula>
    </cfRule>
    <cfRule type="containsText" dxfId="387" priority="171" operator="containsText" text="TB">
      <formula>NOT(ISERROR(SEARCH("TB",F88)))</formula>
    </cfRule>
    <cfRule type="containsText" dxfId="386" priority="172" operator="containsText" text="T">
      <formula>NOT(ISERROR(SEARCH("T",F88)))</formula>
    </cfRule>
  </conditionalFormatting>
  <conditionalFormatting sqref="F88:O89">
    <cfRule type="containsText" dxfId="385" priority="169" operator="containsText" text="TB">
      <formula>NOT(ISERROR(SEARCH("TB",F88)))</formula>
    </cfRule>
  </conditionalFormatting>
  <conditionalFormatting sqref="D91:D92 F91:N92">
    <cfRule type="containsText" dxfId="384" priority="166" operator="containsText" text="B">
      <formula>NOT(ISERROR(SEARCH("B",D91)))</formula>
    </cfRule>
    <cfRule type="containsText" dxfId="383" priority="167" operator="containsText" text="TB">
      <formula>NOT(ISERROR(SEARCH("TB",D91)))</formula>
    </cfRule>
    <cfRule type="containsText" dxfId="382" priority="168" operator="containsText" text="T">
      <formula>NOT(ISERROR(SEARCH("T",D91)))</formula>
    </cfRule>
  </conditionalFormatting>
  <conditionalFormatting sqref="D91:D92 F91:N92">
    <cfRule type="containsText" dxfId="381" priority="165" operator="containsText" text="TB">
      <formula>NOT(ISERROR(SEARCH("TB",D91)))</formula>
    </cfRule>
  </conditionalFormatting>
  <conditionalFormatting sqref="D95 F95:N95">
    <cfRule type="containsText" dxfId="380" priority="162" operator="containsText" text="B">
      <formula>NOT(ISERROR(SEARCH("B",D95)))</formula>
    </cfRule>
    <cfRule type="containsText" dxfId="379" priority="163" operator="containsText" text="TB">
      <formula>NOT(ISERROR(SEARCH("TB",D95)))</formula>
    </cfRule>
    <cfRule type="containsText" dxfId="378" priority="164" operator="containsText" text="T">
      <formula>NOT(ISERROR(SEARCH("T",D95)))</formula>
    </cfRule>
  </conditionalFormatting>
  <conditionalFormatting sqref="D95 F95:N95">
    <cfRule type="containsText" dxfId="377" priority="161" operator="containsText" text="TB">
      <formula>NOT(ISERROR(SEARCH("TB",D95)))</formula>
    </cfRule>
  </conditionalFormatting>
  <conditionalFormatting sqref="D83:D84 F83:K84">
    <cfRule type="containsText" dxfId="376" priority="158" operator="containsText" text="B">
      <formula>NOT(ISERROR(SEARCH("B",D83)))</formula>
    </cfRule>
    <cfRule type="containsText" dxfId="375" priority="159" operator="containsText" text="TB">
      <formula>NOT(ISERROR(SEARCH("TB",D83)))</formula>
    </cfRule>
    <cfRule type="containsText" dxfId="374" priority="160" operator="containsText" text="T">
      <formula>NOT(ISERROR(SEARCH("T",D83)))</formula>
    </cfRule>
  </conditionalFormatting>
  <conditionalFormatting sqref="D83:D84 F83:K84">
    <cfRule type="containsText" dxfId="373" priority="157" operator="containsText" text="TB">
      <formula>NOT(ISERROR(SEARCH("TB",D83)))</formula>
    </cfRule>
  </conditionalFormatting>
  <conditionalFormatting sqref="D100 F100:AH100">
    <cfRule type="containsText" dxfId="372" priority="154" operator="containsText" text="B">
      <formula>NOT(ISERROR(SEARCH("B",D100)))</formula>
    </cfRule>
    <cfRule type="containsText" dxfId="371" priority="155" operator="containsText" text="TB">
      <formula>NOT(ISERROR(SEARCH("TB",D100)))</formula>
    </cfRule>
    <cfRule type="containsText" dxfId="370" priority="156" operator="containsText" text="T">
      <formula>NOT(ISERROR(SEARCH("T",D100)))</formula>
    </cfRule>
  </conditionalFormatting>
  <conditionalFormatting sqref="D100 F100:AH100">
    <cfRule type="containsText" dxfId="369" priority="153" operator="containsText" text="TB">
      <formula>NOT(ISERROR(SEARCH("TB",D100)))</formula>
    </cfRule>
  </conditionalFormatting>
  <conditionalFormatting sqref="E82 E85 E88:E90 E93:E94 E96:E99 E101:E112">
    <cfRule type="containsText" dxfId="368" priority="150" operator="containsText" text="B">
      <formula>NOT(ISERROR(SEARCH("B",E82)))</formula>
    </cfRule>
    <cfRule type="containsText" dxfId="367" priority="151" operator="containsText" text="TB">
      <formula>NOT(ISERROR(SEARCH("TB",E82)))</formula>
    </cfRule>
    <cfRule type="containsText" dxfId="366" priority="152" operator="containsText" text="T">
      <formula>NOT(ISERROR(SEARCH("T",E82)))</formula>
    </cfRule>
  </conditionalFormatting>
  <conditionalFormatting sqref="E82 E85 E88:E90 E93:E94 E96:E99 E101:E112">
    <cfRule type="containsText" dxfId="365" priority="149" operator="containsText" text="TB">
      <formula>NOT(ISERROR(SEARCH("TB",E82)))</formula>
    </cfRule>
  </conditionalFormatting>
  <conditionalFormatting sqref="E86">
    <cfRule type="containsText" dxfId="364" priority="146" operator="containsText" text="B">
      <formula>NOT(ISERROR(SEARCH("B",E86)))</formula>
    </cfRule>
    <cfRule type="containsText" dxfId="363" priority="147" operator="containsText" text="TB">
      <formula>NOT(ISERROR(SEARCH("TB",E86)))</formula>
    </cfRule>
    <cfRule type="containsText" dxfId="362" priority="148" operator="containsText" text="T">
      <formula>NOT(ISERROR(SEARCH("T",E86)))</formula>
    </cfRule>
  </conditionalFormatting>
  <conditionalFormatting sqref="E86">
    <cfRule type="containsText" dxfId="361" priority="145" operator="containsText" text="TB">
      <formula>NOT(ISERROR(SEARCH("TB",E86)))</formula>
    </cfRule>
  </conditionalFormatting>
  <conditionalFormatting sqref="E87">
    <cfRule type="containsText" dxfId="360" priority="142" operator="containsText" text="B">
      <formula>NOT(ISERROR(SEARCH("B",E87)))</formula>
    </cfRule>
    <cfRule type="containsText" dxfId="359" priority="143" operator="containsText" text="TB">
      <formula>NOT(ISERROR(SEARCH("TB",E87)))</formula>
    </cfRule>
    <cfRule type="containsText" dxfId="358" priority="144" operator="containsText" text="T">
      <formula>NOT(ISERROR(SEARCH("T",E87)))</formula>
    </cfRule>
  </conditionalFormatting>
  <conditionalFormatting sqref="E87">
    <cfRule type="containsText" dxfId="357" priority="141" operator="containsText" text="TB">
      <formula>NOT(ISERROR(SEARCH("TB",E87)))</formula>
    </cfRule>
  </conditionalFormatting>
  <conditionalFormatting sqref="E91:E92">
    <cfRule type="containsText" dxfId="356" priority="138" operator="containsText" text="B">
      <formula>NOT(ISERROR(SEARCH("B",E91)))</formula>
    </cfRule>
    <cfRule type="containsText" dxfId="355" priority="139" operator="containsText" text="TB">
      <formula>NOT(ISERROR(SEARCH("TB",E91)))</formula>
    </cfRule>
    <cfRule type="containsText" dxfId="354" priority="140" operator="containsText" text="T">
      <formula>NOT(ISERROR(SEARCH("T",E91)))</formula>
    </cfRule>
  </conditionalFormatting>
  <conditionalFormatting sqref="E91:E92">
    <cfRule type="containsText" dxfId="353" priority="137" operator="containsText" text="TB">
      <formula>NOT(ISERROR(SEARCH("TB",E91)))</formula>
    </cfRule>
  </conditionalFormatting>
  <conditionalFormatting sqref="E95">
    <cfRule type="containsText" dxfId="352" priority="134" operator="containsText" text="B">
      <formula>NOT(ISERROR(SEARCH("B",E95)))</formula>
    </cfRule>
    <cfRule type="containsText" dxfId="351" priority="135" operator="containsText" text="TB">
      <formula>NOT(ISERROR(SEARCH("TB",E95)))</formula>
    </cfRule>
    <cfRule type="containsText" dxfId="350" priority="136" operator="containsText" text="T">
      <formula>NOT(ISERROR(SEARCH("T",E95)))</formula>
    </cfRule>
  </conditionalFormatting>
  <conditionalFormatting sqref="E95">
    <cfRule type="containsText" dxfId="349" priority="133" operator="containsText" text="TB">
      <formula>NOT(ISERROR(SEARCH("TB",E95)))</formula>
    </cfRule>
  </conditionalFormatting>
  <conditionalFormatting sqref="E83:E84">
    <cfRule type="containsText" dxfId="348" priority="130" operator="containsText" text="B">
      <formula>NOT(ISERROR(SEARCH("B",E83)))</formula>
    </cfRule>
    <cfRule type="containsText" dxfId="347" priority="131" operator="containsText" text="TB">
      <formula>NOT(ISERROR(SEARCH("TB",E83)))</formula>
    </cfRule>
    <cfRule type="containsText" dxfId="346" priority="132" operator="containsText" text="T">
      <formula>NOT(ISERROR(SEARCH("T",E83)))</formula>
    </cfRule>
  </conditionalFormatting>
  <conditionalFormatting sqref="E83:E84">
    <cfRule type="containsText" dxfId="345" priority="129" operator="containsText" text="TB">
      <formula>NOT(ISERROR(SEARCH("TB",E83)))</formula>
    </cfRule>
  </conditionalFormatting>
  <conditionalFormatting sqref="E100">
    <cfRule type="containsText" dxfId="344" priority="126" operator="containsText" text="B">
      <formula>NOT(ISERROR(SEARCH("B",E100)))</formula>
    </cfRule>
    <cfRule type="containsText" dxfId="343" priority="127" operator="containsText" text="TB">
      <formula>NOT(ISERROR(SEARCH("TB",E100)))</formula>
    </cfRule>
    <cfRule type="containsText" dxfId="342" priority="128" operator="containsText" text="T">
      <formula>NOT(ISERROR(SEARCH("T",E100)))</formula>
    </cfRule>
  </conditionalFormatting>
  <conditionalFormatting sqref="E100">
    <cfRule type="containsText" dxfId="341" priority="125" operator="containsText" text="TB">
      <formula>NOT(ISERROR(SEARCH("TB",E100)))</formula>
    </cfRule>
  </conditionalFormatting>
  <conditionalFormatting sqref="C81:C131 C7:C55">
    <cfRule type="expression" dxfId="340" priority="122">
      <formula>AND($AL7&gt;0,$X7&gt;89)</formula>
    </cfRule>
    <cfRule type="expression" dxfId="339" priority="123">
      <formula>AND($AL7&gt;0,$X7&gt;59)</formula>
    </cfRule>
    <cfRule type="expression" dxfId="338" priority="124">
      <formula>AND($AL7&gt;0,$X7&gt;44)</formula>
    </cfRule>
  </conditionalFormatting>
  <conditionalFormatting sqref="AE22">
    <cfRule type="containsText" dxfId="337" priority="119" operator="containsText" text="B">
      <formula>NOT(ISERROR(SEARCH("B",AE22)))</formula>
    </cfRule>
    <cfRule type="containsText" dxfId="336" priority="120" operator="containsText" text="TB">
      <formula>NOT(ISERROR(SEARCH("TB",AE22)))</formula>
    </cfRule>
    <cfRule type="containsText" dxfId="335" priority="121" operator="containsText" text="T">
      <formula>NOT(ISERROR(SEARCH("T",AE22)))</formula>
    </cfRule>
  </conditionalFormatting>
  <conditionalFormatting sqref="AE22">
    <cfRule type="containsText" dxfId="334" priority="118" operator="containsText" text="TB">
      <formula>NOT(ISERROR(SEARCH("TB",AE22)))</formula>
    </cfRule>
  </conditionalFormatting>
  <conditionalFormatting sqref="C161">
    <cfRule type="expression" dxfId="333" priority="115">
      <formula>AND($AK161&gt;0,$W161&gt;89)</formula>
    </cfRule>
    <cfRule type="expression" dxfId="332" priority="116">
      <formula>AND($AK161&gt;0,$W161&gt;59)</formula>
    </cfRule>
    <cfRule type="expression" dxfId="331" priority="117">
      <formula>AND($AK161&gt;0,$W161&gt;44)</formula>
    </cfRule>
  </conditionalFormatting>
  <conditionalFormatting sqref="B56:B80">
    <cfRule type="expression" dxfId="330" priority="478">
      <formula>AND($AK56&gt;0,$W56&gt;89)</formula>
    </cfRule>
    <cfRule type="expression" dxfId="329" priority="479">
      <formula>AND($AK56&gt;0,$W56&gt;59)</formula>
    </cfRule>
    <cfRule type="expression" dxfId="328" priority="480">
      <formula>AND($AK56&gt;0,$W56&gt;44)</formula>
    </cfRule>
  </conditionalFormatting>
  <conditionalFormatting sqref="C162">
    <cfRule type="expression" dxfId="327" priority="112">
      <formula>AND($AK162&gt;0,$W162&gt;89)</formula>
    </cfRule>
    <cfRule type="expression" dxfId="326" priority="113">
      <formula>AND($AK162&gt;0,$W162&gt;59)</formula>
    </cfRule>
    <cfRule type="expression" dxfId="325" priority="114">
      <formula>AND($AK162&gt;0,$W162&gt;44)</formula>
    </cfRule>
  </conditionalFormatting>
  <conditionalFormatting sqref="C163">
    <cfRule type="expression" dxfId="324" priority="109">
      <formula>AND($AK163&gt;0,$W163&gt;89)</formula>
    </cfRule>
    <cfRule type="expression" dxfId="323" priority="110">
      <formula>AND($AK163&gt;0,$W163&gt;59)</formula>
    </cfRule>
    <cfRule type="expression" dxfId="322" priority="111">
      <formula>AND($AK163&gt;0,$W163&gt;44)</formula>
    </cfRule>
  </conditionalFormatting>
  <conditionalFormatting sqref="C164">
    <cfRule type="expression" dxfId="321" priority="106">
      <formula>AND($AK164&gt;0,$W164&gt;89)</formula>
    </cfRule>
    <cfRule type="expression" dxfId="320" priority="107">
      <formula>AND($AK164&gt;0,$W164&gt;59)</formula>
    </cfRule>
    <cfRule type="expression" dxfId="319" priority="108">
      <formula>AND($AK164&gt;0,$W164&gt;44)</formula>
    </cfRule>
  </conditionalFormatting>
  <conditionalFormatting sqref="C165">
    <cfRule type="expression" dxfId="318" priority="103">
      <formula>AND($AK165&gt;0,$W165&gt;89)</formula>
    </cfRule>
    <cfRule type="expression" dxfId="317" priority="104">
      <formula>AND($AK165&gt;0,$W165&gt;59)</formula>
    </cfRule>
    <cfRule type="expression" dxfId="316" priority="105">
      <formula>AND($AK165&gt;0,$W165&gt;44)</formula>
    </cfRule>
  </conditionalFormatting>
  <conditionalFormatting sqref="C166">
    <cfRule type="expression" dxfId="315" priority="100">
      <formula>AND($AK166&gt;0,$W166&gt;89)</formula>
    </cfRule>
    <cfRule type="expression" dxfId="314" priority="101">
      <formula>AND($AK166&gt;0,$W166&gt;59)</formula>
    </cfRule>
    <cfRule type="expression" dxfId="313" priority="102">
      <formula>AND($AK166&gt;0,$W166&gt;44)</formula>
    </cfRule>
  </conditionalFormatting>
  <conditionalFormatting sqref="C167">
    <cfRule type="expression" dxfId="312" priority="97">
      <formula>AND($AK167&gt;0,$W167&gt;89)</formula>
    </cfRule>
    <cfRule type="expression" dxfId="311" priority="98">
      <formula>AND($AK167&gt;0,$W167&gt;59)</formula>
    </cfRule>
    <cfRule type="expression" dxfId="310" priority="99">
      <formula>AND($AK167&gt;0,$W167&gt;44)</formula>
    </cfRule>
  </conditionalFormatting>
  <conditionalFormatting sqref="C168">
    <cfRule type="expression" dxfId="309" priority="94">
      <formula>AND($AK168&gt;0,$W168&gt;89)</formula>
    </cfRule>
    <cfRule type="expression" dxfId="308" priority="95">
      <formula>AND($AK168&gt;0,$W168&gt;59)</formula>
    </cfRule>
    <cfRule type="expression" dxfId="307" priority="96">
      <formula>AND($AK168&gt;0,$W168&gt;44)</formula>
    </cfRule>
  </conditionalFormatting>
  <conditionalFormatting sqref="C169">
    <cfRule type="expression" dxfId="306" priority="91">
      <formula>AND($AK169&gt;0,$W169&gt;89)</formula>
    </cfRule>
    <cfRule type="expression" dxfId="305" priority="92">
      <formula>AND($AK169&gt;0,$W169&gt;59)</formula>
    </cfRule>
    <cfRule type="expression" dxfId="304" priority="93">
      <formula>AND($AK169&gt;0,$W169&gt;44)</formula>
    </cfRule>
  </conditionalFormatting>
  <conditionalFormatting sqref="C170">
    <cfRule type="expression" dxfId="303" priority="88">
      <formula>AND($AK170&gt;0,$W170&gt;89)</formula>
    </cfRule>
    <cfRule type="expression" dxfId="302" priority="89">
      <formula>AND($AK170&gt;0,$W170&gt;59)</formula>
    </cfRule>
    <cfRule type="expression" dxfId="301" priority="90">
      <formula>AND($AK170&gt;0,$W170&gt;44)</formula>
    </cfRule>
  </conditionalFormatting>
  <conditionalFormatting sqref="C171">
    <cfRule type="expression" dxfId="300" priority="85">
      <formula>AND($AK171&gt;0,$W171&gt;89)</formula>
    </cfRule>
    <cfRule type="expression" dxfId="299" priority="86">
      <formula>AND($AK171&gt;0,$W171&gt;59)</formula>
    </cfRule>
    <cfRule type="expression" dxfId="298" priority="87">
      <formula>AND($AK171&gt;0,$W171&gt;44)</formula>
    </cfRule>
  </conditionalFormatting>
  <conditionalFormatting sqref="C172">
    <cfRule type="expression" dxfId="297" priority="82">
      <formula>AND($AK172&gt;0,$W172&gt;89)</formula>
    </cfRule>
    <cfRule type="expression" dxfId="296" priority="83">
      <formula>AND($AK172&gt;0,$W172&gt;59)</formula>
    </cfRule>
    <cfRule type="expression" dxfId="295" priority="84">
      <formula>AND($AK172&gt;0,$W172&gt;44)</formula>
    </cfRule>
  </conditionalFormatting>
  <conditionalFormatting sqref="C173">
    <cfRule type="expression" dxfId="294" priority="79">
      <formula>AND($AK173&gt;0,$W173&gt;89)</formula>
    </cfRule>
    <cfRule type="expression" dxfId="293" priority="80">
      <formula>AND($AK173&gt;0,$W173&gt;59)</formula>
    </cfRule>
    <cfRule type="expression" dxfId="292" priority="81">
      <formula>AND($AK173&gt;0,$W173&gt;44)</formula>
    </cfRule>
  </conditionalFormatting>
  <conditionalFormatting sqref="C174">
    <cfRule type="expression" dxfId="291" priority="76">
      <formula>AND($AK174&gt;0,$W174&gt;89)</formula>
    </cfRule>
    <cfRule type="expression" dxfId="290" priority="77">
      <formula>AND($AK174&gt;0,$W174&gt;59)</formula>
    </cfRule>
    <cfRule type="expression" dxfId="289" priority="78">
      <formula>AND($AK174&gt;0,$W174&gt;44)</formula>
    </cfRule>
  </conditionalFormatting>
  <conditionalFormatting sqref="C175">
    <cfRule type="expression" dxfId="288" priority="73">
      <formula>AND($AK175&gt;0,$W175&gt;89)</formula>
    </cfRule>
    <cfRule type="expression" dxfId="287" priority="74">
      <formula>AND($AK175&gt;0,$W175&gt;59)</formula>
    </cfRule>
    <cfRule type="expression" dxfId="286" priority="75">
      <formula>AND($AK175&gt;0,$W175&gt;44)</formula>
    </cfRule>
  </conditionalFormatting>
  <conditionalFormatting sqref="C176">
    <cfRule type="expression" dxfId="285" priority="70">
      <formula>AND($AK176&gt;0,$W176&gt;89)</formula>
    </cfRule>
    <cfRule type="expression" dxfId="284" priority="71">
      <formula>AND($AK176&gt;0,$W176&gt;59)</formula>
    </cfRule>
    <cfRule type="expression" dxfId="283" priority="72">
      <formula>AND($AK176&gt;0,$W176&gt;44)</formula>
    </cfRule>
  </conditionalFormatting>
  <conditionalFormatting sqref="C177">
    <cfRule type="expression" dxfId="282" priority="67">
      <formula>AND($AK177&gt;0,$W177&gt;89)</formula>
    </cfRule>
    <cfRule type="expression" dxfId="281" priority="68">
      <formula>AND($AK177&gt;0,$W177&gt;59)</formula>
    </cfRule>
    <cfRule type="expression" dxfId="280" priority="69">
      <formula>AND($AK177&gt;0,$W177&gt;44)</formula>
    </cfRule>
  </conditionalFormatting>
  <conditionalFormatting sqref="C178">
    <cfRule type="expression" dxfId="279" priority="64">
      <formula>AND($AK178&gt;0,$W178&gt;89)</formula>
    </cfRule>
    <cfRule type="expression" dxfId="278" priority="65">
      <formula>AND($AK178&gt;0,$W178&gt;59)</formula>
    </cfRule>
    <cfRule type="expression" dxfId="277" priority="66">
      <formula>AND($AK178&gt;0,$W178&gt;44)</formula>
    </cfRule>
  </conditionalFormatting>
  <conditionalFormatting sqref="C179">
    <cfRule type="expression" dxfId="276" priority="61">
      <formula>AND($AK179&gt;0,$W179&gt;89)</formula>
    </cfRule>
    <cfRule type="expression" dxfId="275" priority="62">
      <formula>AND($AK179&gt;0,$W179&gt;59)</formula>
    </cfRule>
    <cfRule type="expression" dxfId="274" priority="63">
      <formula>AND($AK179&gt;0,$W179&gt;44)</formula>
    </cfRule>
  </conditionalFormatting>
  <conditionalFormatting sqref="C180">
    <cfRule type="expression" dxfId="273" priority="58">
      <formula>AND($AK180&gt;0,$W180&gt;89)</formula>
    </cfRule>
    <cfRule type="expression" dxfId="272" priority="59">
      <formula>AND($AK180&gt;0,$W180&gt;59)</formula>
    </cfRule>
    <cfRule type="expression" dxfId="271" priority="60">
      <formula>AND($AK180&gt;0,$W180&gt;44)</formula>
    </cfRule>
  </conditionalFormatting>
  <conditionalFormatting sqref="C181">
    <cfRule type="expression" dxfId="270" priority="55">
      <formula>AND($AK181&gt;0,$W181&gt;89)</formula>
    </cfRule>
    <cfRule type="expression" dxfId="269" priority="56">
      <formula>AND($AK181&gt;0,$W181&gt;59)</formula>
    </cfRule>
    <cfRule type="expression" dxfId="268" priority="57">
      <formula>AND($AK181&gt;0,$W181&gt;44)</formula>
    </cfRule>
  </conditionalFormatting>
  <conditionalFormatting sqref="C182">
    <cfRule type="expression" dxfId="267" priority="52">
      <formula>AND($AK182&gt;0,$W182&gt;89)</formula>
    </cfRule>
    <cfRule type="expression" dxfId="266" priority="53">
      <formula>AND($AK182&gt;0,$W182&gt;59)</formula>
    </cfRule>
    <cfRule type="expression" dxfId="265" priority="54">
      <formula>AND($AK182&gt;0,$W182&gt;44)</formula>
    </cfRule>
  </conditionalFormatting>
  <conditionalFormatting sqref="C183">
    <cfRule type="expression" dxfId="264" priority="49">
      <formula>AND($AK183&gt;0,$W183&gt;89)</formula>
    </cfRule>
    <cfRule type="expression" dxfId="263" priority="50">
      <formula>AND($AK183&gt;0,$W183&gt;59)</formula>
    </cfRule>
    <cfRule type="expression" dxfId="262" priority="51">
      <formula>AND($AK183&gt;0,$W183&gt;44)</formula>
    </cfRule>
  </conditionalFormatting>
  <conditionalFormatting sqref="C184">
    <cfRule type="expression" dxfId="261" priority="46">
      <formula>AND($AK184&gt;0,$W184&gt;89)</formula>
    </cfRule>
    <cfRule type="expression" dxfId="260" priority="47">
      <formula>AND($AK184&gt;0,$W184&gt;59)</formula>
    </cfRule>
    <cfRule type="expression" dxfId="259" priority="48">
      <formula>AND($AK184&gt;0,$W184&gt;44)</formula>
    </cfRule>
  </conditionalFormatting>
  <conditionalFormatting sqref="C185">
    <cfRule type="expression" dxfId="258" priority="43">
      <formula>AND($AK185&gt;0,$W185&gt;89)</formula>
    </cfRule>
    <cfRule type="expression" dxfId="257" priority="44">
      <formula>AND($AK185&gt;0,$W185&gt;59)</formula>
    </cfRule>
    <cfRule type="expression" dxfId="256" priority="45">
      <formula>AND($AK185&gt;0,$W185&gt;44)</formula>
    </cfRule>
  </conditionalFormatting>
  <conditionalFormatting sqref="C186">
    <cfRule type="expression" dxfId="255" priority="40">
      <formula>AND($AK186&gt;0,$W186&gt;89)</formula>
    </cfRule>
    <cfRule type="expression" dxfId="254" priority="41">
      <formula>AND($AK186&gt;0,$W186&gt;59)</formula>
    </cfRule>
    <cfRule type="expression" dxfId="253" priority="42">
      <formula>AND($AK186&gt;0,$W186&gt;44)</formula>
    </cfRule>
  </conditionalFormatting>
  <conditionalFormatting sqref="C187">
    <cfRule type="expression" dxfId="252" priority="37">
      <formula>AND($AK187&gt;0,$W187&gt;89)</formula>
    </cfRule>
    <cfRule type="expression" dxfId="251" priority="38">
      <formula>AND($AK187&gt;0,$W187&gt;59)</formula>
    </cfRule>
    <cfRule type="expression" dxfId="250" priority="39">
      <formula>AND($AK187&gt;0,$W187&gt;44)</formula>
    </cfRule>
  </conditionalFormatting>
  <conditionalFormatting sqref="C188">
    <cfRule type="expression" dxfId="249" priority="34">
      <formula>AND($AK188&gt;0,$W188&gt;89)</formula>
    </cfRule>
    <cfRule type="expression" dxfId="248" priority="35">
      <formula>AND($AK188&gt;0,$W188&gt;59)</formula>
    </cfRule>
    <cfRule type="expression" dxfId="247" priority="36">
      <formula>AND($AK188&gt;0,$W188&gt;44)</formula>
    </cfRule>
  </conditionalFormatting>
  <conditionalFormatting sqref="C189">
    <cfRule type="expression" dxfId="246" priority="31">
      <formula>AND($AK189&gt;0,$W189&gt;89)</formula>
    </cfRule>
    <cfRule type="expression" dxfId="245" priority="32">
      <formula>AND($AK189&gt;0,$W189&gt;59)</formula>
    </cfRule>
    <cfRule type="expression" dxfId="244" priority="33">
      <formula>AND($AK189&gt;0,$W189&gt;44)</formula>
    </cfRule>
  </conditionalFormatting>
  <conditionalFormatting sqref="C190">
    <cfRule type="expression" dxfId="243" priority="28">
      <formula>AND($AK190&gt;0,$W190&gt;89)</formula>
    </cfRule>
    <cfRule type="expression" dxfId="242" priority="29">
      <formula>AND($AK190&gt;0,$W190&gt;59)</formula>
    </cfRule>
    <cfRule type="expression" dxfId="241" priority="30">
      <formula>AND($AK190&gt;0,$W190&gt;44)</formula>
    </cfRule>
  </conditionalFormatting>
  <conditionalFormatting sqref="C191">
    <cfRule type="expression" dxfId="240" priority="25">
      <formula>AND($AK191&gt;0,$W191&gt;89)</formula>
    </cfRule>
    <cfRule type="expression" dxfId="239" priority="26">
      <formula>AND($AK191&gt;0,$W191&gt;59)</formula>
    </cfRule>
    <cfRule type="expression" dxfId="238" priority="27">
      <formula>AND($AK191&gt;0,$W191&gt;44)</formula>
    </cfRule>
  </conditionalFormatting>
  <conditionalFormatting sqref="C192">
    <cfRule type="expression" dxfId="237" priority="22">
      <formula>AND($AK192&gt;0,$W192&gt;89)</formula>
    </cfRule>
    <cfRule type="expression" dxfId="236" priority="23">
      <formula>AND($AK192&gt;0,$W192&gt;59)</formula>
    </cfRule>
    <cfRule type="expression" dxfId="235" priority="24">
      <formula>AND($AK192&gt;0,$W192&gt;44)</formula>
    </cfRule>
  </conditionalFormatting>
  <conditionalFormatting sqref="C193">
    <cfRule type="expression" dxfId="234" priority="19">
      <formula>AND($AK193&gt;0,$W193&gt;89)</formula>
    </cfRule>
    <cfRule type="expression" dxfId="233" priority="20">
      <formula>AND($AK193&gt;0,$W193&gt;59)</formula>
    </cfRule>
    <cfRule type="expression" dxfId="232" priority="21">
      <formula>AND($AK193&gt;0,$W193&gt;44)</formula>
    </cfRule>
  </conditionalFormatting>
  <conditionalFormatting sqref="C194">
    <cfRule type="expression" dxfId="231" priority="16">
      <formula>AND($AK194&gt;0,$W194&gt;89)</formula>
    </cfRule>
    <cfRule type="expression" dxfId="230" priority="17">
      <formula>AND($AK194&gt;0,$W194&gt;59)</formula>
    </cfRule>
    <cfRule type="expression" dxfId="229" priority="18">
      <formula>AND($AK194&gt;0,$W194&gt;44)</formula>
    </cfRule>
  </conditionalFormatting>
  <conditionalFormatting sqref="C195">
    <cfRule type="expression" dxfId="228" priority="13">
      <formula>AND($AK195&gt;0,$W195&gt;89)</formula>
    </cfRule>
    <cfRule type="expression" dxfId="227" priority="14">
      <formula>AND($AK195&gt;0,$W195&gt;59)</formula>
    </cfRule>
    <cfRule type="expression" dxfId="226" priority="15">
      <formula>AND($AK195&gt;0,$W195&gt;44)</formula>
    </cfRule>
  </conditionalFormatting>
  <conditionalFormatting sqref="C196">
    <cfRule type="expression" dxfId="225" priority="10">
      <formula>AND($AK196&gt;0,$W196&gt;89)</formula>
    </cfRule>
    <cfRule type="expression" dxfId="224" priority="11">
      <formula>AND($AK196&gt;0,$W196&gt;59)</formula>
    </cfRule>
    <cfRule type="expression" dxfId="223" priority="12">
      <formula>AND($AK196&gt;0,$W196&gt;44)</formula>
    </cfRule>
  </conditionalFormatting>
  <conditionalFormatting sqref="C197">
    <cfRule type="expression" dxfId="222" priority="7">
      <formula>AND($AK197&gt;0,$W197&gt;89)</formula>
    </cfRule>
    <cfRule type="expression" dxfId="221" priority="8">
      <formula>AND($AK197&gt;0,$W197&gt;59)</formula>
    </cfRule>
    <cfRule type="expression" dxfId="220" priority="9">
      <formula>AND($AK197&gt;0,$W197&gt;44)</formula>
    </cfRule>
  </conditionalFormatting>
  <conditionalFormatting sqref="C198">
    <cfRule type="expression" dxfId="219" priority="4">
      <formula>AND($AK198&gt;0,$W198&gt;89)</formula>
    </cfRule>
    <cfRule type="expression" dxfId="218" priority="5">
      <formula>AND($AK198&gt;0,$W198&gt;59)</formula>
    </cfRule>
    <cfRule type="expression" dxfId="217" priority="6">
      <formula>AND($AK198&gt;0,$W198&gt;44)</formula>
    </cfRule>
  </conditionalFormatting>
  <conditionalFormatting sqref="C199">
    <cfRule type="expression" dxfId="216" priority="1">
      <formula>AND($AK199&gt;0,$W199&gt;89)</formula>
    </cfRule>
    <cfRule type="expression" dxfId="215" priority="2">
      <formula>AND($AK199&gt;0,$W199&gt;59)</formula>
    </cfRule>
    <cfRule type="expression" dxfId="214" priority="3">
      <formula>AND($AK199&gt;0,$W199&gt;44)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7"/>
  <sheetViews>
    <sheetView showGridLines="0" tabSelected="1" zoomScale="90" zoomScaleNormal="90" workbookViewId="0">
      <pane xSplit="1" ySplit="3" topLeftCell="B44" activePane="bottomRight" state="frozen"/>
      <selection pane="topRight" activeCell="B1" sqref="B1"/>
      <selection pane="bottomLeft" activeCell="A4" sqref="A4"/>
      <selection pane="bottomRight" activeCell="H62" sqref="H62"/>
    </sheetView>
  </sheetViews>
  <sheetFormatPr defaultRowHeight="1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22.85546875" customWidth="1"/>
    <col min="7" max="7" width="15.28515625" bestFit="1" customWidth="1"/>
    <col min="8" max="8" width="15" bestFit="1" customWidth="1"/>
    <col min="9" max="9" width="17.7109375" bestFit="1" customWidth="1"/>
    <col min="10" max="10" width="15" bestFit="1" customWidth="1"/>
  </cols>
  <sheetData>
    <row r="1" spans="1:13" ht="20.25" thickTop="1" thickBot="1">
      <c r="A1" s="133" t="s">
        <v>141</v>
      </c>
      <c r="B1" s="133"/>
      <c r="C1" s="133"/>
      <c r="D1" s="133"/>
      <c r="E1" s="133"/>
      <c r="F1" s="133"/>
      <c r="G1" s="133"/>
      <c r="H1" s="133"/>
      <c r="I1" s="133"/>
      <c r="J1" s="70"/>
      <c r="K1" s="70"/>
      <c r="L1" s="70"/>
      <c r="M1" s="70"/>
    </row>
    <row r="2" spans="1:13" ht="20.25" thickTop="1" thickBot="1">
      <c r="A2" s="133" t="s">
        <v>142</v>
      </c>
      <c r="B2" s="133"/>
      <c r="C2" s="133"/>
      <c r="D2" s="133"/>
      <c r="E2" s="133"/>
      <c r="F2" s="133"/>
      <c r="G2" s="133"/>
      <c r="H2" s="133"/>
      <c r="I2" s="133"/>
      <c r="J2" s="70"/>
      <c r="K2" s="70"/>
      <c r="L2" s="70"/>
      <c r="M2" s="70"/>
    </row>
    <row r="3" spans="1:13" ht="16.5" thickTop="1" thickBot="1">
      <c r="A3" s="71" t="s">
        <v>57</v>
      </c>
      <c r="B3" s="71" t="s">
        <v>58</v>
      </c>
      <c r="C3" s="71" t="s">
        <v>143</v>
      </c>
      <c r="D3" s="71" t="s">
        <v>144</v>
      </c>
      <c r="E3" s="71" t="s">
        <v>145</v>
      </c>
      <c r="F3" s="71" t="s">
        <v>146</v>
      </c>
      <c r="G3" s="71" t="s">
        <v>147</v>
      </c>
      <c r="H3" s="71" t="s">
        <v>148</v>
      </c>
      <c r="I3" s="71" t="s">
        <v>149</v>
      </c>
      <c r="J3" s="70"/>
      <c r="K3" s="70"/>
      <c r="L3" s="70"/>
      <c r="M3" s="70"/>
    </row>
    <row r="4" spans="1:13" ht="15.75" thickTop="1">
      <c r="A4" s="72"/>
      <c r="B4" s="63" t="s">
        <v>86</v>
      </c>
      <c r="C4" s="73">
        <f t="shared" ref="C4:C67" si="0">SUMIFS(tballsa,tballnk,B4)</f>
        <v>0</v>
      </c>
      <c r="D4" s="73">
        <f t="shared" ref="D4:D67" si="1">SUMIFS(tballp,tballnk,B4)</f>
        <v>0</v>
      </c>
      <c r="E4" s="73">
        <f>C4-D4</f>
        <v>0</v>
      </c>
      <c r="F4" s="74"/>
      <c r="G4" s="63"/>
      <c r="H4" s="75"/>
      <c r="I4" s="76"/>
      <c r="J4" s="70"/>
      <c r="K4" s="70"/>
      <c r="L4" s="70"/>
      <c r="M4" s="70"/>
    </row>
    <row r="5" spans="1:13">
      <c r="A5" s="72">
        <v>2</v>
      </c>
      <c r="B5" s="63" t="s">
        <v>80</v>
      </c>
      <c r="C5" s="73">
        <f t="shared" si="0"/>
        <v>1144162000</v>
      </c>
      <c r="D5" s="73">
        <v>800000000</v>
      </c>
      <c r="E5" s="73">
        <f>C5-D5</f>
        <v>344162000</v>
      </c>
      <c r="F5" s="77"/>
      <c r="G5" s="63"/>
      <c r="H5" s="75"/>
      <c r="I5" s="78">
        <v>255</v>
      </c>
      <c r="J5" s="70"/>
      <c r="K5" s="70"/>
      <c r="L5" s="70"/>
      <c r="M5" s="70"/>
    </row>
    <row r="6" spans="1:13">
      <c r="A6" s="72"/>
      <c r="B6" s="63" t="s">
        <v>177</v>
      </c>
      <c r="C6" s="73">
        <f t="shared" si="0"/>
        <v>701288950</v>
      </c>
      <c r="D6" s="73">
        <v>550000000</v>
      </c>
      <c r="E6" s="73">
        <f t="shared" ref="E6:E69" si="2">C6-D6</f>
        <v>151288950</v>
      </c>
      <c r="F6" s="77"/>
      <c r="G6" s="63"/>
      <c r="H6" s="75"/>
      <c r="I6" s="78"/>
      <c r="J6" s="70"/>
      <c r="K6" s="70"/>
      <c r="L6" s="70"/>
      <c r="M6" s="70"/>
    </row>
    <row r="7" spans="1:13">
      <c r="A7" s="72">
        <v>4</v>
      </c>
      <c r="B7" s="63" t="s">
        <v>98</v>
      </c>
      <c r="C7" s="73">
        <f t="shared" si="0"/>
        <v>305097500</v>
      </c>
      <c r="D7" s="73">
        <f>+C7</f>
        <v>305097500</v>
      </c>
      <c r="E7" s="73">
        <f t="shared" si="2"/>
        <v>0</v>
      </c>
      <c r="F7" s="77"/>
      <c r="G7" s="63"/>
      <c r="H7" s="75"/>
      <c r="I7" s="78"/>
      <c r="J7" s="70"/>
      <c r="K7" s="70"/>
      <c r="L7" s="70"/>
      <c r="M7" s="70"/>
    </row>
    <row r="8" spans="1:13">
      <c r="A8" s="72">
        <v>5</v>
      </c>
      <c r="B8" s="63" t="s">
        <v>75</v>
      </c>
      <c r="C8" s="73">
        <f t="shared" si="0"/>
        <v>188091750</v>
      </c>
      <c r="D8" s="73">
        <v>100000000</v>
      </c>
      <c r="E8" s="73">
        <f t="shared" si="2"/>
        <v>88091750</v>
      </c>
      <c r="F8" s="77"/>
      <c r="G8" s="63"/>
      <c r="H8" s="75"/>
      <c r="I8" s="78"/>
      <c r="J8" s="70"/>
      <c r="K8" s="70"/>
      <c r="L8" s="70"/>
      <c r="M8" s="70"/>
    </row>
    <row r="9" spans="1:13">
      <c r="A9" s="72">
        <v>6</v>
      </c>
      <c r="B9" s="63" t="s">
        <v>71</v>
      </c>
      <c r="C9" s="73">
        <f t="shared" si="0"/>
        <v>186215500</v>
      </c>
      <c r="D9" s="73">
        <v>100000000</v>
      </c>
      <c r="E9" s="73">
        <f t="shared" si="2"/>
        <v>86215500</v>
      </c>
      <c r="F9" s="77"/>
      <c r="G9" s="75"/>
      <c r="H9" s="75"/>
      <c r="I9" s="78"/>
      <c r="J9" s="70"/>
      <c r="K9" s="70"/>
      <c r="L9" s="70"/>
      <c r="M9" s="70"/>
    </row>
    <row r="10" spans="1:13">
      <c r="A10" s="72"/>
      <c r="B10" s="63"/>
      <c r="C10" s="73"/>
      <c r="D10" s="73"/>
      <c r="E10" s="73"/>
      <c r="F10" s="77"/>
      <c r="G10" s="75"/>
      <c r="H10" s="75"/>
      <c r="I10" s="78"/>
      <c r="J10" s="70"/>
      <c r="K10" s="70"/>
      <c r="L10" s="70"/>
      <c r="M10" s="70"/>
    </row>
    <row r="11" spans="1:13">
      <c r="A11" s="72"/>
      <c r="B11" s="63" t="s">
        <v>105</v>
      </c>
      <c r="C11" s="73">
        <f t="shared" si="0"/>
        <v>98746000</v>
      </c>
      <c r="D11" s="73">
        <v>70000000</v>
      </c>
      <c r="E11" s="73">
        <f t="shared" si="2"/>
        <v>28746000</v>
      </c>
      <c r="F11" s="77"/>
      <c r="G11" s="75"/>
      <c r="H11" s="75"/>
      <c r="I11" s="78"/>
      <c r="J11" s="70"/>
      <c r="K11" s="70"/>
      <c r="L11" s="70"/>
      <c r="M11" s="70"/>
    </row>
    <row r="12" spans="1:13">
      <c r="A12" s="72">
        <v>9</v>
      </c>
      <c r="B12" s="63" t="s">
        <v>90</v>
      </c>
      <c r="C12" s="73">
        <v>18000000</v>
      </c>
      <c r="D12" s="73">
        <f t="shared" si="1"/>
        <v>0</v>
      </c>
      <c r="E12" s="73">
        <f t="shared" si="2"/>
        <v>18000000</v>
      </c>
      <c r="F12" s="79"/>
      <c r="G12" s="80"/>
      <c r="H12" s="80"/>
      <c r="I12" s="78"/>
      <c r="J12" s="70"/>
      <c r="K12" s="70"/>
      <c r="L12" s="70"/>
      <c r="M12" s="70"/>
    </row>
    <row r="13" spans="1:13">
      <c r="A13" s="72"/>
      <c r="B13" s="63" t="s">
        <v>108</v>
      </c>
      <c r="C13" s="73">
        <f t="shared" si="0"/>
        <v>80619000</v>
      </c>
      <c r="D13" s="73">
        <f>+C13</f>
        <v>80619000</v>
      </c>
      <c r="E13" s="73">
        <f t="shared" si="2"/>
        <v>0</v>
      </c>
      <c r="F13" s="79"/>
      <c r="G13" s="80"/>
      <c r="H13" s="80"/>
      <c r="I13" s="78"/>
      <c r="J13" s="70"/>
      <c r="K13" s="70"/>
      <c r="L13" s="70"/>
      <c r="M13" s="70"/>
    </row>
    <row r="14" spans="1:13">
      <c r="A14" s="72">
        <v>11</v>
      </c>
      <c r="B14" s="63" t="s">
        <v>64</v>
      </c>
      <c r="C14" s="73">
        <f t="shared" si="0"/>
        <v>69053000</v>
      </c>
      <c r="D14" s="73">
        <f>+C14</f>
        <v>69053000</v>
      </c>
      <c r="E14" s="73">
        <f t="shared" si="2"/>
        <v>0</v>
      </c>
      <c r="F14" s="79"/>
      <c r="G14" s="80"/>
      <c r="H14" s="80"/>
      <c r="I14" s="78"/>
      <c r="J14" s="70"/>
      <c r="K14" s="70"/>
      <c r="L14" s="70"/>
      <c r="M14" s="70"/>
    </row>
    <row r="15" spans="1:13">
      <c r="A15" s="72">
        <v>12</v>
      </c>
      <c r="B15" s="63" t="s">
        <v>178</v>
      </c>
      <c r="C15" s="73">
        <f t="shared" si="0"/>
        <v>65075000</v>
      </c>
      <c r="D15" s="73">
        <f>+C15</f>
        <v>65075000</v>
      </c>
      <c r="E15" s="73">
        <f t="shared" si="2"/>
        <v>0</v>
      </c>
      <c r="F15" s="79"/>
      <c r="G15" s="80"/>
      <c r="H15" s="80"/>
      <c r="I15" s="78"/>
      <c r="J15" s="70"/>
      <c r="K15" s="70"/>
      <c r="L15" s="70"/>
      <c r="M15" s="70"/>
    </row>
    <row r="16" spans="1:13">
      <c r="A16" s="72">
        <v>13</v>
      </c>
      <c r="B16" s="63" t="s">
        <v>112</v>
      </c>
      <c r="C16" s="73">
        <f t="shared" si="0"/>
        <v>58742500</v>
      </c>
      <c r="D16" s="73">
        <f>+C16</f>
        <v>58742500</v>
      </c>
      <c r="E16" s="73">
        <f t="shared" si="2"/>
        <v>0</v>
      </c>
      <c r="F16" s="79"/>
      <c r="G16" s="80"/>
      <c r="H16" s="80"/>
      <c r="I16" s="78"/>
      <c r="J16" s="70"/>
      <c r="K16" s="70"/>
      <c r="L16" s="70"/>
      <c r="M16" s="70"/>
    </row>
    <row r="17" spans="1:13">
      <c r="A17" s="72">
        <v>14</v>
      </c>
      <c r="B17" s="63"/>
      <c r="C17" s="73"/>
      <c r="D17" s="73"/>
      <c r="E17" s="73"/>
      <c r="F17" s="79"/>
      <c r="G17" s="80"/>
      <c r="H17" s="80"/>
      <c r="I17" s="78"/>
      <c r="J17" s="70"/>
      <c r="K17" s="70"/>
      <c r="L17" s="70"/>
      <c r="M17" s="70"/>
    </row>
    <row r="18" spans="1:13">
      <c r="A18" s="72">
        <v>15</v>
      </c>
      <c r="B18" s="63" t="s">
        <v>131</v>
      </c>
      <c r="C18" s="73">
        <f t="shared" si="0"/>
        <v>42070000</v>
      </c>
      <c r="D18" s="73">
        <f>+C18</f>
        <v>42070000</v>
      </c>
      <c r="E18" s="73">
        <f t="shared" si="2"/>
        <v>0</v>
      </c>
      <c r="F18" s="79"/>
      <c r="G18" s="80"/>
      <c r="H18" s="80"/>
      <c r="I18" s="78"/>
      <c r="J18" s="70"/>
      <c r="K18" s="70"/>
      <c r="L18" s="70"/>
      <c r="M18" s="70"/>
    </row>
    <row r="19" spans="1:13">
      <c r="A19" s="72">
        <v>16</v>
      </c>
      <c r="B19" s="63" t="s">
        <v>89</v>
      </c>
      <c r="C19" s="73">
        <f t="shared" si="0"/>
        <v>39950000</v>
      </c>
      <c r="D19" s="73">
        <f>+C19</f>
        <v>39950000</v>
      </c>
      <c r="E19" s="73">
        <f t="shared" si="2"/>
        <v>0</v>
      </c>
      <c r="F19" s="79"/>
      <c r="G19" s="80"/>
      <c r="H19" s="80"/>
      <c r="I19" s="78"/>
      <c r="J19" s="70"/>
      <c r="K19" s="70"/>
      <c r="L19" s="70"/>
      <c r="M19" s="70"/>
    </row>
    <row r="20" spans="1:13">
      <c r="A20" s="72">
        <v>17</v>
      </c>
      <c r="B20" s="63" t="s">
        <v>179</v>
      </c>
      <c r="C20" s="73">
        <f t="shared" si="0"/>
        <v>39700000</v>
      </c>
      <c r="D20" s="73">
        <f t="shared" si="1"/>
        <v>39700000</v>
      </c>
      <c r="E20" s="73">
        <f t="shared" si="2"/>
        <v>0</v>
      </c>
      <c r="F20" s="79"/>
      <c r="G20" s="80"/>
      <c r="H20" s="80"/>
      <c r="I20" s="78"/>
      <c r="J20" s="70"/>
      <c r="K20" s="70"/>
      <c r="L20" s="70"/>
      <c r="M20" s="70"/>
    </row>
    <row r="21" spans="1:13">
      <c r="A21" s="72">
        <v>18</v>
      </c>
      <c r="B21" s="63" t="s">
        <v>126</v>
      </c>
      <c r="C21" s="73">
        <f t="shared" si="0"/>
        <v>37540000</v>
      </c>
      <c r="D21" s="73">
        <f>+C21</f>
        <v>37540000</v>
      </c>
      <c r="E21" s="73">
        <f t="shared" si="2"/>
        <v>0</v>
      </c>
      <c r="F21" s="79"/>
      <c r="G21" s="80"/>
      <c r="H21" s="80"/>
      <c r="I21" s="78"/>
      <c r="J21" s="70"/>
      <c r="K21" s="70"/>
      <c r="L21" s="70"/>
      <c r="M21" s="70"/>
    </row>
    <row r="22" spans="1:13">
      <c r="A22" s="72">
        <v>19</v>
      </c>
      <c r="B22" s="63" t="s">
        <v>180</v>
      </c>
      <c r="C22" s="73">
        <f t="shared" si="0"/>
        <v>37400000</v>
      </c>
      <c r="D22" s="73">
        <f>+C22</f>
        <v>37400000</v>
      </c>
      <c r="E22" s="73">
        <f t="shared" si="2"/>
        <v>0</v>
      </c>
      <c r="F22" s="79"/>
      <c r="G22" s="80"/>
      <c r="H22" s="80"/>
      <c r="I22" s="78"/>
      <c r="J22" s="70"/>
      <c r="K22" s="70"/>
      <c r="L22" s="70"/>
      <c r="M22" s="70"/>
    </row>
    <row r="23" spans="1:13">
      <c r="A23" s="72">
        <v>20</v>
      </c>
      <c r="B23" s="63" t="s">
        <v>113</v>
      </c>
      <c r="C23" s="73">
        <f t="shared" si="0"/>
        <v>36127500</v>
      </c>
      <c r="D23" s="73">
        <f>+C23</f>
        <v>36127500</v>
      </c>
      <c r="E23" s="73">
        <f t="shared" si="2"/>
        <v>0</v>
      </c>
      <c r="F23" s="79"/>
      <c r="G23" s="80"/>
      <c r="H23" s="80"/>
      <c r="I23" s="78"/>
      <c r="J23" s="70"/>
      <c r="K23" s="70"/>
      <c r="L23" s="70"/>
      <c r="M23" s="70"/>
    </row>
    <row r="24" spans="1:13">
      <c r="A24" s="72">
        <v>21</v>
      </c>
      <c r="B24" s="63" t="s">
        <v>127</v>
      </c>
      <c r="C24" s="73">
        <f t="shared" si="0"/>
        <v>30185000</v>
      </c>
      <c r="D24" s="73">
        <f>+C24</f>
        <v>30185000</v>
      </c>
      <c r="E24" s="73">
        <f t="shared" si="2"/>
        <v>0</v>
      </c>
      <c r="F24" s="79"/>
      <c r="G24" s="80"/>
      <c r="H24" s="80"/>
      <c r="I24" s="78"/>
      <c r="J24" s="70"/>
      <c r="K24" s="70"/>
      <c r="L24" s="70"/>
      <c r="M24" s="70"/>
    </row>
    <row r="25" spans="1:13">
      <c r="A25" s="72">
        <v>22</v>
      </c>
      <c r="B25" s="63" t="s">
        <v>181</v>
      </c>
      <c r="C25" s="73">
        <f t="shared" si="0"/>
        <v>25930000</v>
      </c>
      <c r="D25" s="73">
        <f>+C25</f>
        <v>25930000</v>
      </c>
      <c r="E25" s="73">
        <f t="shared" si="2"/>
        <v>0</v>
      </c>
      <c r="F25" s="79"/>
      <c r="G25" s="80"/>
      <c r="H25" s="80"/>
      <c r="I25" s="78"/>
      <c r="J25" s="70"/>
      <c r="K25" s="70"/>
      <c r="L25" s="70"/>
      <c r="M25" s="70"/>
    </row>
    <row r="26" spans="1:13">
      <c r="A26" s="72">
        <v>23</v>
      </c>
      <c r="B26" s="63" t="s">
        <v>164</v>
      </c>
      <c r="C26" s="73">
        <f t="shared" si="0"/>
        <v>25706800</v>
      </c>
      <c r="D26" s="73">
        <f t="shared" si="1"/>
        <v>0</v>
      </c>
      <c r="E26" s="73">
        <f t="shared" si="2"/>
        <v>25706800</v>
      </c>
      <c r="F26" s="79"/>
      <c r="G26" s="80"/>
      <c r="H26" s="80"/>
      <c r="I26" s="78"/>
      <c r="J26" s="70"/>
      <c r="K26" s="70"/>
      <c r="L26" s="70"/>
      <c r="M26" s="70"/>
    </row>
    <row r="27" spans="1:13">
      <c r="A27" s="72"/>
      <c r="B27" s="63"/>
      <c r="C27" s="73"/>
      <c r="D27" s="73"/>
      <c r="E27" s="73"/>
      <c r="F27" s="79"/>
      <c r="G27" s="80"/>
      <c r="H27" s="80"/>
      <c r="I27" s="78"/>
      <c r="J27" s="70"/>
      <c r="K27" s="70"/>
      <c r="L27" s="70"/>
      <c r="M27" s="70"/>
    </row>
    <row r="28" spans="1:13">
      <c r="A28" s="72">
        <v>25</v>
      </c>
      <c r="B28" s="63" t="s">
        <v>173</v>
      </c>
      <c r="C28" s="73">
        <f t="shared" si="0"/>
        <v>22930000</v>
      </c>
      <c r="D28" s="73">
        <f>+C28</f>
        <v>22930000</v>
      </c>
      <c r="E28" s="73">
        <f t="shared" si="2"/>
        <v>0</v>
      </c>
      <c r="F28" s="79"/>
      <c r="G28" s="80"/>
      <c r="H28" s="80"/>
      <c r="I28" s="78"/>
      <c r="J28" s="70"/>
      <c r="K28" s="70"/>
      <c r="L28" s="70"/>
      <c r="M28" s="70"/>
    </row>
    <row r="29" spans="1:13">
      <c r="A29" s="72">
        <v>26</v>
      </c>
      <c r="B29" s="63" t="s">
        <v>182</v>
      </c>
      <c r="C29" s="73">
        <f t="shared" si="0"/>
        <v>18578000</v>
      </c>
      <c r="D29" s="73">
        <f t="shared" ref="D29" si="3">+C29</f>
        <v>18578000</v>
      </c>
      <c r="E29" s="73">
        <f t="shared" si="2"/>
        <v>0</v>
      </c>
      <c r="F29" s="79"/>
      <c r="G29" s="80"/>
      <c r="H29" s="80"/>
      <c r="I29" s="78"/>
      <c r="J29" s="70"/>
      <c r="K29" s="70"/>
      <c r="L29" s="70"/>
      <c r="M29" s="70"/>
    </row>
    <row r="30" spans="1:13">
      <c r="A30" s="72">
        <v>27</v>
      </c>
      <c r="B30" s="63" t="s">
        <v>82</v>
      </c>
      <c r="C30" s="73">
        <f t="shared" si="0"/>
        <v>18294000</v>
      </c>
      <c r="D30" s="73">
        <f>+C30</f>
        <v>18294000</v>
      </c>
      <c r="E30" s="73">
        <f t="shared" si="2"/>
        <v>0</v>
      </c>
      <c r="F30" s="79"/>
      <c r="G30" s="80"/>
      <c r="H30" s="80"/>
      <c r="I30" s="78"/>
      <c r="J30" s="70"/>
      <c r="K30" s="70"/>
      <c r="L30" s="70"/>
      <c r="M30" s="70"/>
    </row>
    <row r="31" spans="1:13">
      <c r="A31" s="72"/>
      <c r="B31" s="63"/>
      <c r="C31" s="73"/>
      <c r="D31" s="73"/>
      <c r="E31" s="73"/>
      <c r="F31" s="79"/>
      <c r="G31" s="80"/>
      <c r="H31" s="80"/>
      <c r="I31" s="78"/>
      <c r="J31" s="70"/>
      <c r="K31" s="70"/>
      <c r="L31" s="70"/>
      <c r="M31" s="70"/>
    </row>
    <row r="32" spans="1:13">
      <c r="A32" s="72">
        <v>29</v>
      </c>
      <c r="B32" s="63" t="s">
        <v>85</v>
      </c>
      <c r="C32" s="73">
        <f t="shared" si="0"/>
        <v>17321500</v>
      </c>
      <c r="D32" s="73">
        <f>+C32</f>
        <v>17321500</v>
      </c>
      <c r="E32" s="73">
        <f t="shared" si="2"/>
        <v>0</v>
      </c>
      <c r="F32" s="79"/>
      <c r="G32" s="80"/>
      <c r="H32" s="80"/>
      <c r="I32" s="78"/>
      <c r="J32" s="70"/>
      <c r="K32" s="70"/>
      <c r="L32" s="70"/>
      <c r="M32" s="70"/>
    </row>
    <row r="33" spans="1:13">
      <c r="A33" s="72">
        <v>30</v>
      </c>
      <c r="B33" s="63" t="s">
        <v>63</v>
      </c>
      <c r="C33" s="73">
        <f t="shared" si="0"/>
        <v>16660000</v>
      </c>
      <c r="D33" s="73">
        <f>+C33</f>
        <v>16660000</v>
      </c>
      <c r="E33" s="73">
        <f t="shared" si="2"/>
        <v>0</v>
      </c>
      <c r="F33" s="79"/>
      <c r="G33" s="80"/>
      <c r="H33" s="80"/>
      <c r="I33" s="78"/>
      <c r="J33" s="70"/>
      <c r="K33" s="70"/>
      <c r="L33" s="70"/>
      <c r="M33" s="70"/>
    </row>
    <row r="34" spans="1:13">
      <c r="A34" s="72">
        <v>31</v>
      </c>
      <c r="B34" s="63" t="s">
        <v>114</v>
      </c>
      <c r="C34" s="73">
        <f t="shared" si="0"/>
        <v>16234800</v>
      </c>
      <c r="D34" s="73">
        <f t="shared" ref="D34:D40" si="4">+C34</f>
        <v>16234800</v>
      </c>
      <c r="E34" s="73">
        <f t="shared" si="2"/>
        <v>0</v>
      </c>
      <c r="F34" s="41"/>
      <c r="G34" s="80"/>
      <c r="H34" s="80"/>
      <c r="I34" s="78"/>
      <c r="J34" s="70"/>
      <c r="K34" s="70"/>
      <c r="L34" s="70"/>
      <c r="M34" s="70"/>
    </row>
    <row r="35" spans="1:13">
      <c r="A35" s="72">
        <v>32</v>
      </c>
      <c r="B35" s="63" t="s">
        <v>135</v>
      </c>
      <c r="C35" s="73">
        <f t="shared" si="0"/>
        <v>16224800</v>
      </c>
      <c r="D35" s="73">
        <f t="shared" si="4"/>
        <v>16224800</v>
      </c>
      <c r="E35" s="73">
        <f t="shared" si="2"/>
        <v>0</v>
      </c>
      <c r="F35" s="41"/>
      <c r="G35" s="80"/>
      <c r="H35" s="80"/>
      <c r="I35" s="78"/>
      <c r="J35" s="70"/>
      <c r="K35" s="70"/>
      <c r="L35" s="70"/>
      <c r="M35" s="70"/>
    </row>
    <row r="36" spans="1:13">
      <c r="A36" s="72">
        <v>33</v>
      </c>
      <c r="B36" s="63" t="s">
        <v>183</v>
      </c>
      <c r="C36" s="73">
        <f t="shared" si="0"/>
        <v>15089000</v>
      </c>
      <c r="D36" s="73">
        <f t="shared" si="4"/>
        <v>15089000</v>
      </c>
      <c r="E36" s="73">
        <f t="shared" si="2"/>
        <v>0</v>
      </c>
      <c r="F36" s="41"/>
      <c r="G36" s="80"/>
      <c r="H36" s="80"/>
      <c r="I36" s="78"/>
      <c r="J36" s="70"/>
      <c r="K36" s="70"/>
      <c r="L36" s="70"/>
      <c r="M36" s="70"/>
    </row>
    <row r="37" spans="1:13">
      <c r="A37" s="72">
        <v>34</v>
      </c>
      <c r="B37" s="63" t="s">
        <v>184</v>
      </c>
      <c r="C37" s="73">
        <f t="shared" si="0"/>
        <v>14230000</v>
      </c>
      <c r="D37" s="73">
        <f t="shared" si="4"/>
        <v>14230000</v>
      </c>
      <c r="E37" s="73">
        <f t="shared" si="2"/>
        <v>0</v>
      </c>
      <c r="F37" s="41"/>
      <c r="G37" s="80"/>
      <c r="H37" s="80"/>
      <c r="I37" s="78"/>
      <c r="J37" s="70"/>
      <c r="K37" s="70"/>
      <c r="L37" s="70"/>
      <c r="M37" s="70"/>
    </row>
    <row r="38" spans="1:13">
      <c r="A38" s="72">
        <v>35</v>
      </c>
      <c r="B38" s="63" t="s">
        <v>67</v>
      </c>
      <c r="C38" s="73">
        <f t="shared" si="0"/>
        <v>13000000</v>
      </c>
      <c r="D38" s="73">
        <f t="shared" si="4"/>
        <v>13000000</v>
      </c>
      <c r="E38" s="73">
        <f t="shared" si="2"/>
        <v>0</v>
      </c>
      <c r="F38" s="41"/>
      <c r="G38" s="80"/>
      <c r="H38" s="80"/>
      <c r="I38" s="78"/>
      <c r="J38" s="70"/>
      <c r="K38" s="70"/>
      <c r="L38" s="70"/>
      <c r="M38" s="70"/>
    </row>
    <row r="39" spans="1:13">
      <c r="A39" s="72"/>
      <c r="B39" s="63" t="s">
        <v>136</v>
      </c>
      <c r="C39" s="73">
        <f t="shared" si="0"/>
        <v>12000000</v>
      </c>
      <c r="D39" s="73">
        <f t="shared" si="4"/>
        <v>12000000</v>
      </c>
      <c r="E39" s="73">
        <f t="shared" si="2"/>
        <v>0</v>
      </c>
      <c r="F39" s="41"/>
      <c r="G39" s="80"/>
      <c r="H39" s="80"/>
      <c r="I39" s="78"/>
      <c r="J39" s="70"/>
      <c r="K39" s="70"/>
      <c r="L39" s="70"/>
      <c r="M39" s="70"/>
    </row>
    <row r="40" spans="1:13">
      <c r="A40" s="72"/>
      <c r="B40" s="63" t="s">
        <v>138</v>
      </c>
      <c r="C40" s="73">
        <f t="shared" si="0"/>
        <v>11933000</v>
      </c>
      <c r="D40" s="73">
        <f t="shared" si="4"/>
        <v>11933000</v>
      </c>
      <c r="E40" s="73">
        <f t="shared" si="2"/>
        <v>0</v>
      </c>
      <c r="F40" s="41"/>
      <c r="G40" s="80"/>
      <c r="H40" s="80"/>
      <c r="I40" s="78"/>
      <c r="J40" s="70"/>
      <c r="K40" s="70"/>
      <c r="L40" s="70"/>
      <c r="M40" s="70"/>
    </row>
    <row r="41" spans="1:13">
      <c r="A41" s="72">
        <v>38</v>
      </c>
      <c r="B41" s="63" t="s">
        <v>185</v>
      </c>
      <c r="C41" s="73">
        <f t="shared" si="0"/>
        <v>10620000</v>
      </c>
      <c r="D41" s="73">
        <f t="shared" si="1"/>
        <v>10620000</v>
      </c>
      <c r="E41" s="73">
        <f t="shared" si="2"/>
        <v>0</v>
      </c>
      <c r="F41" s="41"/>
      <c r="G41" s="80"/>
      <c r="H41" s="80"/>
      <c r="I41" s="78"/>
      <c r="J41" s="70"/>
      <c r="K41" s="70"/>
      <c r="L41" s="70"/>
      <c r="M41" s="70"/>
    </row>
    <row r="42" spans="1:13">
      <c r="A42" s="72">
        <v>39</v>
      </c>
      <c r="B42" s="63" t="s">
        <v>93</v>
      </c>
      <c r="C42" s="73">
        <f t="shared" si="0"/>
        <v>10600000</v>
      </c>
      <c r="D42" s="73">
        <f>+C42</f>
        <v>10600000</v>
      </c>
      <c r="E42" s="73">
        <f t="shared" si="2"/>
        <v>0</v>
      </c>
      <c r="F42" s="41"/>
      <c r="G42" s="80"/>
      <c r="H42" s="80"/>
      <c r="I42" s="78"/>
      <c r="J42" s="70"/>
      <c r="K42" s="70"/>
      <c r="L42" s="70"/>
      <c r="M42" s="70"/>
    </row>
    <row r="43" spans="1:13">
      <c r="A43" s="72">
        <v>40</v>
      </c>
      <c r="B43" s="63" t="s">
        <v>78</v>
      </c>
      <c r="C43" s="73">
        <f t="shared" si="0"/>
        <v>7834500</v>
      </c>
      <c r="D43" s="73">
        <f>+C43</f>
        <v>7834500</v>
      </c>
      <c r="E43" s="73">
        <f t="shared" si="2"/>
        <v>0</v>
      </c>
      <c r="F43" s="41"/>
      <c r="G43" s="80"/>
      <c r="H43" s="80"/>
      <c r="I43" s="78"/>
      <c r="J43" s="70"/>
      <c r="K43" s="70"/>
      <c r="L43" s="70"/>
      <c r="M43" s="70"/>
    </row>
    <row r="44" spans="1:13">
      <c r="A44" s="72">
        <v>41</v>
      </c>
      <c r="B44" s="63" t="s">
        <v>186</v>
      </c>
      <c r="C44" s="73">
        <f t="shared" si="0"/>
        <v>7795200</v>
      </c>
      <c r="D44" s="73">
        <f>+C44</f>
        <v>7795200</v>
      </c>
      <c r="E44" s="73">
        <f t="shared" si="2"/>
        <v>0</v>
      </c>
      <c r="F44" s="41"/>
      <c r="G44" s="80"/>
      <c r="H44" s="80"/>
      <c r="I44" s="78"/>
      <c r="J44" s="70"/>
      <c r="K44" s="70"/>
      <c r="L44" s="70"/>
      <c r="M44" s="70"/>
    </row>
    <row r="45" spans="1:13">
      <c r="A45" s="72">
        <v>42</v>
      </c>
      <c r="B45" s="63" t="s">
        <v>69</v>
      </c>
      <c r="C45" s="73">
        <f t="shared" si="0"/>
        <v>7408000</v>
      </c>
      <c r="D45" s="73">
        <f>+C45</f>
        <v>7408000</v>
      </c>
      <c r="E45" s="73">
        <f t="shared" si="2"/>
        <v>0</v>
      </c>
      <c r="F45" s="41"/>
      <c r="G45" s="80"/>
      <c r="H45" s="80"/>
      <c r="I45" s="78"/>
      <c r="J45" s="70"/>
      <c r="K45" s="70"/>
      <c r="L45" s="70"/>
      <c r="M45" s="70"/>
    </row>
    <row r="46" spans="1:13">
      <c r="A46" s="72">
        <v>43</v>
      </c>
      <c r="B46" s="63" t="s">
        <v>66</v>
      </c>
      <c r="C46" s="73">
        <f t="shared" si="0"/>
        <v>8380000</v>
      </c>
      <c r="D46" s="73">
        <f t="shared" ref="D46:D77" si="5">+C46</f>
        <v>8380000</v>
      </c>
      <c r="E46" s="73">
        <f t="shared" si="2"/>
        <v>0</v>
      </c>
      <c r="F46" s="41"/>
      <c r="G46" s="80"/>
      <c r="H46" s="80"/>
      <c r="I46" s="78"/>
      <c r="J46" s="70"/>
      <c r="K46" s="70"/>
      <c r="L46" s="70"/>
      <c r="M46" s="70"/>
    </row>
    <row r="47" spans="1:13">
      <c r="A47" s="72">
        <v>44</v>
      </c>
      <c r="B47" s="63" t="s">
        <v>72</v>
      </c>
      <c r="C47" s="73">
        <f t="shared" si="0"/>
        <v>7110000</v>
      </c>
      <c r="D47" s="73">
        <f t="shared" si="5"/>
        <v>7110000</v>
      </c>
      <c r="E47" s="73">
        <f t="shared" si="2"/>
        <v>0</v>
      </c>
      <c r="F47" s="41"/>
      <c r="G47" s="80"/>
      <c r="H47" s="80"/>
      <c r="I47" s="78"/>
      <c r="J47" s="70"/>
      <c r="K47" s="70"/>
      <c r="L47" s="70"/>
      <c r="M47" s="70"/>
    </row>
    <row r="48" spans="1:13">
      <c r="A48" s="72">
        <v>45</v>
      </c>
      <c r="B48" s="63" t="s">
        <v>150</v>
      </c>
      <c r="C48" s="73">
        <f t="shared" si="0"/>
        <v>7000000</v>
      </c>
      <c r="D48" s="73">
        <f t="shared" si="5"/>
        <v>7000000</v>
      </c>
      <c r="E48" s="73">
        <f t="shared" si="2"/>
        <v>0</v>
      </c>
      <c r="F48" s="41"/>
      <c r="G48" s="80"/>
      <c r="H48" s="80"/>
      <c r="I48" s="78"/>
      <c r="J48" s="70"/>
      <c r="K48" s="70"/>
      <c r="L48" s="70"/>
      <c r="M48" s="70"/>
    </row>
    <row r="49" spans="1:13">
      <c r="A49" s="72">
        <v>46</v>
      </c>
      <c r="B49" s="63" t="s">
        <v>172</v>
      </c>
      <c r="C49" s="73">
        <f t="shared" si="0"/>
        <v>6660000</v>
      </c>
      <c r="D49" s="73">
        <f t="shared" si="5"/>
        <v>6660000</v>
      </c>
      <c r="E49" s="73">
        <f t="shared" si="2"/>
        <v>0</v>
      </c>
      <c r="F49" s="41"/>
      <c r="G49" s="80"/>
      <c r="H49" s="80"/>
      <c r="I49" s="78"/>
      <c r="J49" s="70"/>
      <c r="K49" s="70"/>
      <c r="L49" s="70"/>
      <c r="M49" s="70"/>
    </row>
    <row r="50" spans="1:13">
      <c r="A50" s="72">
        <v>47</v>
      </c>
      <c r="B50" s="63" t="s">
        <v>92</v>
      </c>
      <c r="C50" s="73">
        <f t="shared" si="0"/>
        <v>6630000</v>
      </c>
      <c r="D50" s="73">
        <f t="shared" si="5"/>
        <v>6630000</v>
      </c>
      <c r="E50" s="73">
        <f t="shared" si="2"/>
        <v>0</v>
      </c>
      <c r="F50" s="41"/>
      <c r="G50" s="80"/>
      <c r="H50" s="80"/>
      <c r="I50" s="78"/>
      <c r="J50" s="70"/>
      <c r="K50" s="70"/>
      <c r="L50" s="70"/>
      <c r="M50" s="70"/>
    </row>
    <row r="51" spans="1:13">
      <c r="A51" s="72">
        <v>48</v>
      </c>
      <c r="B51" s="63" t="s">
        <v>187</v>
      </c>
      <c r="C51" s="73">
        <f t="shared" si="0"/>
        <v>6545500</v>
      </c>
      <c r="D51" s="73">
        <f t="shared" si="5"/>
        <v>6545500</v>
      </c>
      <c r="E51" s="73">
        <f t="shared" si="2"/>
        <v>0</v>
      </c>
      <c r="F51" s="41"/>
      <c r="G51" s="80"/>
      <c r="H51" s="80"/>
      <c r="I51" s="78"/>
      <c r="J51" s="70"/>
      <c r="K51" s="70"/>
      <c r="L51" s="70"/>
      <c r="M51" s="70"/>
    </row>
    <row r="52" spans="1:13">
      <c r="A52" s="72">
        <v>49</v>
      </c>
      <c r="B52" s="63" t="s">
        <v>91</v>
      </c>
      <c r="C52" s="73">
        <f t="shared" si="0"/>
        <v>6130000</v>
      </c>
      <c r="D52" s="73">
        <f t="shared" si="5"/>
        <v>6130000</v>
      </c>
      <c r="E52" s="73">
        <f t="shared" si="2"/>
        <v>0</v>
      </c>
      <c r="F52" s="41"/>
      <c r="G52" s="80"/>
      <c r="H52" s="80"/>
      <c r="I52" s="41"/>
      <c r="J52" s="70"/>
      <c r="K52" s="70"/>
      <c r="L52" s="70"/>
      <c r="M52" s="70"/>
    </row>
    <row r="53" spans="1:13">
      <c r="A53" s="72">
        <v>50</v>
      </c>
      <c r="B53" s="63" t="s">
        <v>102</v>
      </c>
      <c r="C53" s="73">
        <f t="shared" si="0"/>
        <v>5865000</v>
      </c>
      <c r="D53" s="73">
        <f t="shared" si="5"/>
        <v>5865000</v>
      </c>
      <c r="E53" s="73">
        <f t="shared" si="2"/>
        <v>0</v>
      </c>
      <c r="F53" s="41"/>
      <c r="G53" s="80"/>
      <c r="H53" s="80"/>
      <c r="I53" s="41"/>
      <c r="J53" s="70"/>
      <c r="K53" s="70"/>
      <c r="L53" s="70"/>
      <c r="M53" s="70"/>
    </row>
    <row r="54" spans="1:13">
      <c r="A54" s="72">
        <v>51</v>
      </c>
      <c r="B54" s="63" t="s">
        <v>188</v>
      </c>
      <c r="C54" s="73">
        <f t="shared" si="0"/>
        <v>5816500</v>
      </c>
      <c r="D54" s="73">
        <f t="shared" si="5"/>
        <v>5816500</v>
      </c>
      <c r="E54" s="73">
        <f t="shared" si="2"/>
        <v>0</v>
      </c>
      <c r="F54" s="41"/>
      <c r="G54" s="80"/>
      <c r="H54" s="80"/>
      <c r="I54" s="41"/>
      <c r="J54" s="70"/>
      <c r="K54" s="70"/>
      <c r="L54" s="70"/>
      <c r="M54" s="70"/>
    </row>
    <row r="55" spans="1:13">
      <c r="A55" s="72">
        <v>52</v>
      </c>
      <c r="B55" s="63" t="s">
        <v>70</v>
      </c>
      <c r="C55" s="73">
        <f t="shared" si="0"/>
        <v>5500000</v>
      </c>
      <c r="D55" s="73">
        <f t="shared" si="5"/>
        <v>5500000</v>
      </c>
      <c r="E55" s="73">
        <f t="shared" si="2"/>
        <v>0</v>
      </c>
      <c r="F55" s="41"/>
      <c r="G55" s="80"/>
      <c r="H55" s="80"/>
      <c r="I55" s="41"/>
      <c r="J55" s="70"/>
      <c r="K55" s="70"/>
      <c r="L55" s="70"/>
      <c r="M55" s="70"/>
    </row>
    <row r="56" spans="1:13">
      <c r="A56" s="72">
        <v>53</v>
      </c>
      <c r="B56" s="63" t="s">
        <v>96</v>
      </c>
      <c r="C56" s="73">
        <f t="shared" si="0"/>
        <v>5262300</v>
      </c>
      <c r="D56" s="73">
        <f t="shared" si="5"/>
        <v>5262300</v>
      </c>
      <c r="E56" s="73">
        <f t="shared" si="2"/>
        <v>0</v>
      </c>
      <c r="F56" s="41"/>
      <c r="G56" s="80"/>
      <c r="H56" s="80"/>
      <c r="I56" s="41"/>
      <c r="J56" s="70"/>
      <c r="K56" s="70"/>
      <c r="L56" s="70"/>
      <c r="M56" s="70"/>
    </row>
    <row r="57" spans="1:13">
      <c r="A57" s="72">
        <v>54</v>
      </c>
      <c r="B57" s="63" t="s">
        <v>116</v>
      </c>
      <c r="C57" s="73">
        <f t="shared" si="0"/>
        <v>4660000</v>
      </c>
      <c r="D57" s="73">
        <f t="shared" si="5"/>
        <v>4660000</v>
      </c>
      <c r="E57" s="73">
        <f t="shared" si="2"/>
        <v>0</v>
      </c>
      <c r="F57" s="41"/>
      <c r="G57" s="80"/>
      <c r="H57" s="80"/>
      <c r="I57" s="41"/>
      <c r="J57" s="70"/>
      <c r="K57" s="70"/>
      <c r="L57" s="70"/>
      <c r="M57" s="70"/>
    </row>
    <row r="58" spans="1:13">
      <c r="A58" s="72">
        <v>55</v>
      </c>
      <c r="B58" s="63" t="s">
        <v>189</v>
      </c>
      <c r="C58" s="73">
        <f t="shared" si="0"/>
        <v>3980000</v>
      </c>
      <c r="D58" s="73">
        <f t="shared" si="5"/>
        <v>3980000</v>
      </c>
      <c r="E58" s="73">
        <f t="shared" si="2"/>
        <v>0</v>
      </c>
      <c r="F58" s="41"/>
      <c r="G58" s="80"/>
      <c r="H58" s="80"/>
      <c r="I58" s="41"/>
      <c r="J58" s="70"/>
      <c r="K58" s="70"/>
      <c r="L58" s="70"/>
      <c r="M58" s="70"/>
    </row>
    <row r="59" spans="1:13">
      <c r="A59" s="72">
        <v>56</v>
      </c>
      <c r="B59" s="63" t="s">
        <v>190</v>
      </c>
      <c r="C59" s="73">
        <f t="shared" si="0"/>
        <v>3906250</v>
      </c>
      <c r="D59" s="73">
        <f t="shared" si="5"/>
        <v>3906250</v>
      </c>
      <c r="E59" s="73">
        <f t="shared" si="2"/>
        <v>0</v>
      </c>
      <c r="F59" s="41"/>
      <c r="G59" s="80"/>
      <c r="H59" s="80"/>
      <c r="I59" s="41"/>
      <c r="J59" s="70"/>
      <c r="K59" s="70"/>
      <c r="L59" s="70"/>
      <c r="M59" s="70"/>
    </row>
    <row r="60" spans="1:13">
      <c r="A60" s="72">
        <v>57</v>
      </c>
      <c r="B60" s="63" t="s">
        <v>107</v>
      </c>
      <c r="C60" s="73">
        <f t="shared" si="0"/>
        <v>3670000</v>
      </c>
      <c r="D60" s="73">
        <f t="shared" si="5"/>
        <v>3670000</v>
      </c>
      <c r="E60" s="73">
        <f t="shared" si="2"/>
        <v>0</v>
      </c>
      <c r="F60" s="41"/>
      <c r="G60" s="80"/>
      <c r="H60" s="80"/>
      <c r="I60" s="41"/>
      <c r="J60" s="70"/>
      <c r="K60" s="70"/>
      <c r="L60" s="70"/>
      <c r="M60" s="70"/>
    </row>
    <row r="61" spans="1:13">
      <c r="A61" s="72">
        <v>58</v>
      </c>
      <c r="B61" s="63" t="s">
        <v>111</v>
      </c>
      <c r="C61" s="73">
        <f t="shared" si="0"/>
        <v>3240000</v>
      </c>
      <c r="D61" s="73">
        <f t="shared" si="5"/>
        <v>3240000</v>
      </c>
      <c r="E61" s="73">
        <f t="shared" si="2"/>
        <v>0</v>
      </c>
      <c r="F61" s="41"/>
      <c r="G61" s="80"/>
      <c r="H61" s="80"/>
      <c r="I61" s="41"/>
      <c r="J61" s="70"/>
      <c r="K61" s="70"/>
      <c r="L61" s="70"/>
      <c r="M61" s="70"/>
    </row>
    <row r="62" spans="1:13">
      <c r="A62" s="72">
        <v>59</v>
      </c>
      <c r="B62" s="63" t="s">
        <v>134</v>
      </c>
      <c r="C62" s="73">
        <f t="shared" si="0"/>
        <v>2997500</v>
      </c>
      <c r="D62" s="73">
        <f t="shared" si="5"/>
        <v>2997500</v>
      </c>
      <c r="E62" s="73">
        <f t="shared" si="2"/>
        <v>0</v>
      </c>
      <c r="F62" s="41"/>
      <c r="G62" s="80"/>
      <c r="H62" s="80"/>
      <c r="I62" s="41"/>
      <c r="J62" s="70"/>
      <c r="K62" s="70"/>
      <c r="L62" s="70"/>
      <c r="M62" s="70"/>
    </row>
    <row r="63" spans="1:13">
      <c r="A63" s="72">
        <v>60</v>
      </c>
      <c r="B63" s="63" t="s">
        <v>191</v>
      </c>
      <c r="C63" s="73">
        <f t="shared" si="0"/>
        <v>2922500</v>
      </c>
      <c r="D63" s="73">
        <f t="shared" si="5"/>
        <v>2922500</v>
      </c>
      <c r="E63" s="73">
        <f t="shared" si="2"/>
        <v>0</v>
      </c>
      <c r="F63" s="41"/>
      <c r="G63" s="80"/>
      <c r="H63" s="80"/>
      <c r="I63" s="41"/>
      <c r="J63" s="70"/>
      <c r="K63" s="70"/>
      <c r="L63" s="70"/>
      <c r="M63" s="70"/>
    </row>
    <row r="64" spans="1:13">
      <c r="A64" s="72">
        <v>61</v>
      </c>
      <c r="B64" s="63" t="s">
        <v>151</v>
      </c>
      <c r="C64" s="73">
        <f t="shared" si="0"/>
        <v>2740000</v>
      </c>
      <c r="D64" s="73">
        <f t="shared" si="5"/>
        <v>2740000</v>
      </c>
      <c r="E64" s="73">
        <f t="shared" si="2"/>
        <v>0</v>
      </c>
      <c r="F64" s="41"/>
      <c r="G64" s="80"/>
      <c r="H64" s="80"/>
      <c r="I64" s="41"/>
      <c r="J64" s="70"/>
      <c r="K64" s="70"/>
      <c r="L64" s="70"/>
      <c r="M64" s="70"/>
    </row>
    <row r="65" spans="1:13">
      <c r="A65" s="72">
        <v>62</v>
      </c>
      <c r="B65" s="63" t="s">
        <v>192</v>
      </c>
      <c r="C65" s="73">
        <f t="shared" si="0"/>
        <v>2672500</v>
      </c>
      <c r="D65" s="73">
        <f t="shared" si="5"/>
        <v>2672500</v>
      </c>
      <c r="E65" s="73">
        <f t="shared" si="2"/>
        <v>0</v>
      </c>
      <c r="F65" s="41"/>
      <c r="G65" s="80"/>
      <c r="H65" s="80"/>
      <c r="I65" s="41"/>
      <c r="J65" s="70"/>
      <c r="K65" s="70"/>
      <c r="L65" s="70"/>
      <c r="M65" s="70"/>
    </row>
    <row r="66" spans="1:13">
      <c r="A66" s="72">
        <v>63</v>
      </c>
      <c r="B66" s="63" t="s">
        <v>68</v>
      </c>
      <c r="C66" s="73">
        <f t="shared" si="0"/>
        <v>2090000</v>
      </c>
      <c r="D66" s="73">
        <f t="shared" si="5"/>
        <v>2090000</v>
      </c>
      <c r="E66" s="73">
        <f t="shared" si="2"/>
        <v>0</v>
      </c>
      <c r="F66" s="41"/>
      <c r="G66" s="80"/>
      <c r="H66" s="80"/>
      <c r="I66" s="41"/>
      <c r="J66" s="70"/>
      <c r="K66" s="70"/>
      <c r="L66" s="70"/>
      <c r="M66" s="70"/>
    </row>
    <row r="67" spans="1:13">
      <c r="A67" s="72">
        <v>64</v>
      </c>
      <c r="B67" s="63" t="s">
        <v>193</v>
      </c>
      <c r="C67" s="73">
        <f t="shared" si="0"/>
        <v>1941000</v>
      </c>
      <c r="D67" s="73">
        <f t="shared" si="5"/>
        <v>1941000</v>
      </c>
      <c r="E67" s="73">
        <f t="shared" si="2"/>
        <v>0</v>
      </c>
      <c r="F67" s="41"/>
      <c r="G67" s="80"/>
      <c r="H67" s="80"/>
      <c r="I67" s="41"/>
      <c r="J67" s="70"/>
      <c r="K67" s="70"/>
      <c r="L67" s="70"/>
      <c r="M67" s="70"/>
    </row>
    <row r="68" spans="1:13">
      <c r="A68" s="72">
        <v>65</v>
      </c>
      <c r="B68" s="63" t="s">
        <v>62</v>
      </c>
      <c r="C68" s="73">
        <f t="shared" ref="C68:C77" si="6">SUMIFS(tballsa,tballnk,B68)</f>
        <v>1875000</v>
      </c>
      <c r="D68" s="73">
        <f t="shared" si="5"/>
        <v>1875000</v>
      </c>
      <c r="E68" s="73">
        <f t="shared" si="2"/>
        <v>0</v>
      </c>
      <c r="F68" s="41"/>
      <c r="G68" s="80"/>
      <c r="H68" s="80"/>
      <c r="I68" s="41"/>
      <c r="J68" s="70"/>
      <c r="K68" s="70"/>
      <c r="L68" s="70"/>
      <c r="M68" s="70"/>
    </row>
    <row r="69" spans="1:13">
      <c r="A69" s="72">
        <v>66</v>
      </c>
      <c r="B69" s="63" t="s">
        <v>168</v>
      </c>
      <c r="C69" s="73">
        <f t="shared" si="6"/>
        <v>4000000</v>
      </c>
      <c r="D69" s="73">
        <f t="shared" si="5"/>
        <v>4000000</v>
      </c>
      <c r="E69" s="73">
        <f t="shared" si="2"/>
        <v>0</v>
      </c>
      <c r="F69" s="41"/>
      <c r="G69" s="80"/>
      <c r="H69" s="80"/>
      <c r="I69" s="41"/>
      <c r="J69" s="70"/>
      <c r="K69" s="70"/>
      <c r="L69" s="70"/>
      <c r="M69" s="70"/>
    </row>
    <row r="70" spans="1:13">
      <c r="A70" s="72">
        <v>67</v>
      </c>
      <c r="B70" s="63" t="s">
        <v>169</v>
      </c>
      <c r="C70" s="73">
        <f t="shared" si="6"/>
        <v>1720000</v>
      </c>
      <c r="D70" s="73">
        <f t="shared" si="5"/>
        <v>1720000</v>
      </c>
      <c r="E70" s="73">
        <f t="shared" ref="E70:E129" si="7">C70-D70</f>
        <v>0</v>
      </c>
      <c r="F70" s="41"/>
      <c r="G70" s="80"/>
      <c r="H70" s="80"/>
      <c r="I70" s="41"/>
      <c r="J70" s="70"/>
      <c r="K70" s="70"/>
      <c r="L70" s="70"/>
      <c r="M70" s="70"/>
    </row>
    <row r="71" spans="1:13">
      <c r="A71" s="72">
        <v>68</v>
      </c>
      <c r="B71" s="63" t="s">
        <v>104</v>
      </c>
      <c r="C71" s="73">
        <f t="shared" si="6"/>
        <v>1566000</v>
      </c>
      <c r="D71" s="73">
        <f t="shared" si="5"/>
        <v>1566000</v>
      </c>
      <c r="E71" s="73">
        <f t="shared" si="7"/>
        <v>0</v>
      </c>
      <c r="F71" s="41"/>
      <c r="G71" s="80"/>
      <c r="H71" s="80"/>
      <c r="I71" s="41"/>
      <c r="J71" s="70"/>
      <c r="K71" s="70"/>
      <c r="L71" s="70"/>
      <c r="M71" s="70"/>
    </row>
    <row r="72" spans="1:13">
      <c r="A72" s="72">
        <v>69</v>
      </c>
      <c r="B72" s="63" t="s">
        <v>194</v>
      </c>
      <c r="C72" s="73">
        <f t="shared" si="6"/>
        <v>1392500</v>
      </c>
      <c r="D72" s="73">
        <f t="shared" si="5"/>
        <v>1392500</v>
      </c>
      <c r="E72" s="73">
        <f t="shared" si="7"/>
        <v>0</v>
      </c>
      <c r="F72" s="41"/>
      <c r="G72" s="80"/>
      <c r="H72" s="80"/>
      <c r="I72" s="41"/>
      <c r="J72" s="70"/>
      <c r="K72" s="70"/>
      <c r="L72" s="70"/>
      <c r="M72" s="70"/>
    </row>
    <row r="73" spans="1:13">
      <c r="A73" s="72">
        <v>70</v>
      </c>
      <c r="B73" s="63" t="s">
        <v>195</v>
      </c>
      <c r="C73" s="73">
        <f t="shared" si="6"/>
        <v>1175000</v>
      </c>
      <c r="D73" s="73">
        <f t="shared" si="5"/>
        <v>1175000</v>
      </c>
      <c r="E73" s="73">
        <f t="shared" si="7"/>
        <v>0</v>
      </c>
      <c r="F73" s="41"/>
      <c r="G73" s="80"/>
      <c r="H73" s="80"/>
      <c r="I73" s="41"/>
      <c r="J73" s="70"/>
      <c r="K73" s="70"/>
      <c r="L73" s="70"/>
      <c r="M73" s="70"/>
    </row>
    <row r="74" spans="1:13">
      <c r="A74" s="72">
        <v>71</v>
      </c>
      <c r="B74" s="63" t="s">
        <v>106</v>
      </c>
      <c r="C74" s="73">
        <f t="shared" si="6"/>
        <v>3975000</v>
      </c>
      <c r="D74" s="73">
        <f t="shared" si="5"/>
        <v>3975000</v>
      </c>
      <c r="E74" s="73">
        <f t="shared" si="7"/>
        <v>0</v>
      </c>
      <c r="F74" s="41"/>
      <c r="G74" s="80"/>
      <c r="H74" s="80"/>
      <c r="I74" s="41"/>
      <c r="J74" s="70"/>
      <c r="K74" s="70"/>
      <c r="L74" s="70"/>
      <c r="M74" s="70"/>
    </row>
    <row r="75" spans="1:13">
      <c r="A75" s="72">
        <v>72</v>
      </c>
      <c r="B75" s="63" t="s">
        <v>101</v>
      </c>
      <c r="C75" s="73">
        <f t="shared" si="6"/>
        <v>980000</v>
      </c>
      <c r="D75" s="73">
        <f t="shared" si="5"/>
        <v>980000</v>
      </c>
      <c r="E75" s="73">
        <f t="shared" si="7"/>
        <v>0</v>
      </c>
      <c r="F75" s="41"/>
      <c r="G75" s="80"/>
      <c r="H75" s="80"/>
      <c r="I75" s="41"/>
      <c r="J75" s="70"/>
      <c r="K75" s="70"/>
      <c r="L75" s="70"/>
      <c r="M75" s="70"/>
    </row>
    <row r="76" spans="1:13">
      <c r="A76" s="72">
        <v>73</v>
      </c>
      <c r="B76" s="63" t="s">
        <v>152</v>
      </c>
      <c r="C76" s="73">
        <f t="shared" si="6"/>
        <v>903500</v>
      </c>
      <c r="D76" s="73">
        <f t="shared" si="5"/>
        <v>903500</v>
      </c>
      <c r="E76" s="73">
        <f t="shared" si="7"/>
        <v>0</v>
      </c>
      <c r="F76" s="41"/>
      <c r="G76" s="80"/>
      <c r="H76" s="80"/>
      <c r="I76" s="41"/>
      <c r="J76" s="70"/>
      <c r="K76" s="70"/>
      <c r="L76" s="70"/>
      <c r="M76" s="70"/>
    </row>
    <row r="77" spans="1:13">
      <c r="A77" s="72">
        <v>74</v>
      </c>
      <c r="B77" s="63" t="s">
        <v>175</v>
      </c>
      <c r="C77" s="73">
        <f t="shared" si="6"/>
        <v>408000</v>
      </c>
      <c r="D77" s="73">
        <f t="shared" si="5"/>
        <v>408000</v>
      </c>
      <c r="E77" s="73">
        <f t="shared" si="7"/>
        <v>0</v>
      </c>
      <c r="F77" s="41"/>
      <c r="G77" s="80"/>
      <c r="H77" s="80"/>
      <c r="I77" s="41"/>
      <c r="J77" s="70"/>
      <c r="K77" s="70"/>
      <c r="L77" s="70"/>
      <c r="M77" s="70"/>
    </row>
    <row r="78" spans="1:13" hidden="1">
      <c r="A78" s="72">
        <v>75</v>
      </c>
      <c r="B78" s="63"/>
      <c r="C78" s="73"/>
      <c r="D78" s="73"/>
      <c r="E78" s="81">
        <f t="shared" si="7"/>
        <v>0</v>
      </c>
      <c r="F78" s="41"/>
      <c r="G78" s="80"/>
      <c r="H78" s="80"/>
      <c r="I78" s="41"/>
      <c r="J78" s="70"/>
      <c r="K78" s="70"/>
      <c r="L78" s="70"/>
      <c r="M78" s="70"/>
    </row>
    <row r="79" spans="1:13" hidden="1">
      <c r="A79" s="72">
        <v>76</v>
      </c>
      <c r="B79" s="63"/>
      <c r="C79" s="73"/>
      <c r="D79" s="73"/>
      <c r="E79" s="81">
        <f t="shared" si="7"/>
        <v>0</v>
      </c>
      <c r="F79" s="41"/>
      <c r="G79" s="80"/>
      <c r="H79" s="80"/>
      <c r="I79" s="41"/>
      <c r="J79" s="70"/>
      <c r="K79" s="70"/>
      <c r="L79" s="70"/>
      <c r="M79" s="70"/>
    </row>
    <row r="80" spans="1:13" hidden="1">
      <c r="A80" s="72">
        <v>77</v>
      </c>
      <c r="B80" s="63"/>
      <c r="C80" s="73"/>
      <c r="D80" s="73"/>
      <c r="E80" s="81">
        <f t="shared" si="7"/>
        <v>0</v>
      </c>
      <c r="F80" s="41"/>
      <c r="G80" s="80"/>
      <c r="H80" s="80"/>
      <c r="I80" s="41"/>
      <c r="J80" s="70"/>
      <c r="K80" s="70"/>
      <c r="L80" s="70"/>
      <c r="M80" s="70"/>
    </row>
    <row r="81" spans="1:13" hidden="1">
      <c r="A81" s="72">
        <v>78</v>
      </c>
      <c r="B81" s="63"/>
      <c r="C81" s="73"/>
      <c r="D81" s="73"/>
      <c r="E81" s="81">
        <f t="shared" si="7"/>
        <v>0</v>
      </c>
      <c r="F81" s="41"/>
      <c r="G81" s="80"/>
      <c r="H81" s="80"/>
      <c r="I81" s="41"/>
      <c r="J81" s="70"/>
      <c r="K81" s="70"/>
      <c r="L81" s="70"/>
      <c r="M81" s="70"/>
    </row>
    <row r="82" spans="1:13" hidden="1">
      <c r="A82" s="72">
        <v>79</v>
      </c>
      <c r="B82" s="63"/>
      <c r="C82" s="73"/>
      <c r="D82" s="73"/>
      <c r="E82" s="81">
        <f t="shared" si="7"/>
        <v>0</v>
      </c>
      <c r="F82" s="41"/>
      <c r="G82" s="80"/>
      <c r="H82" s="80"/>
      <c r="I82" s="41"/>
      <c r="J82" s="70"/>
      <c r="K82" s="70"/>
      <c r="L82" s="70"/>
      <c r="M82" s="70"/>
    </row>
    <row r="83" spans="1:13" hidden="1">
      <c r="A83" s="72">
        <v>80</v>
      </c>
      <c r="B83" s="63"/>
      <c r="C83" s="73"/>
      <c r="D83" s="73"/>
      <c r="E83" s="81">
        <f t="shared" si="7"/>
        <v>0</v>
      </c>
      <c r="F83" s="41"/>
      <c r="G83" s="80"/>
      <c r="H83" s="80"/>
      <c r="I83" s="41"/>
      <c r="J83" s="70"/>
      <c r="K83" s="70"/>
      <c r="L83" s="70"/>
      <c r="M83" s="70"/>
    </row>
    <row r="84" spans="1:13" hidden="1">
      <c r="A84" s="72">
        <v>81</v>
      </c>
      <c r="B84" s="63"/>
      <c r="C84" s="73"/>
      <c r="D84" s="73"/>
      <c r="E84" s="81">
        <f t="shared" si="7"/>
        <v>0</v>
      </c>
      <c r="F84" s="41"/>
      <c r="G84" s="80"/>
      <c r="H84" s="80"/>
      <c r="I84" s="41"/>
      <c r="J84" s="70"/>
      <c r="K84" s="70"/>
      <c r="L84" s="70"/>
      <c r="M84" s="70"/>
    </row>
    <row r="85" spans="1:13" hidden="1">
      <c r="A85" s="72">
        <v>82</v>
      </c>
      <c r="B85" s="63"/>
      <c r="C85" s="73">
        <f t="shared" ref="C85:C99" si="8">SUMIFS(tballsa,tballnk,B85)</f>
        <v>0</v>
      </c>
      <c r="D85" s="73">
        <f t="shared" ref="D85:D128" si="9">C85</f>
        <v>0</v>
      </c>
      <c r="E85" s="81">
        <f t="shared" si="7"/>
        <v>0</v>
      </c>
      <c r="F85" s="41"/>
      <c r="G85" s="80"/>
      <c r="H85" s="80"/>
      <c r="I85" s="41"/>
      <c r="J85" s="70"/>
      <c r="K85" s="70"/>
      <c r="L85" s="70"/>
      <c r="M85" s="70"/>
    </row>
    <row r="86" spans="1:13" hidden="1">
      <c r="A86" s="72">
        <v>83</v>
      </c>
      <c r="B86" s="63"/>
      <c r="C86" s="73">
        <f t="shared" si="8"/>
        <v>0</v>
      </c>
      <c r="D86" s="73">
        <f t="shared" si="9"/>
        <v>0</v>
      </c>
      <c r="E86" s="81">
        <f t="shared" si="7"/>
        <v>0</v>
      </c>
      <c r="F86" s="41"/>
      <c r="G86" s="80"/>
      <c r="H86" s="80"/>
      <c r="I86" s="41"/>
      <c r="J86" s="70"/>
      <c r="K86" s="70"/>
      <c r="L86" s="70"/>
      <c r="M86" s="70"/>
    </row>
    <row r="87" spans="1:13" hidden="1">
      <c r="A87" s="72">
        <v>84</v>
      </c>
      <c r="B87" s="63"/>
      <c r="C87" s="73">
        <f t="shared" si="8"/>
        <v>0</v>
      </c>
      <c r="D87" s="73">
        <f t="shared" si="9"/>
        <v>0</v>
      </c>
      <c r="E87" s="81">
        <f t="shared" si="7"/>
        <v>0</v>
      </c>
      <c r="F87" s="41"/>
      <c r="G87" s="80"/>
      <c r="H87" s="80"/>
      <c r="I87" s="41"/>
      <c r="J87" s="70"/>
      <c r="K87" s="70"/>
      <c r="L87" s="70"/>
      <c r="M87" s="70"/>
    </row>
    <row r="88" spans="1:13" hidden="1">
      <c r="A88" s="72">
        <v>85</v>
      </c>
      <c r="B88" s="63"/>
      <c r="C88" s="73">
        <f t="shared" si="8"/>
        <v>0</v>
      </c>
      <c r="D88" s="73">
        <f t="shared" si="9"/>
        <v>0</v>
      </c>
      <c r="E88" s="81">
        <f t="shared" si="7"/>
        <v>0</v>
      </c>
      <c r="F88" s="41"/>
      <c r="G88" s="80"/>
      <c r="H88" s="80"/>
      <c r="I88" s="78"/>
      <c r="J88" s="70"/>
      <c r="K88" s="70"/>
      <c r="L88" s="70"/>
      <c r="M88" s="70"/>
    </row>
    <row r="89" spans="1:13" hidden="1">
      <c r="A89" s="72">
        <v>86</v>
      </c>
      <c r="B89" s="63"/>
      <c r="C89" s="73">
        <f t="shared" si="8"/>
        <v>0</v>
      </c>
      <c r="D89" s="73">
        <f t="shared" si="9"/>
        <v>0</v>
      </c>
      <c r="E89" s="81">
        <f t="shared" si="7"/>
        <v>0</v>
      </c>
      <c r="F89" s="41"/>
      <c r="G89" s="80"/>
      <c r="H89" s="80"/>
      <c r="I89" s="78"/>
      <c r="J89" s="70"/>
      <c r="K89" s="70"/>
      <c r="L89" s="70"/>
      <c r="M89" s="70"/>
    </row>
    <row r="90" spans="1:13" hidden="1">
      <c r="A90" s="72">
        <v>87</v>
      </c>
      <c r="B90" s="63"/>
      <c r="C90" s="73">
        <f t="shared" si="8"/>
        <v>0</v>
      </c>
      <c r="D90" s="73">
        <f t="shared" si="9"/>
        <v>0</v>
      </c>
      <c r="E90" s="81">
        <f t="shared" si="7"/>
        <v>0</v>
      </c>
      <c r="F90" s="41"/>
      <c r="G90" s="80"/>
      <c r="H90" s="80"/>
      <c r="I90" s="41"/>
      <c r="J90" s="70"/>
      <c r="K90" s="70"/>
      <c r="L90" s="70"/>
      <c r="M90" s="70"/>
    </row>
    <row r="91" spans="1:13" hidden="1">
      <c r="A91" s="72">
        <v>88</v>
      </c>
      <c r="B91" s="63"/>
      <c r="C91" s="73">
        <f t="shared" si="8"/>
        <v>0</v>
      </c>
      <c r="D91" s="73">
        <f t="shared" si="9"/>
        <v>0</v>
      </c>
      <c r="E91" s="81">
        <f t="shared" si="7"/>
        <v>0</v>
      </c>
      <c r="F91" s="41"/>
      <c r="G91" s="80"/>
      <c r="H91" s="80"/>
      <c r="I91" s="41"/>
      <c r="J91" s="70"/>
      <c r="K91" s="70"/>
      <c r="L91" s="70"/>
      <c r="M91" s="70"/>
    </row>
    <row r="92" spans="1:13" hidden="1">
      <c r="A92" s="72">
        <v>89</v>
      </c>
      <c r="B92" s="63"/>
      <c r="C92" s="73">
        <f t="shared" si="8"/>
        <v>0</v>
      </c>
      <c r="D92" s="73">
        <f t="shared" si="9"/>
        <v>0</v>
      </c>
      <c r="E92" s="81">
        <f t="shared" si="7"/>
        <v>0</v>
      </c>
      <c r="F92" s="41"/>
      <c r="G92" s="80"/>
      <c r="H92" s="80"/>
      <c r="I92" s="41"/>
      <c r="J92" s="70"/>
      <c r="K92" s="70"/>
      <c r="L92" s="70"/>
      <c r="M92" s="70"/>
    </row>
    <row r="93" spans="1:13" hidden="1">
      <c r="A93" s="72">
        <v>90</v>
      </c>
      <c r="B93" s="63"/>
      <c r="C93" s="73">
        <f t="shared" si="8"/>
        <v>0</v>
      </c>
      <c r="D93" s="73">
        <f t="shared" si="9"/>
        <v>0</v>
      </c>
      <c r="E93" s="81">
        <f t="shared" si="7"/>
        <v>0</v>
      </c>
      <c r="F93" s="41"/>
      <c r="G93" s="80"/>
      <c r="H93" s="80"/>
      <c r="I93" s="41"/>
      <c r="J93" s="70"/>
      <c r="K93" s="70"/>
      <c r="L93" s="70"/>
      <c r="M93" s="70"/>
    </row>
    <row r="94" spans="1:13" hidden="1">
      <c r="A94" s="72">
        <v>91</v>
      </c>
      <c r="B94" s="63"/>
      <c r="C94" s="73">
        <f t="shared" si="8"/>
        <v>0</v>
      </c>
      <c r="D94" s="73">
        <f t="shared" si="9"/>
        <v>0</v>
      </c>
      <c r="E94" s="81">
        <f t="shared" si="7"/>
        <v>0</v>
      </c>
      <c r="F94" s="41"/>
      <c r="G94" s="80"/>
      <c r="H94" s="80"/>
      <c r="I94" s="41"/>
      <c r="J94" s="70"/>
      <c r="K94" s="70"/>
      <c r="L94" s="70"/>
      <c r="M94" s="70"/>
    </row>
    <row r="95" spans="1:13" hidden="1">
      <c r="A95" s="72">
        <v>92</v>
      </c>
      <c r="B95" s="63"/>
      <c r="C95" s="73">
        <f t="shared" si="8"/>
        <v>0</v>
      </c>
      <c r="D95" s="73">
        <f t="shared" si="9"/>
        <v>0</v>
      </c>
      <c r="E95" s="81">
        <f t="shared" si="7"/>
        <v>0</v>
      </c>
      <c r="F95" s="41"/>
      <c r="G95" s="80"/>
      <c r="H95" s="80"/>
      <c r="I95" s="41"/>
      <c r="J95" s="70"/>
      <c r="K95" s="70"/>
      <c r="L95" s="70"/>
      <c r="M95" s="70"/>
    </row>
    <row r="96" spans="1:13" hidden="1">
      <c r="A96" s="72">
        <v>93</v>
      </c>
      <c r="B96" s="63"/>
      <c r="C96" s="73">
        <f t="shared" si="8"/>
        <v>0</v>
      </c>
      <c r="D96" s="73">
        <f t="shared" si="9"/>
        <v>0</v>
      </c>
      <c r="E96" s="81">
        <f t="shared" si="7"/>
        <v>0</v>
      </c>
      <c r="F96" s="41"/>
      <c r="G96" s="80"/>
      <c r="H96" s="80"/>
      <c r="I96" s="41"/>
      <c r="J96" s="70"/>
      <c r="K96" s="70"/>
      <c r="L96" s="70"/>
      <c r="M96" s="70"/>
    </row>
    <row r="97" spans="1:13" hidden="1">
      <c r="A97" s="72">
        <v>94</v>
      </c>
      <c r="B97" s="63"/>
      <c r="C97" s="73">
        <f t="shared" si="8"/>
        <v>0</v>
      </c>
      <c r="D97" s="73">
        <f t="shared" si="9"/>
        <v>0</v>
      </c>
      <c r="E97" s="81">
        <f t="shared" si="7"/>
        <v>0</v>
      </c>
      <c r="F97" s="41"/>
      <c r="G97" s="80"/>
      <c r="H97" s="80"/>
      <c r="I97" s="41"/>
      <c r="J97" s="70"/>
      <c r="K97" s="70"/>
      <c r="L97" s="70"/>
      <c r="M97" s="70"/>
    </row>
    <row r="98" spans="1:13" hidden="1">
      <c r="A98" s="72">
        <v>95</v>
      </c>
      <c r="B98" s="63"/>
      <c r="C98" s="73">
        <f t="shared" si="8"/>
        <v>0</v>
      </c>
      <c r="D98" s="73">
        <f t="shared" si="9"/>
        <v>0</v>
      </c>
      <c r="E98" s="81">
        <f t="shared" si="7"/>
        <v>0</v>
      </c>
      <c r="F98" s="41"/>
      <c r="G98" s="80"/>
      <c r="H98" s="80"/>
      <c r="I98" s="41"/>
      <c r="J98" s="70"/>
      <c r="K98" s="70"/>
      <c r="L98" s="70"/>
      <c r="M98" s="70"/>
    </row>
    <row r="99" spans="1:13" hidden="1">
      <c r="A99" s="72">
        <v>96</v>
      </c>
      <c r="B99" s="63"/>
      <c r="C99" s="73">
        <f t="shared" si="8"/>
        <v>0</v>
      </c>
      <c r="D99" s="73">
        <f t="shared" si="9"/>
        <v>0</v>
      </c>
      <c r="E99" s="81">
        <f t="shared" si="7"/>
        <v>0</v>
      </c>
      <c r="F99" s="41"/>
      <c r="G99" s="80"/>
      <c r="H99" s="80"/>
      <c r="I99" s="41"/>
      <c r="J99" s="70"/>
      <c r="K99" s="70"/>
      <c r="L99" s="70"/>
      <c r="M99" s="70"/>
    </row>
    <row r="100" spans="1:13" hidden="1">
      <c r="A100" s="72">
        <v>97</v>
      </c>
      <c r="B100" s="63"/>
      <c r="C100" s="73">
        <f t="shared" ref="C100:C129" si="10">SUMIFS(tballsa,tballnk,B100)</f>
        <v>0</v>
      </c>
      <c r="D100" s="73">
        <f t="shared" si="9"/>
        <v>0</v>
      </c>
      <c r="E100" s="81">
        <f t="shared" si="7"/>
        <v>0</v>
      </c>
      <c r="F100" s="41"/>
      <c r="G100" s="80"/>
      <c r="H100" s="80"/>
      <c r="I100" s="41"/>
      <c r="J100" s="70"/>
      <c r="K100" s="70"/>
      <c r="L100" s="70"/>
      <c r="M100" s="70"/>
    </row>
    <row r="101" spans="1:13" hidden="1">
      <c r="A101" s="72">
        <v>98</v>
      </c>
      <c r="B101" s="63"/>
      <c r="C101" s="73">
        <f t="shared" si="10"/>
        <v>0</v>
      </c>
      <c r="D101" s="73">
        <f t="shared" si="9"/>
        <v>0</v>
      </c>
      <c r="E101" s="81">
        <f t="shared" si="7"/>
        <v>0</v>
      </c>
      <c r="F101" s="41"/>
      <c r="G101" s="80"/>
      <c r="H101" s="80"/>
      <c r="I101" s="41"/>
      <c r="J101" s="70"/>
      <c r="K101" s="70"/>
      <c r="L101" s="70"/>
      <c r="M101" s="70"/>
    </row>
    <row r="102" spans="1:13" hidden="1">
      <c r="A102" s="72">
        <v>99</v>
      </c>
      <c r="B102" s="63"/>
      <c r="C102" s="73">
        <f t="shared" si="10"/>
        <v>0</v>
      </c>
      <c r="D102" s="73">
        <f t="shared" si="9"/>
        <v>0</v>
      </c>
      <c r="E102" s="81">
        <f t="shared" si="7"/>
        <v>0</v>
      </c>
      <c r="F102" s="41"/>
      <c r="G102" s="80"/>
      <c r="H102" s="80"/>
      <c r="I102" s="41"/>
      <c r="J102" s="70"/>
      <c r="K102" s="70"/>
      <c r="L102" s="70"/>
      <c r="M102" s="70"/>
    </row>
    <row r="103" spans="1:13" hidden="1">
      <c r="A103" s="72">
        <v>100</v>
      </c>
      <c r="B103" s="63"/>
      <c r="C103" s="73">
        <f t="shared" si="10"/>
        <v>0</v>
      </c>
      <c r="D103" s="73">
        <f t="shared" si="9"/>
        <v>0</v>
      </c>
      <c r="E103" s="81">
        <f t="shared" si="7"/>
        <v>0</v>
      </c>
      <c r="F103" s="41"/>
      <c r="G103" s="80"/>
      <c r="H103" s="80"/>
      <c r="I103" s="41"/>
      <c r="J103" s="70"/>
      <c r="K103" s="70"/>
      <c r="L103" s="70"/>
      <c r="M103" s="70"/>
    </row>
    <row r="104" spans="1:13" hidden="1">
      <c r="A104" s="72">
        <v>101</v>
      </c>
      <c r="B104" s="63"/>
      <c r="C104" s="73">
        <f t="shared" si="10"/>
        <v>0</v>
      </c>
      <c r="D104" s="73">
        <f t="shared" si="9"/>
        <v>0</v>
      </c>
      <c r="E104" s="81">
        <f t="shared" si="7"/>
        <v>0</v>
      </c>
      <c r="F104" s="41"/>
      <c r="G104" s="80"/>
      <c r="H104" s="80"/>
      <c r="I104" s="41"/>
      <c r="J104" s="70"/>
      <c r="K104" s="70"/>
      <c r="L104" s="70"/>
      <c r="M104" s="70"/>
    </row>
    <row r="105" spans="1:13" hidden="1">
      <c r="A105" s="72">
        <v>102</v>
      </c>
      <c r="B105" s="63"/>
      <c r="C105" s="73">
        <f t="shared" si="10"/>
        <v>0</v>
      </c>
      <c r="D105" s="73">
        <f t="shared" si="9"/>
        <v>0</v>
      </c>
      <c r="E105" s="81">
        <f t="shared" si="7"/>
        <v>0</v>
      </c>
      <c r="F105" s="41"/>
      <c r="G105" s="80"/>
      <c r="H105" s="80"/>
      <c r="I105" s="41"/>
      <c r="J105" s="70"/>
      <c r="K105" s="70"/>
      <c r="L105" s="70"/>
      <c r="M105" s="70"/>
    </row>
    <row r="106" spans="1:13" hidden="1">
      <c r="A106" s="72">
        <v>103</v>
      </c>
      <c r="B106" s="63"/>
      <c r="C106" s="73">
        <f t="shared" si="10"/>
        <v>0</v>
      </c>
      <c r="D106" s="73">
        <f t="shared" si="9"/>
        <v>0</v>
      </c>
      <c r="E106" s="81">
        <f t="shared" si="7"/>
        <v>0</v>
      </c>
      <c r="F106" s="41"/>
      <c r="G106" s="80"/>
      <c r="H106" s="80"/>
      <c r="I106" s="41"/>
      <c r="J106" s="70"/>
      <c r="K106" s="70"/>
      <c r="L106" s="70"/>
      <c r="M106" s="70"/>
    </row>
    <row r="107" spans="1:13" hidden="1">
      <c r="A107" s="72">
        <v>104</v>
      </c>
      <c r="B107" s="63"/>
      <c r="C107" s="73">
        <f t="shared" si="10"/>
        <v>0</v>
      </c>
      <c r="D107" s="73">
        <f t="shared" si="9"/>
        <v>0</v>
      </c>
      <c r="E107" s="81">
        <f t="shared" si="7"/>
        <v>0</v>
      </c>
      <c r="F107" s="41"/>
      <c r="G107" s="80"/>
      <c r="H107" s="80"/>
      <c r="I107" s="41"/>
      <c r="J107" s="70"/>
      <c r="K107" s="70"/>
      <c r="L107" s="70"/>
      <c r="M107" s="70"/>
    </row>
    <row r="108" spans="1:13" hidden="1">
      <c r="A108" s="72">
        <v>105</v>
      </c>
      <c r="B108" s="63"/>
      <c r="C108" s="73">
        <f t="shared" si="10"/>
        <v>0</v>
      </c>
      <c r="D108" s="73">
        <f t="shared" si="9"/>
        <v>0</v>
      </c>
      <c r="E108" s="81">
        <f t="shared" si="7"/>
        <v>0</v>
      </c>
      <c r="F108" s="41"/>
      <c r="G108" s="80"/>
      <c r="H108" s="80"/>
      <c r="I108" s="41"/>
      <c r="J108" s="70"/>
      <c r="K108" s="70"/>
      <c r="L108" s="70"/>
      <c r="M108" s="70"/>
    </row>
    <row r="109" spans="1:13" hidden="1">
      <c r="A109" s="72">
        <v>106</v>
      </c>
      <c r="B109" s="63"/>
      <c r="C109" s="73">
        <f t="shared" si="10"/>
        <v>0</v>
      </c>
      <c r="D109" s="73">
        <f t="shared" si="9"/>
        <v>0</v>
      </c>
      <c r="E109" s="81">
        <f t="shared" si="7"/>
        <v>0</v>
      </c>
      <c r="F109" s="41"/>
      <c r="G109" s="80"/>
      <c r="H109" s="80"/>
      <c r="I109" s="41"/>
      <c r="J109" s="70"/>
      <c r="K109" s="70"/>
      <c r="L109" s="70"/>
      <c r="M109" s="70"/>
    </row>
    <row r="110" spans="1:13" hidden="1">
      <c r="A110" s="72">
        <v>107</v>
      </c>
      <c r="B110" s="63"/>
      <c r="C110" s="73">
        <f t="shared" si="10"/>
        <v>0</v>
      </c>
      <c r="D110" s="73">
        <f t="shared" si="9"/>
        <v>0</v>
      </c>
      <c r="E110" s="81">
        <f t="shared" si="7"/>
        <v>0</v>
      </c>
      <c r="F110" s="41"/>
      <c r="G110" s="80"/>
      <c r="H110" s="80"/>
      <c r="I110" s="41"/>
      <c r="J110" s="70"/>
      <c r="K110" s="70"/>
      <c r="L110" s="70"/>
      <c r="M110" s="70"/>
    </row>
    <row r="111" spans="1:13" hidden="1">
      <c r="A111" s="72">
        <v>108</v>
      </c>
      <c r="B111" s="63"/>
      <c r="C111" s="73">
        <f t="shared" si="10"/>
        <v>0</v>
      </c>
      <c r="D111" s="73">
        <f t="shared" si="9"/>
        <v>0</v>
      </c>
      <c r="E111" s="81">
        <f t="shared" si="7"/>
        <v>0</v>
      </c>
      <c r="F111" s="41"/>
      <c r="G111" s="80"/>
      <c r="H111" s="80"/>
      <c r="I111" s="41"/>
      <c r="J111" s="70"/>
      <c r="K111" s="70"/>
      <c r="L111" s="70"/>
      <c r="M111" s="70"/>
    </row>
    <row r="112" spans="1:13" hidden="1">
      <c r="A112" s="72">
        <v>109</v>
      </c>
      <c r="B112" s="63"/>
      <c r="C112" s="73">
        <f t="shared" si="10"/>
        <v>0</v>
      </c>
      <c r="D112" s="73">
        <f t="shared" si="9"/>
        <v>0</v>
      </c>
      <c r="E112" s="81">
        <f t="shared" si="7"/>
        <v>0</v>
      </c>
      <c r="F112" s="41"/>
      <c r="G112" s="80"/>
      <c r="H112" s="80"/>
      <c r="I112" s="78"/>
      <c r="J112" s="70"/>
      <c r="K112" s="70"/>
      <c r="L112" s="70"/>
      <c r="M112" s="70"/>
    </row>
    <row r="113" spans="1:13" hidden="1">
      <c r="A113" s="72">
        <v>110</v>
      </c>
      <c r="B113" s="63"/>
      <c r="C113" s="73">
        <f t="shared" si="10"/>
        <v>0</v>
      </c>
      <c r="D113" s="73">
        <f t="shared" si="9"/>
        <v>0</v>
      </c>
      <c r="E113" s="81">
        <f t="shared" si="7"/>
        <v>0</v>
      </c>
      <c r="F113" s="41"/>
      <c r="G113" s="80"/>
      <c r="H113" s="80"/>
      <c r="I113" s="78"/>
      <c r="J113" s="70"/>
      <c r="K113" s="70"/>
      <c r="L113" s="70"/>
      <c r="M113" s="70"/>
    </row>
    <row r="114" spans="1:13" hidden="1">
      <c r="A114" s="72">
        <v>111</v>
      </c>
      <c r="B114" s="63"/>
      <c r="C114" s="73">
        <f t="shared" si="10"/>
        <v>0</v>
      </c>
      <c r="D114" s="73">
        <f t="shared" si="9"/>
        <v>0</v>
      </c>
      <c r="E114" s="81">
        <f t="shared" si="7"/>
        <v>0</v>
      </c>
      <c r="F114" s="41"/>
      <c r="G114" s="80"/>
      <c r="H114" s="80"/>
      <c r="I114" s="41"/>
      <c r="J114" s="70"/>
      <c r="K114" s="70"/>
      <c r="L114" s="70"/>
      <c r="M114" s="70"/>
    </row>
    <row r="115" spans="1:13" hidden="1">
      <c r="A115" s="72">
        <v>112</v>
      </c>
      <c r="B115" s="63"/>
      <c r="C115" s="73">
        <f t="shared" si="10"/>
        <v>0</v>
      </c>
      <c r="D115" s="73">
        <f t="shared" si="9"/>
        <v>0</v>
      </c>
      <c r="E115" s="81">
        <f t="shared" si="7"/>
        <v>0</v>
      </c>
      <c r="F115" s="41"/>
      <c r="G115" s="80"/>
      <c r="H115" s="80"/>
      <c r="I115" s="41"/>
      <c r="J115" s="70"/>
      <c r="K115" s="70"/>
      <c r="L115" s="70"/>
      <c r="M115" s="70"/>
    </row>
    <row r="116" spans="1:13" hidden="1">
      <c r="A116" s="72">
        <v>113</v>
      </c>
      <c r="B116" s="63"/>
      <c r="C116" s="73">
        <f t="shared" si="10"/>
        <v>0</v>
      </c>
      <c r="D116" s="73">
        <f t="shared" si="9"/>
        <v>0</v>
      </c>
      <c r="E116" s="81">
        <f t="shared" si="7"/>
        <v>0</v>
      </c>
      <c r="F116" s="41"/>
      <c r="G116" s="80"/>
      <c r="H116" s="80"/>
      <c r="I116" s="41"/>
      <c r="J116" s="70"/>
      <c r="K116" s="70"/>
      <c r="L116" s="70"/>
      <c r="M116" s="70"/>
    </row>
    <row r="117" spans="1:13" hidden="1">
      <c r="A117" s="72">
        <v>114</v>
      </c>
      <c r="B117" s="63"/>
      <c r="C117" s="73">
        <f t="shared" si="10"/>
        <v>0</v>
      </c>
      <c r="D117" s="73">
        <f t="shared" si="9"/>
        <v>0</v>
      </c>
      <c r="E117" s="81">
        <f t="shared" si="7"/>
        <v>0</v>
      </c>
      <c r="F117" s="41"/>
      <c r="G117" s="80"/>
      <c r="H117" s="80"/>
      <c r="I117" s="41"/>
      <c r="J117" s="70"/>
      <c r="K117" s="70"/>
      <c r="L117" s="70"/>
      <c r="M117" s="70"/>
    </row>
    <row r="118" spans="1:13" hidden="1">
      <c r="A118" s="72">
        <v>115</v>
      </c>
      <c r="B118" s="63"/>
      <c r="C118" s="73">
        <f t="shared" si="10"/>
        <v>0</v>
      </c>
      <c r="D118" s="73">
        <f t="shared" si="9"/>
        <v>0</v>
      </c>
      <c r="E118" s="81">
        <f t="shared" si="7"/>
        <v>0</v>
      </c>
      <c r="F118" s="41"/>
      <c r="G118" s="80"/>
      <c r="H118" s="80"/>
      <c r="I118" s="41"/>
      <c r="J118" s="70"/>
      <c r="K118" s="70"/>
      <c r="L118" s="70"/>
      <c r="M118" s="70"/>
    </row>
    <row r="119" spans="1:13" hidden="1">
      <c r="A119" s="72">
        <v>116</v>
      </c>
      <c r="B119" s="63"/>
      <c r="C119" s="73">
        <f t="shared" si="10"/>
        <v>0</v>
      </c>
      <c r="D119" s="73">
        <f t="shared" si="9"/>
        <v>0</v>
      </c>
      <c r="E119" s="81">
        <f t="shared" si="7"/>
        <v>0</v>
      </c>
      <c r="F119" s="41"/>
      <c r="G119" s="80"/>
      <c r="H119" s="80"/>
      <c r="I119" s="41"/>
      <c r="J119" s="70"/>
      <c r="K119" s="70"/>
      <c r="L119" s="70"/>
      <c r="M119" s="70"/>
    </row>
    <row r="120" spans="1:13" hidden="1">
      <c r="A120" s="72">
        <v>117</v>
      </c>
      <c r="B120" s="63"/>
      <c r="C120" s="73">
        <f t="shared" si="10"/>
        <v>0</v>
      </c>
      <c r="D120" s="73">
        <f t="shared" si="9"/>
        <v>0</v>
      </c>
      <c r="E120" s="81">
        <f t="shared" si="7"/>
        <v>0</v>
      </c>
      <c r="F120" s="41"/>
      <c r="G120" s="80"/>
      <c r="H120" s="80"/>
      <c r="I120" s="41"/>
      <c r="J120" s="70"/>
      <c r="K120" s="70"/>
      <c r="L120" s="70"/>
      <c r="M120" s="70"/>
    </row>
    <row r="121" spans="1:13" hidden="1">
      <c r="A121" s="72">
        <v>118</v>
      </c>
      <c r="B121" s="63"/>
      <c r="C121" s="73">
        <f t="shared" si="10"/>
        <v>0</v>
      </c>
      <c r="D121" s="73">
        <f t="shared" si="9"/>
        <v>0</v>
      </c>
      <c r="E121" s="81">
        <f t="shared" si="7"/>
        <v>0</v>
      </c>
      <c r="F121" s="41"/>
      <c r="G121" s="80"/>
      <c r="H121" s="80"/>
      <c r="I121" s="41"/>
      <c r="J121" s="70"/>
      <c r="K121" s="70"/>
      <c r="L121" s="70"/>
      <c r="M121" s="70"/>
    </row>
    <row r="122" spans="1:13" hidden="1">
      <c r="A122" s="72">
        <v>119</v>
      </c>
      <c r="B122" s="63"/>
      <c r="C122" s="73">
        <f t="shared" si="10"/>
        <v>0</v>
      </c>
      <c r="D122" s="73">
        <f t="shared" si="9"/>
        <v>0</v>
      </c>
      <c r="E122" s="81">
        <f t="shared" si="7"/>
        <v>0</v>
      </c>
      <c r="F122" s="41"/>
      <c r="G122" s="80"/>
      <c r="H122" s="80"/>
      <c r="I122" s="41"/>
      <c r="J122" s="70"/>
      <c r="K122" s="70"/>
      <c r="L122" s="70"/>
      <c r="M122" s="70"/>
    </row>
    <row r="123" spans="1:13" hidden="1">
      <c r="A123" s="72">
        <v>120</v>
      </c>
      <c r="B123" s="63"/>
      <c r="C123" s="73">
        <f t="shared" si="10"/>
        <v>0</v>
      </c>
      <c r="D123" s="73">
        <f t="shared" si="9"/>
        <v>0</v>
      </c>
      <c r="E123" s="81">
        <f t="shared" si="7"/>
        <v>0</v>
      </c>
      <c r="F123" s="41"/>
      <c r="G123" s="80"/>
      <c r="H123" s="80"/>
      <c r="I123" s="41"/>
      <c r="J123" s="70"/>
      <c r="K123" s="70"/>
      <c r="L123" s="70"/>
      <c r="M123" s="70"/>
    </row>
    <row r="124" spans="1:13" hidden="1">
      <c r="A124" s="72">
        <v>121</v>
      </c>
      <c r="B124" s="63"/>
      <c r="C124" s="73">
        <f t="shared" si="10"/>
        <v>0</v>
      </c>
      <c r="D124" s="73">
        <f t="shared" si="9"/>
        <v>0</v>
      </c>
      <c r="E124" s="81">
        <f t="shared" si="7"/>
        <v>0</v>
      </c>
      <c r="F124" s="41"/>
      <c r="G124" s="80"/>
      <c r="H124" s="80"/>
      <c r="I124" s="41"/>
      <c r="J124" s="70"/>
      <c r="K124" s="70"/>
      <c r="L124" s="70"/>
      <c r="M124" s="70"/>
    </row>
    <row r="125" spans="1:13" hidden="1">
      <c r="A125" s="72">
        <v>122</v>
      </c>
      <c r="B125" s="63"/>
      <c r="C125" s="73">
        <f t="shared" si="10"/>
        <v>0</v>
      </c>
      <c r="D125" s="73">
        <f t="shared" si="9"/>
        <v>0</v>
      </c>
      <c r="E125" s="81">
        <f t="shared" si="7"/>
        <v>0</v>
      </c>
      <c r="F125" s="41"/>
      <c r="G125" s="80"/>
      <c r="H125" s="80"/>
      <c r="I125" s="41"/>
      <c r="J125" s="70"/>
      <c r="K125" s="70"/>
      <c r="L125" s="70"/>
      <c r="M125" s="70"/>
    </row>
    <row r="126" spans="1:13" hidden="1">
      <c r="A126" s="72">
        <v>123</v>
      </c>
      <c r="B126" s="63"/>
      <c r="C126" s="73">
        <f t="shared" si="10"/>
        <v>0</v>
      </c>
      <c r="D126" s="73">
        <f t="shared" si="9"/>
        <v>0</v>
      </c>
      <c r="E126" s="81">
        <f t="shared" si="7"/>
        <v>0</v>
      </c>
      <c r="F126" s="41"/>
      <c r="G126" s="80"/>
      <c r="H126" s="80"/>
      <c r="I126" s="41"/>
      <c r="J126" s="70"/>
      <c r="K126" s="70"/>
      <c r="L126" s="70"/>
      <c r="M126" s="70"/>
    </row>
    <row r="127" spans="1:13" hidden="1">
      <c r="A127" s="72">
        <v>124</v>
      </c>
      <c r="B127" s="63"/>
      <c r="C127" s="73">
        <f t="shared" si="10"/>
        <v>0</v>
      </c>
      <c r="D127" s="73">
        <f t="shared" si="9"/>
        <v>0</v>
      </c>
      <c r="E127" s="81">
        <f t="shared" si="7"/>
        <v>0</v>
      </c>
      <c r="F127" s="41"/>
      <c r="G127" s="80"/>
      <c r="H127" s="80"/>
      <c r="I127" s="41"/>
      <c r="J127" s="70"/>
      <c r="K127" s="70"/>
      <c r="L127" s="70"/>
      <c r="M127" s="70"/>
    </row>
    <row r="128" spans="1:13" hidden="1">
      <c r="A128" s="72">
        <v>125</v>
      </c>
      <c r="B128" s="63"/>
      <c r="C128" s="73">
        <f t="shared" si="10"/>
        <v>0</v>
      </c>
      <c r="D128" s="73">
        <f t="shared" si="9"/>
        <v>0</v>
      </c>
      <c r="E128" s="81">
        <f t="shared" si="7"/>
        <v>0</v>
      </c>
      <c r="F128" s="41"/>
      <c r="G128" s="80"/>
      <c r="H128" s="80"/>
      <c r="I128" s="41"/>
      <c r="J128" s="70"/>
      <c r="K128" s="70"/>
      <c r="L128" s="70"/>
      <c r="M128" s="70"/>
    </row>
    <row r="129" spans="1:13" hidden="1">
      <c r="A129" s="72">
        <v>126</v>
      </c>
      <c r="B129" s="63"/>
      <c r="C129" s="73">
        <f t="shared" si="10"/>
        <v>0</v>
      </c>
      <c r="D129" s="73">
        <f>C129</f>
        <v>0</v>
      </c>
      <c r="E129" s="81">
        <f t="shared" si="7"/>
        <v>0</v>
      </c>
      <c r="F129" s="41"/>
      <c r="G129" s="80"/>
      <c r="H129" s="80"/>
      <c r="I129" s="41"/>
      <c r="J129" s="70"/>
      <c r="K129" s="70"/>
      <c r="L129" s="70"/>
      <c r="M129" s="70"/>
    </row>
    <row r="130" spans="1:13" hidden="1">
      <c r="A130" s="72">
        <v>127</v>
      </c>
      <c r="B130" s="55"/>
      <c r="C130" s="73"/>
      <c r="D130" s="73"/>
      <c r="E130" s="80"/>
      <c r="F130" s="41"/>
      <c r="G130" s="80"/>
      <c r="H130" s="80"/>
      <c r="I130" s="41"/>
      <c r="J130" s="70"/>
      <c r="K130" s="70"/>
      <c r="L130" s="70"/>
      <c r="M130" s="70"/>
    </row>
    <row r="131" spans="1:13" hidden="1">
      <c r="A131" s="72">
        <v>128</v>
      </c>
      <c r="B131" s="55"/>
      <c r="C131" s="73"/>
      <c r="D131" s="73"/>
      <c r="E131" s="80"/>
      <c r="F131" s="41"/>
      <c r="G131" s="80"/>
      <c r="H131" s="80"/>
      <c r="I131" s="41"/>
      <c r="J131" s="70"/>
      <c r="K131" s="70"/>
      <c r="L131" s="70"/>
      <c r="M131" s="70"/>
    </row>
    <row r="132" spans="1:13" hidden="1">
      <c r="A132" s="72">
        <v>129</v>
      </c>
      <c r="B132" s="55"/>
      <c r="C132" s="73"/>
      <c r="D132" s="73"/>
      <c r="E132" s="80"/>
      <c r="F132" s="41"/>
      <c r="G132" s="80"/>
      <c r="H132" s="80"/>
      <c r="I132" s="41"/>
      <c r="J132" s="70"/>
      <c r="K132" s="70"/>
      <c r="L132" s="70"/>
      <c r="M132" s="70"/>
    </row>
    <row r="133" spans="1:13" hidden="1">
      <c r="A133" s="72">
        <v>130</v>
      </c>
      <c r="B133" s="55"/>
      <c r="C133" s="73"/>
      <c r="D133" s="73"/>
      <c r="E133" s="80"/>
      <c r="F133" s="41"/>
      <c r="G133" s="80"/>
      <c r="H133" s="80"/>
      <c r="I133" s="41"/>
      <c r="J133" s="70"/>
      <c r="K133" s="70"/>
      <c r="L133" s="70"/>
      <c r="M133" s="70"/>
    </row>
    <row r="134" spans="1:13" hidden="1">
      <c r="A134" s="72">
        <v>131</v>
      </c>
      <c r="B134" s="55"/>
      <c r="C134" s="73"/>
      <c r="D134" s="73"/>
      <c r="E134" s="80"/>
      <c r="F134" s="41"/>
      <c r="G134" s="80"/>
      <c r="H134" s="80"/>
      <c r="I134" s="41"/>
      <c r="J134" s="70"/>
      <c r="K134" s="70"/>
      <c r="L134" s="70"/>
      <c r="M134" s="70"/>
    </row>
    <row r="135" spans="1:13" hidden="1">
      <c r="A135" s="72">
        <v>132</v>
      </c>
      <c r="B135" s="55"/>
      <c r="C135" s="73"/>
      <c r="D135" s="73"/>
      <c r="E135" s="80"/>
      <c r="F135" s="41"/>
      <c r="G135" s="80"/>
      <c r="H135" s="80"/>
      <c r="I135" s="41"/>
      <c r="J135" s="70"/>
      <c r="K135" s="70"/>
      <c r="L135" s="70"/>
      <c r="M135" s="70"/>
    </row>
    <row r="136" spans="1:13" hidden="1">
      <c r="A136" s="72">
        <v>133</v>
      </c>
      <c r="B136" s="55"/>
      <c r="C136" s="73"/>
      <c r="D136" s="73"/>
      <c r="E136" s="80"/>
      <c r="F136" s="41"/>
      <c r="G136" s="80"/>
      <c r="H136" s="80"/>
      <c r="I136" s="41"/>
      <c r="J136" s="70"/>
      <c r="K136" s="70"/>
      <c r="L136" s="70"/>
      <c r="M136" s="70"/>
    </row>
    <row r="137" spans="1:13" hidden="1">
      <c r="A137" s="72">
        <v>134</v>
      </c>
      <c r="B137" s="55"/>
      <c r="C137" s="73"/>
      <c r="D137" s="73"/>
      <c r="E137" s="80"/>
      <c r="F137" s="41"/>
      <c r="G137" s="80"/>
      <c r="H137" s="80"/>
      <c r="I137" s="41"/>
      <c r="J137" s="70"/>
      <c r="K137" s="70"/>
      <c r="L137" s="70"/>
      <c r="M137" s="70"/>
    </row>
    <row r="138" spans="1:13" hidden="1">
      <c r="A138" s="72">
        <v>135</v>
      </c>
      <c r="B138" s="55"/>
      <c r="C138" s="82"/>
      <c r="D138" s="73"/>
      <c r="E138" s="80"/>
      <c r="F138" s="41"/>
      <c r="G138" s="80"/>
      <c r="H138" s="80"/>
      <c r="I138" s="41"/>
      <c r="J138" s="70"/>
      <c r="K138" s="70"/>
      <c r="L138" s="70"/>
      <c r="M138" s="70"/>
    </row>
    <row r="139" spans="1:13" hidden="1">
      <c r="A139" s="72">
        <v>136</v>
      </c>
      <c r="B139" s="55"/>
      <c r="C139" s="73"/>
      <c r="D139" s="73"/>
      <c r="E139" s="80"/>
      <c r="F139" s="41"/>
      <c r="G139" s="80"/>
      <c r="H139" s="80"/>
      <c r="I139" s="41"/>
      <c r="J139" s="70"/>
      <c r="K139" s="70"/>
      <c r="L139" s="70"/>
      <c r="M139" s="70"/>
    </row>
    <row r="140" spans="1:13" hidden="1">
      <c r="A140" s="72">
        <v>137</v>
      </c>
      <c r="B140" s="55"/>
      <c r="C140" s="73"/>
      <c r="D140" s="73"/>
      <c r="E140" s="80"/>
      <c r="F140" s="41"/>
      <c r="G140" s="80"/>
      <c r="H140" s="80"/>
      <c r="I140" s="41"/>
      <c r="J140" s="70"/>
      <c r="K140" s="70"/>
      <c r="L140" s="70"/>
      <c r="M140" s="70"/>
    </row>
    <row r="141" spans="1:13" hidden="1">
      <c r="A141" s="72">
        <v>138</v>
      </c>
      <c r="B141" s="55"/>
      <c r="C141" s="73"/>
      <c r="D141" s="73"/>
      <c r="E141" s="80"/>
      <c r="F141" s="41"/>
      <c r="G141" s="80"/>
      <c r="H141" s="80"/>
      <c r="I141" s="41"/>
      <c r="J141" s="70"/>
      <c r="K141" s="70"/>
      <c r="L141" s="70"/>
      <c r="M141" s="70"/>
    </row>
    <row r="142" spans="1:13" hidden="1">
      <c r="A142" s="72">
        <v>139</v>
      </c>
      <c r="B142" s="55"/>
      <c r="C142" s="73"/>
      <c r="D142" s="73"/>
      <c r="E142" s="80"/>
      <c r="F142" s="41"/>
      <c r="G142" s="80"/>
      <c r="H142" s="80"/>
      <c r="I142" s="41"/>
      <c r="J142" s="70"/>
      <c r="K142" s="70"/>
      <c r="L142" s="70"/>
      <c r="M142" s="70"/>
    </row>
    <row r="143" spans="1:13" hidden="1">
      <c r="A143" s="72">
        <v>140</v>
      </c>
      <c r="B143" s="55"/>
      <c r="C143" s="73"/>
      <c r="D143" s="73"/>
      <c r="E143" s="80"/>
      <c r="F143" s="41"/>
      <c r="G143" s="80"/>
      <c r="H143" s="80"/>
      <c r="I143" s="41"/>
      <c r="J143" s="70"/>
      <c r="K143" s="70"/>
      <c r="L143" s="70"/>
      <c r="M143" s="70"/>
    </row>
    <row r="144" spans="1:13" hidden="1">
      <c r="A144" s="72">
        <v>141</v>
      </c>
      <c r="B144" s="55"/>
      <c r="C144" s="73"/>
      <c r="D144" s="73"/>
      <c r="E144" s="80"/>
      <c r="F144" s="41"/>
      <c r="G144" s="80"/>
      <c r="H144" s="80"/>
      <c r="I144" s="41"/>
      <c r="J144" s="70"/>
      <c r="K144" s="70"/>
      <c r="L144" s="70"/>
      <c r="M144" s="70"/>
    </row>
    <row r="145" spans="1:13" hidden="1">
      <c r="A145" s="72">
        <v>142</v>
      </c>
      <c r="B145" s="55"/>
      <c r="C145" s="73"/>
      <c r="D145" s="73"/>
      <c r="E145" s="80"/>
      <c r="F145" s="41"/>
      <c r="G145" s="80"/>
      <c r="H145" s="80"/>
      <c r="I145" s="41"/>
      <c r="J145" s="70"/>
      <c r="K145" s="70"/>
      <c r="L145" s="70"/>
      <c r="M145" s="70"/>
    </row>
    <row r="146" spans="1:13" hidden="1">
      <c r="A146" s="72">
        <v>143</v>
      </c>
      <c r="B146" s="55"/>
      <c r="C146" s="73"/>
      <c r="D146" s="73"/>
      <c r="E146" s="80"/>
      <c r="F146" s="41"/>
      <c r="G146" s="80"/>
      <c r="H146" s="80"/>
      <c r="I146" s="41"/>
      <c r="J146" s="70"/>
      <c r="K146" s="70"/>
      <c r="L146" s="70"/>
      <c r="M146" s="70"/>
    </row>
    <row r="147" spans="1:13" hidden="1">
      <c r="A147" s="72">
        <v>144</v>
      </c>
      <c r="B147" s="55"/>
      <c r="C147" s="73"/>
      <c r="D147" s="73"/>
      <c r="E147" s="80"/>
      <c r="F147" s="41"/>
      <c r="G147" s="80"/>
      <c r="H147" s="80"/>
      <c r="I147" s="41"/>
      <c r="J147" s="70"/>
      <c r="K147" s="70"/>
      <c r="L147" s="70"/>
      <c r="M147" s="70"/>
    </row>
    <row r="148" spans="1:13" hidden="1">
      <c r="A148" s="72">
        <v>145</v>
      </c>
      <c r="B148" s="55"/>
      <c r="C148" s="73"/>
      <c r="D148" s="73"/>
      <c r="E148" s="80"/>
      <c r="F148" s="41"/>
      <c r="G148" s="80"/>
      <c r="H148" s="80"/>
      <c r="I148" s="41"/>
      <c r="J148" s="70"/>
      <c r="K148" s="70"/>
      <c r="L148" s="70"/>
      <c r="M148" s="70"/>
    </row>
    <row r="149" spans="1:13" hidden="1">
      <c r="A149" s="72">
        <v>146</v>
      </c>
      <c r="B149" s="55"/>
      <c r="C149" s="73"/>
      <c r="D149" s="73"/>
      <c r="E149" s="80"/>
      <c r="F149" s="41"/>
      <c r="G149" s="80"/>
      <c r="H149" s="80"/>
      <c r="I149" s="41"/>
      <c r="J149" s="70"/>
      <c r="K149" s="70"/>
      <c r="L149" s="70"/>
      <c r="M149" s="70"/>
    </row>
    <row r="150" spans="1:13" hidden="1">
      <c r="A150" s="72">
        <v>147</v>
      </c>
      <c r="B150" s="55"/>
      <c r="C150" s="73"/>
      <c r="D150" s="73"/>
      <c r="E150" s="80"/>
      <c r="F150" s="41"/>
      <c r="G150" s="80"/>
      <c r="H150" s="80"/>
      <c r="I150" s="41"/>
      <c r="J150" s="70"/>
      <c r="K150" s="70"/>
      <c r="L150" s="70"/>
      <c r="M150" s="70"/>
    </row>
    <row r="151" spans="1:13" hidden="1">
      <c r="A151" s="72">
        <v>148</v>
      </c>
      <c r="B151" s="55"/>
      <c r="C151" s="73"/>
      <c r="D151" s="73"/>
      <c r="E151" s="80"/>
      <c r="F151" s="41"/>
      <c r="G151" s="80"/>
      <c r="H151" s="80"/>
      <c r="I151" s="41"/>
      <c r="J151" s="70"/>
      <c r="K151" s="70"/>
      <c r="L151" s="70"/>
      <c r="M151" s="70"/>
    </row>
    <row r="152" spans="1:13" hidden="1">
      <c r="A152" s="72">
        <v>149</v>
      </c>
      <c r="B152" s="55"/>
      <c r="C152" s="73"/>
      <c r="D152" s="73"/>
      <c r="E152" s="80">
        <f>C152-D152</f>
        <v>0</v>
      </c>
      <c r="F152" s="41"/>
      <c r="G152" s="80"/>
      <c r="H152" s="80"/>
      <c r="I152" s="41"/>
      <c r="J152" s="70"/>
      <c r="K152" s="70"/>
      <c r="L152" s="70"/>
      <c r="M152" s="70"/>
    </row>
    <row r="153" spans="1:13" hidden="1">
      <c r="A153" s="72">
        <v>150</v>
      </c>
      <c r="B153" s="55"/>
      <c r="C153" s="73"/>
      <c r="D153" s="73"/>
      <c r="E153" s="80">
        <f>C153-D153</f>
        <v>0</v>
      </c>
      <c r="F153" s="41"/>
      <c r="G153" s="80"/>
      <c r="H153" s="80"/>
      <c r="I153" s="41"/>
      <c r="J153" s="70"/>
      <c r="K153" s="70"/>
      <c r="L153" s="70"/>
      <c r="M153" s="70"/>
    </row>
    <row r="154" spans="1:13" hidden="1">
      <c r="A154" s="72">
        <v>151</v>
      </c>
      <c r="B154" s="55"/>
      <c r="C154" s="73"/>
      <c r="D154" s="73"/>
      <c r="E154" s="80">
        <f>C154-D154</f>
        <v>0</v>
      </c>
      <c r="F154" s="41"/>
      <c r="G154" s="80"/>
      <c r="H154" s="80"/>
      <c r="I154" s="41"/>
      <c r="J154" s="70"/>
      <c r="K154" s="70"/>
      <c r="L154" s="70"/>
      <c r="M154" s="70"/>
    </row>
    <row r="155" spans="1:13" hidden="1">
      <c r="A155" s="72">
        <v>152</v>
      </c>
      <c r="B155" s="55"/>
      <c r="C155" s="82"/>
      <c r="D155" s="82"/>
      <c r="E155" s="80">
        <f t="shared" ref="E155:E169" si="11">C155-D155</f>
        <v>0</v>
      </c>
      <c r="F155" s="41"/>
      <c r="G155" s="80"/>
      <c r="H155" s="80"/>
      <c r="I155" s="41"/>
      <c r="J155" s="70"/>
      <c r="K155" s="70"/>
      <c r="L155" s="70"/>
      <c r="M155" s="70"/>
    </row>
    <row r="156" spans="1:13" hidden="1">
      <c r="A156" s="72">
        <v>153</v>
      </c>
      <c r="B156" s="55"/>
      <c r="C156" s="82"/>
      <c r="D156" s="80"/>
      <c r="E156" s="80">
        <f t="shared" si="11"/>
        <v>0</v>
      </c>
      <c r="F156" s="41"/>
      <c r="G156" s="80"/>
      <c r="H156" s="80"/>
      <c r="I156" s="41"/>
      <c r="J156" s="70"/>
      <c r="K156" s="70"/>
      <c r="L156" s="70"/>
      <c r="M156" s="70"/>
    </row>
    <row r="157" spans="1:13" hidden="1">
      <c r="A157" s="72">
        <v>154</v>
      </c>
      <c r="B157" s="55"/>
      <c r="C157" s="82"/>
      <c r="D157" s="80"/>
      <c r="E157" s="80">
        <f t="shared" si="11"/>
        <v>0</v>
      </c>
      <c r="F157" s="41"/>
      <c r="G157" s="80"/>
      <c r="H157" s="80"/>
      <c r="I157" s="41"/>
      <c r="J157" s="70"/>
      <c r="K157" s="70"/>
      <c r="L157" s="70"/>
      <c r="M157" s="70"/>
    </row>
    <row r="158" spans="1:13" hidden="1">
      <c r="A158" s="72">
        <v>155</v>
      </c>
      <c r="B158" s="55"/>
      <c r="C158" s="82"/>
      <c r="D158" s="80"/>
      <c r="E158" s="80">
        <f t="shared" si="11"/>
        <v>0</v>
      </c>
      <c r="F158" s="41"/>
      <c r="G158" s="80"/>
      <c r="H158" s="80"/>
      <c r="I158" s="41"/>
      <c r="J158" s="70"/>
      <c r="K158" s="70"/>
      <c r="L158" s="70"/>
      <c r="M158" s="70"/>
    </row>
    <row r="159" spans="1:13" hidden="1">
      <c r="A159" s="72">
        <v>156</v>
      </c>
      <c r="B159" s="55"/>
      <c r="C159" s="82"/>
      <c r="D159" s="80"/>
      <c r="E159" s="80">
        <f t="shared" si="11"/>
        <v>0</v>
      </c>
      <c r="F159" s="41"/>
      <c r="G159" s="80"/>
      <c r="H159" s="80"/>
      <c r="I159" s="41"/>
      <c r="J159" s="70"/>
      <c r="K159" s="70"/>
      <c r="L159" s="70"/>
      <c r="M159" s="70"/>
    </row>
    <row r="160" spans="1:13" hidden="1">
      <c r="A160" s="72">
        <v>157</v>
      </c>
      <c r="B160" s="55"/>
      <c r="C160" s="82"/>
      <c r="D160" s="80"/>
      <c r="E160" s="80">
        <f t="shared" si="11"/>
        <v>0</v>
      </c>
      <c r="F160" s="41"/>
      <c r="G160" s="80"/>
      <c r="H160" s="80"/>
      <c r="I160" s="41"/>
      <c r="J160" s="70"/>
      <c r="K160" s="70"/>
      <c r="L160" s="70"/>
      <c r="M160" s="70"/>
    </row>
    <row r="161" spans="1:13" hidden="1">
      <c r="A161" s="72">
        <v>158</v>
      </c>
      <c r="B161" s="55"/>
      <c r="C161" s="82"/>
      <c r="D161" s="80"/>
      <c r="E161" s="80">
        <f t="shared" si="11"/>
        <v>0</v>
      </c>
      <c r="F161" s="41"/>
      <c r="G161" s="80"/>
      <c r="H161" s="80"/>
      <c r="I161" s="41"/>
      <c r="J161" s="70"/>
      <c r="K161" s="70"/>
      <c r="L161" s="70"/>
      <c r="M161" s="70"/>
    </row>
    <row r="162" spans="1:13" hidden="1">
      <c r="A162" s="72">
        <v>159</v>
      </c>
      <c r="B162" s="55"/>
      <c r="C162" s="82"/>
      <c r="D162" s="80"/>
      <c r="E162" s="80">
        <f t="shared" si="11"/>
        <v>0</v>
      </c>
      <c r="F162" s="41"/>
      <c r="G162" s="80"/>
      <c r="H162" s="80"/>
      <c r="I162" s="41"/>
      <c r="J162" s="70"/>
      <c r="K162" s="70"/>
      <c r="L162" s="70"/>
      <c r="M162" s="70"/>
    </row>
    <row r="163" spans="1:13" hidden="1">
      <c r="A163" s="72">
        <v>160</v>
      </c>
      <c r="B163" s="55"/>
      <c r="C163" s="82"/>
      <c r="D163" s="80"/>
      <c r="E163" s="80">
        <f t="shared" si="11"/>
        <v>0</v>
      </c>
      <c r="F163" s="41"/>
      <c r="G163" s="80"/>
      <c r="H163" s="80"/>
      <c r="I163" s="41"/>
      <c r="J163" s="70"/>
      <c r="K163" s="70"/>
      <c r="L163" s="70"/>
      <c r="M163" s="70"/>
    </row>
    <row r="164" spans="1:13" hidden="1">
      <c r="A164" s="72">
        <v>161</v>
      </c>
      <c r="B164" s="55"/>
      <c r="C164" s="82"/>
      <c r="D164" s="80"/>
      <c r="E164" s="80">
        <f t="shared" si="11"/>
        <v>0</v>
      </c>
      <c r="F164" s="41"/>
      <c r="G164" s="80"/>
      <c r="H164" s="80"/>
      <c r="I164" s="41"/>
      <c r="J164" s="70"/>
      <c r="K164" s="70"/>
      <c r="L164" s="70"/>
      <c r="M164" s="70"/>
    </row>
    <row r="165" spans="1:13" hidden="1">
      <c r="A165" s="72">
        <v>162</v>
      </c>
      <c r="B165" s="55"/>
      <c r="C165" s="82"/>
      <c r="D165" s="80"/>
      <c r="E165" s="80">
        <f t="shared" si="11"/>
        <v>0</v>
      </c>
      <c r="F165" s="41"/>
      <c r="G165" s="80"/>
      <c r="H165" s="80"/>
      <c r="I165" s="41"/>
      <c r="J165" s="70"/>
      <c r="K165" s="70"/>
      <c r="L165" s="70"/>
      <c r="M165" s="70"/>
    </row>
    <row r="166" spans="1:13" hidden="1">
      <c r="A166" s="72">
        <v>163</v>
      </c>
      <c r="B166" s="55"/>
      <c r="C166" s="82"/>
      <c r="D166" s="80"/>
      <c r="E166" s="80">
        <f t="shared" si="11"/>
        <v>0</v>
      </c>
      <c r="F166" s="41"/>
      <c r="G166" s="80"/>
      <c r="H166" s="80"/>
      <c r="I166" s="41"/>
      <c r="J166" s="70"/>
      <c r="K166" s="70"/>
      <c r="L166" s="70"/>
      <c r="M166" s="70"/>
    </row>
    <row r="167" spans="1:13" hidden="1">
      <c r="A167" s="72">
        <v>164</v>
      </c>
      <c r="B167" s="55"/>
      <c r="C167" s="82"/>
      <c r="D167" s="80"/>
      <c r="E167" s="80">
        <f t="shared" si="11"/>
        <v>0</v>
      </c>
      <c r="F167" s="41"/>
      <c r="G167" s="80"/>
      <c r="H167" s="80"/>
      <c r="I167" s="41"/>
      <c r="J167" s="70"/>
      <c r="K167" s="70"/>
      <c r="L167" s="70"/>
      <c r="M167" s="70"/>
    </row>
    <row r="168" spans="1:13" hidden="1">
      <c r="A168" s="72">
        <v>165</v>
      </c>
      <c r="B168" s="55"/>
      <c r="C168" s="82"/>
      <c r="D168" s="80"/>
      <c r="E168" s="80">
        <f t="shared" si="11"/>
        <v>0</v>
      </c>
      <c r="F168" s="41"/>
      <c r="G168" s="80"/>
      <c r="H168" s="80"/>
      <c r="I168" s="41"/>
      <c r="J168" s="70"/>
      <c r="K168" s="70"/>
      <c r="L168" s="70"/>
      <c r="M168" s="70"/>
    </row>
    <row r="169" spans="1:13" hidden="1">
      <c r="A169" s="72">
        <v>166</v>
      </c>
      <c r="B169" s="55"/>
      <c r="C169" s="82"/>
      <c r="D169" s="80"/>
      <c r="E169" s="80">
        <f t="shared" si="11"/>
        <v>0</v>
      </c>
      <c r="F169" s="41"/>
      <c r="G169" s="80"/>
      <c r="H169" s="80"/>
      <c r="I169" s="41"/>
      <c r="J169" s="70"/>
      <c r="K169" s="70"/>
      <c r="L169" s="70"/>
      <c r="M169" s="70"/>
    </row>
    <row r="170" spans="1:13" hidden="1">
      <c r="A170" s="72">
        <v>167</v>
      </c>
      <c r="B170" s="55"/>
      <c r="C170" s="82"/>
      <c r="D170" s="80"/>
      <c r="E170" s="80">
        <f>C170-D170</f>
        <v>0</v>
      </c>
      <c r="F170" s="41"/>
      <c r="G170" s="80"/>
      <c r="H170" s="80"/>
      <c r="I170" s="41"/>
      <c r="J170" s="70"/>
      <c r="K170" s="70"/>
      <c r="L170" s="70"/>
      <c r="M170" s="70"/>
    </row>
    <row r="171" spans="1:13" hidden="1">
      <c r="A171" s="72">
        <v>168</v>
      </c>
      <c r="B171" s="55"/>
      <c r="C171" s="82"/>
      <c r="D171" s="80"/>
      <c r="E171" s="80">
        <f t="shared" ref="E171:E177" si="12">C171-D171</f>
        <v>0</v>
      </c>
      <c r="F171" s="41"/>
      <c r="G171" s="80"/>
      <c r="H171" s="80"/>
      <c r="I171" s="41"/>
      <c r="J171" s="70"/>
      <c r="K171" s="70"/>
      <c r="L171" s="70"/>
      <c r="M171" s="70"/>
    </row>
    <row r="172" spans="1:13" hidden="1">
      <c r="A172" s="72">
        <v>169</v>
      </c>
      <c r="B172" s="55"/>
      <c r="C172" s="82"/>
      <c r="D172" s="80"/>
      <c r="E172" s="80">
        <f t="shared" si="12"/>
        <v>0</v>
      </c>
      <c r="F172" s="41"/>
      <c r="G172" s="80"/>
      <c r="H172" s="80"/>
      <c r="I172" s="41"/>
      <c r="J172" s="70"/>
      <c r="K172" s="70"/>
      <c r="L172" s="70"/>
      <c r="M172" s="70"/>
    </row>
    <row r="173" spans="1:13" hidden="1">
      <c r="A173" s="72">
        <v>170</v>
      </c>
      <c r="B173" s="55"/>
      <c r="C173" s="82"/>
      <c r="D173" s="80"/>
      <c r="E173" s="80">
        <f t="shared" si="12"/>
        <v>0</v>
      </c>
      <c r="F173" s="41"/>
      <c r="G173" s="80"/>
      <c r="H173" s="80"/>
      <c r="I173" s="41"/>
      <c r="J173" s="70"/>
      <c r="K173" s="70"/>
      <c r="L173" s="70"/>
      <c r="M173" s="70"/>
    </row>
    <row r="174" spans="1:13" hidden="1">
      <c r="A174" s="72">
        <v>171</v>
      </c>
      <c r="B174" s="55"/>
      <c r="C174" s="82"/>
      <c r="D174" s="82"/>
      <c r="E174" s="80">
        <f t="shared" si="12"/>
        <v>0</v>
      </c>
      <c r="F174" s="41"/>
      <c r="G174" s="80"/>
      <c r="H174" s="80"/>
      <c r="I174" s="41"/>
      <c r="J174" s="70"/>
      <c r="K174" s="70"/>
      <c r="L174" s="70"/>
      <c r="M174" s="70"/>
    </row>
    <row r="175" spans="1:13" hidden="1">
      <c r="A175" s="72">
        <v>172</v>
      </c>
      <c r="B175" s="55"/>
      <c r="C175" s="82"/>
      <c r="D175" s="82"/>
      <c r="E175" s="80">
        <f t="shared" si="12"/>
        <v>0</v>
      </c>
      <c r="F175" s="41"/>
      <c r="G175" s="80"/>
      <c r="H175" s="80"/>
      <c r="I175" s="41"/>
      <c r="J175" s="70"/>
      <c r="K175" s="70"/>
      <c r="L175" s="70"/>
      <c r="M175" s="70"/>
    </row>
    <row r="176" spans="1:13" hidden="1">
      <c r="A176" s="72">
        <v>173</v>
      </c>
      <c r="B176" s="55"/>
      <c r="C176" s="82"/>
      <c r="D176" s="80"/>
      <c r="E176" s="80">
        <f t="shared" si="12"/>
        <v>0</v>
      </c>
      <c r="F176" s="41"/>
      <c r="G176" s="80"/>
      <c r="H176" s="80"/>
      <c r="I176" s="41"/>
      <c r="J176" s="70"/>
      <c r="K176" s="70"/>
      <c r="L176" s="70"/>
      <c r="M176" s="70"/>
    </row>
    <row r="177" spans="1:13" hidden="1">
      <c r="A177" s="72">
        <v>174</v>
      </c>
      <c r="B177" s="55"/>
      <c r="C177" s="82"/>
      <c r="D177" s="80"/>
      <c r="E177" s="80">
        <f t="shared" si="12"/>
        <v>0</v>
      </c>
      <c r="F177" s="41"/>
      <c r="G177" s="80"/>
      <c r="H177" s="80"/>
      <c r="I177" s="41"/>
      <c r="J177" s="70"/>
      <c r="K177" s="70"/>
      <c r="L177" s="70"/>
      <c r="M177" s="70"/>
    </row>
    <row r="178" spans="1:13" hidden="1">
      <c r="A178" s="72">
        <v>175</v>
      </c>
      <c r="B178" s="55"/>
      <c r="C178" s="82"/>
      <c r="D178" s="82"/>
      <c r="E178" s="80">
        <f>C178-D178</f>
        <v>0</v>
      </c>
      <c r="F178" s="41"/>
      <c r="G178" s="80"/>
      <c r="H178" s="80"/>
      <c r="I178" s="41"/>
      <c r="J178" s="70"/>
      <c r="K178" s="70"/>
      <c r="L178" s="70"/>
      <c r="M178" s="70"/>
    </row>
    <row r="179" spans="1:13" hidden="1">
      <c r="A179" s="72">
        <v>176</v>
      </c>
      <c r="B179" s="55"/>
      <c r="C179" s="82"/>
      <c r="D179" s="82"/>
      <c r="E179" s="80">
        <f>C179-D179</f>
        <v>0</v>
      </c>
      <c r="F179" s="41"/>
      <c r="G179" s="80"/>
      <c r="H179" s="80"/>
      <c r="I179" s="78"/>
      <c r="J179" s="70"/>
      <c r="K179" s="70"/>
      <c r="L179" s="70"/>
      <c r="M179" s="70"/>
    </row>
    <row r="180" spans="1:13" hidden="1">
      <c r="A180" s="72">
        <v>177</v>
      </c>
      <c r="B180" s="55"/>
      <c r="C180" s="82"/>
      <c r="D180" s="80"/>
      <c r="E180" s="80">
        <f t="shared" ref="E180:E212" si="13">C180-D180</f>
        <v>0</v>
      </c>
      <c r="F180" s="41"/>
      <c r="G180" s="80"/>
      <c r="H180" s="80"/>
      <c r="I180" s="78"/>
      <c r="J180" s="70"/>
      <c r="K180" s="70"/>
      <c r="L180" s="70"/>
      <c r="M180" s="70"/>
    </row>
    <row r="181" spans="1:13" hidden="1">
      <c r="A181" s="72">
        <v>178</v>
      </c>
      <c r="B181" s="55"/>
      <c r="C181" s="82"/>
      <c r="D181" s="82"/>
      <c r="E181" s="80">
        <f t="shared" si="13"/>
        <v>0</v>
      </c>
      <c r="F181" s="41"/>
      <c r="G181" s="80"/>
      <c r="H181" s="80"/>
      <c r="I181" s="41"/>
      <c r="J181" s="70"/>
      <c r="K181" s="70"/>
      <c r="L181" s="70"/>
      <c r="M181" s="70"/>
    </row>
    <row r="182" spans="1:13" hidden="1">
      <c r="A182" s="72">
        <v>179</v>
      </c>
      <c r="B182" s="55"/>
      <c r="C182" s="82"/>
      <c r="D182" s="80"/>
      <c r="E182" s="80">
        <f t="shared" si="13"/>
        <v>0</v>
      </c>
      <c r="F182" s="41"/>
      <c r="G182" s="80"/>
      <c r="H182" s="80"/>
      <c r="I182" s="41"/>
      <c r="J182" s="70"/>
      <c r="K182" s="70"/>
      <c r="L182" s="70"/>
      <c r="M182" s="70"/>
    </row>
    <row r="183" spans="1:13" hidden="1">
      <c r="A183" s="72">
        <v>180</v>
      </c>
      <c r="B183" s="55"/>
      <c r="C183" s="82"/>
      <c r="D183" s="80"/>
      <c r="E183" s="80">
        <f t="shared" si="13"/>
        <v>0</v>
      </c>
      <c r="F183" s="41"/>
      <c r="G183" s="80"/>
      <c r="H183" s="80"/>
      <c r="I183" s="41"/>
      <c r="J183" s="70"/>
      <c r="K183" s="70"/>
      <c r="L183" s="70"/>
      <c r="M183" s="70"/>
    </row>
    <row r="184" spans="1:13" hidden="1">
      <c r="A184" s="72">
        <v>181</v>
      </c>
      <c r="B184" s="55"/>
      <c r="C184" s="82"/>
      <c r="D184" s="80"/>
      <c r="E184" s="80">
        <f t="shared" si="13"/>
        <v>0</v>
      </c>
      <c r="F184" s="41"/>
      <c r="G184" s="80"/>
      <c r="H184" s="80"/>
      <c r="I184" s="41"/>
      <c r="J184" s="70"/>
      <c r="K184" s="70"/>
      <c r="L184" s="70"/>
      <c r="M184" s="70"/>
    </row>
    <row r="185" spans="1:13" hidden="1">
      <c r="A185" s="72">
        <v>182</v>
      </c>
      <c r="B185" s="55"/>
      <c r="C185" s="82"/>
      <c r="D185" s="80"/>
      <c r="E185" s="80">
        <f t="shared" si="13"/>
        <v>0</v>
      </c>
      <c r="F185" s="41"/>
      <c r="G185" s="80"/>
      <c r="H185" s="80"/>
      <c r="I185" s="41"/>
      <c r="J185" s="70"/>
      <c r="K185" s="70"/>
      <c r="L185" s="70"/>
      <c r="M185" s="70"/>
    </row>
    <row r="186" spans="1:13" hidden="1">
      <c r="A186" s="72">
        <v>183</v>
      </c>
      <c r="B186" s="55"/>
      <c r="C186" s="82"/>
      <c r="D186" s="80"/>
      <c r="E186" s="80">
        <f t="shared" si="13"/>
        <v>0</v>
      </c>
      <c r="F186" s="41"/>
      <c r="G186" s="80"/>
      <c r="H186" s="80"/>
      <c r="I186" s="41"/>
      <c r="J186" s="70"/>
      <c r="K186" s="70"/>
      <c r="L186" s="70"/>
      <c r="M186" s="70"/>
    </row>
    <row r="187" spans="1:13" hidden="1">
      <c r="A187" s="72">
        <v>184</v>
      </c>
      <c r="B187" s="55"/>
      <c r="C187" s="82"/>
      <c r="D187" s="82"/>
      <c r="E187" s="80">
        <f t="shared" si="13"/>
        <v>0</v>
      </c>
      <c r="F187" s="41"/>
      <c r="G187" s="80"/>
      <c r="H187" s="80"/>
      <c r="I187" s="41"/>
      <c r="J187" s="70"/>
      <c r="K187" s="70"/>
      <c r="L187" s="70"/>
      <c r="M187" s="70"/>
    </row>
    <row r="188" spans="1:13" hidden="1">
      <c r="A188" s="72">
        <v>185</v>
      </c>
      <c r="B188" s="55"/>
      <c r="C188" s="82"/>
      <c r="D188" s="80"/>
      <c r="E188" s="80">
        <f t="shared" si="13"/>
        <v>0</v>
      </c>
      <c r="F188" s="41"/>
      <c r="G188" s="80"/>
      <c r="H188" s="80"/>
      <c r="I188" s="41"/>
      <c r="J188" s="70"/>
      <c r="K188" s="70"/>
      <c r="L188" s="70"/>
      <c r="M188" s="70"/>
    </row>
    <row r="189" spans="1:13" hidden="1">
      <c r="A189" s="72">
        <v>186</v>
      </c>
      <c r="B189" s="55"/>
      <c r="C189" s="82"/>
      <c r="D189" s="80"/>
      <c r="E189" s="80">
        <f t="shared" si="13"/>
        <v>0</v>
      </c>
      <c r="F189" s="41"/>
      <c r="G189" s="80"/>
      <c r="H189" s="80"/>
      <c r="I189" s="41"/>
      <c r="J189" s="70"/>
      <c r="K189" s="70"/>
      <c r="L189" s="70"/>
      <c r="M189" s="70"/>
    </row>
    <row r="190" spans="1:13" hidden="1">
      <c r="A190" s="72">
        <v>187</v>
      </c>
      <c r="B190" s="55"/>
      <c r="C190" s="82"/>
      <c r="D190" s="80"/>
      <c r="E190" s="80">
        <f t="shared" si="13"/>
        <v>0</v>
      </c>
      <c r="F190" s="41"/>
      <c r="G190" s="80"/>
      <c r="H190" s="80"/>
      <c r="I190" s="41"/>
      <c r="J190" s="70"/>
      <c r="K190" s="70"/>
      <c r="L190" s="70"/>
      <c r="M190" s="70"/>
    </row>
    <row r="191" spans="1:13" hidden="1">
      <c r="A191" s="72">
        <v>188</v>
      </c>
      <c r="B191" s="55"/>
      <c r="C191" s="82"/>
      <c r="D191" s="80"/>
      <c r="E191" s="80">
        <f t="shared" si="13"/>
        <v>0</v>
      </c>
      <c r="F191" s="41"/>
      <c r="G191" s="80"/>
      <c r="H191" s="80"/>
      <c r="I191" s="41"/>
      <c r="J191" s="70"/>
      <c r="K191" s="70"/>
      <c r="L191" s="70"/>
      <c r="M191" s="70"/>
    </row>
    <row r="192" spans="1:13" hidden="1">
      <c r="A192" s="72">
        <v>189</v>
      </c>
      <c r="B192" s="55"/>
      <c r="C192" s="82"/>
      <c r="D192" s="80"/>
      <c r="E192" s="80">
        <f t="shared" si="13"/>
        <v>0</v>
      </c>
      <c r="F192" s="41"/>
      <c r="G192" s="80"/>
      <c r="H192" s="80"/>
      <c r="I192" s="41"/>
      <c r="J192" s="70"/>
      <c r="K192" s="70"/>
      <c r="L192" s="70"/>
      <c r="M192" s="70"/>
    </row>
    <row r="193" spans="1:13" hidden="1">
      <c r="A193" s="72">
        <v>190</v>
      </c>
      <c r="B193" s="55"/>
      <c r="C193" s="82"/>
      <c r="D193" s="82"/>
      <c r="E193" s="80">
        <f t="shared" si="13"/>
        <v>0</v>
      </c>
      <c r="F193" s="41"/>
      <c r="G193" s="80"/>
      <c r="H193" s="80"/>
      <c r="I193" s="41"/>
      <c r="J193" s="70"/>
      <c r="K193" s="70"/>
      <c r="L193" s="70"/>
      <c r="M193" s="70"/>
    </row>
    <row r="194" spans="1:13" hidden="1">
      <c r="A194" s="72">
        <v>191</v>
      </c>
      <c r="B194" s="55"/>
      <c r="C194" s="82"/>
      <c r="D194" s="82"/>
      <c r="E194" s="80">
        <f t="shared" si="13"/>
        <v>0</v>
      </c>
      <c r="F194" s="41"/>
      <c r="G194" s="80"/>
      <c r="H194" s="80"/>
      <c r="I194" s="41"/>
      <c r="J194" s="70"/>
      <c r="K194" s="70"/>
      <c r="L194" s="70"/>
      <c r="M194" s="70"/>
    </row>
    <row r="195" spans="1:13" hidden="1">
      <c r="A195" s="72">
        <v>192</v>
      </c>
      <c r="B195" s="55"/>
      <c r="C195" s="82"/>
      <c r="D195" s="82"/>
      <c r="E195" s="80">
        <f t="shared" si="13"/>
        <v>0</v>
      </c>
      <c r="F195" s="41"/>
      <c r="G195" s="80"/>
      <c r="H195" s="80"/>
      <c r="I195" s="41"/>
      <c r="J195" s="70"/>
      <c r="K195" s="70"/>
      <c r="L195" s="70"/>
      <c r="M195" s="70"/>
    </row>
    <row r="196" spans="1:13" hidden="1">
      <c r="A196" s="72">
        <v>193</v>
      </c>
      <c r="B196" s="55"/>
      <c r="C196" s="82"/>
      <c r="D196" s="82"/>
      <c r="E196" s="80">
        <f t="shared" si="13"/>
        <v>0</v>
      </c>
      <c r="F196" s="41"/>
      <c r="G196" s="80"/>
      <c r="H196" s="80"/>
      <c r="I196" s="41"/>
      <c r="J196" s="70"/>
      <c r="K196" s="70"/>
      <c r="L196" s="70"/>
      <c r="M196" s="70"/>
    </row>
    <row r="197" spans="1:13" hidden="1">
      <c r="A197" s="72">
        <v>194</v>
      </c>
      <c r="B197" s="55"/>
      <c r="C197" s="82"/>
      <c r="D197" s="82"/>
      <c r="E197" s="80">
        <f t="shared" si="13"/>
        <v>0</v>
      </c>
      <c r="F197" s="41"/>
      <c r="G197" s="80"/>
      <c r="H197" s="80"/>
      <c r="I197" s="41"/>
      <c r="J197" s="70"/>
      <c r="K197" s="70"/>
      <c r="L197" s="70"/>
      <c r="M197" s="70"/>
    </row>
    <row r="198" spans="1:13" hidden="1">
      <c r="A198" s="72">
        <v>195</v>
      </c>
      <c r="B198" s="55"/>
      <c r="C198" s="82"/>
      <c r="D198" s="80"/>
      <c r="E198" s="80">
        <f t="shared" si="13"/>
        <v>0</v>
      </c>
      <c r="F198" s="41"/>
      <c r="G198" s="80"/>
      <c r="H198" s="80"/>
      <c r="I198" s="41"/>
      <c r="J198" s="70"/>
      <c r="K198" s="70"/>
      <c r="L198" s="70"/>
      <c r="M198" s="70"/>
    </row>
    <row r="199" spans="1:13" hidden="1">
      <c r="A199" s="72">
        <v>196</v>
      </c>
      <c r="B199" s="55"/>
      <c r="C199" s="82"/>
      <c r="D199" s="80"/>
      <c r="E199" s="80">
        <f t="shared" si="13"/>
        <v>0</v>
      </c>
      <c r="F199" s="41"/>
      <c r="G199" s="80"/>
      <c r="H199" s="80"/>
      <c r="I199" s="41"/>
      <c r="J199" s="70"/>
      <c r="K199" s="70"/>
      <c r="L199" s="70"/>
      <c r="M199" s="70"/>
    </row>
    <row r="200" spans="1:13" hidden="1">
      <c r="A200" s="72">
        <v>197</v>
      </c>
      <c r="B200" s="55"/>
      <c r="C200" s="82"/>
      <c r="D200" s="82"/>
      <c r="E200" s="80">
        <f t="shared" si="13"/>
        <v>0</v>
      </c>
      <c r="F200" s="41"/>
      <c r="G200" s="80"/>
      <c r="H200" s="80"/>
      <c r="I200" s="41"/>
      <c r="J200" s="70"/>
      <c r="K200" s="70"/>
      <c r="L200" s="70"/>
      <c r="M200" s="70"/>
    </row>
    <row r="201" spans="1:13" hidden="1">
      <c r="A201" s="72">
        <v>198</v>
      </c>
      <c r="B201" s="55"/>
      <c r="C201" s="82"/>
      <c r="D201" s="82"/>
      <c r="E201" s="80">
        <f t="shared" si="13"/>
        <v>0</v>
      </c>
      <c r="F201" s="41"/>
      <c r="G201" s="80"/>
      <c r="H201" s="80"/>
      <c r="I201" s="41"/>
      <c r="J201" s="70"/>
      <c r="K201" s="70"/>
      <c r="L201" s="70"/>
      <c r="M201" s="70"/>
    </row>
    <row r="202" spans="1:13" hidden="1">
      <c r="A202" s="72">
        <v>199</v>
      </c>
      <c r="B202" s="55"/>
      <c r="C202" s="82"/>
      <c r="D202" s="80"/>
      <c r="E202" s="80">
        <f t="shared" si="13"/>
        <v>0</v>
      </c>
      <c r="F202" s="41"/>
      <c r="G202" s="80"/>
      <c r="H202" s="80"/>
      <c r="I202" s="41"/>
      <c r="J202" s="70"/>
      <c r="K202" s="70"/>
      <c r="L202" s="70"/>
      <c r="M202" s="70"/>
    </row>
    <row r="203" spans="1:13" hidden="1">
      <c r="A203" s="72">
        <v>200</v>
      </c>
      <c r="B203" s="55"/>
      <c r="C203" s="82"/>
      <c r="D203" s="80"/>
      <c r="E203" s="80">
        <f t="shared" si="13"/>
        <v>0</v>
      </c>
      <c r="F203" s="41"/>
      <c r="G203" s="80"/>
      <c r="H203" s="80"/>
      <c r="I203" s="41"/>
      <c r="J203" s="70"/>
      <c r="K203" s="70"/>
      <c r="L203" s="70"/>
      <c r="M203" s="70"/>
    </row>
    <row r="204" spans="1:13" hidden="1">
      <c r="A204" s="72">
        <v>201</v>
      </c>
      <c r="B204" s="55"/>
      <c r="C204" s="82"/>
      <c r="D204" s="80"/>
      <c r="E204" s="80">
        <f t="shared" si="13"/>
        <v>0</v>
      </c>
      <c r="F204" s="41"/>
      <c r="G204" s="80"/>
      <c r="H204" s="80"/>
      <c r="I204" s="41"/>
      <c r="J204" s="70"/>
      <c r="K204" s="70"/>
      <c r="L204" s="70"/>
      <c r="M204" s="70"/>
    </row>
    <row r="205" spans="1:13" hidden="1">
      <c r="A205" s="72">
        <v>202</v>
      </c>
      <c r="B205" s="55"/>
      <c r="C205" s="82"/>
      <c r="D205" s="80"/>
      <c r="E205" s="80">
        <f t="shared" si="13"/>
        <v>0</v>
      </c>
      <c r="F205" s="41"/>
      <c r="G205" s="80"/>
      <c r="H205" s="80"/>
      <c r="I205" s="41"/>
      <c r="J205" s="70"/>
      <c r="K205" s="70"/>
      <c r="L205" s="70"/>
      <c r="M205" s="70"/>
    </row>
    <row r="206" spans="1:13" hidden="1">
      <c r="A206" s="72">
        <v>203</v>
      </c>
      <c r="B206" s="55"/>
      <c r="C206" s="82"/>
      <c r="D206" s="80"/>
      <c r="E206" s="80">
        <f t="shared" si="13"/>
        <v>0</v>
      </c>
      <c r="F206" s="41"/>
      <c r="G206" s="80"/>
      <c r="H206" s="80"/>
      <c r="I206" s="41"/>
      <c r="J206" s="70"/>
      <c r="K206" s="70"/>
      <c r="L206" s="70"/>
      <c r="M206" s="70"/>
    </row>
    <row r="207" spans="1:13" hidden="1">
      <c r="A207" s="72">
        <v>204</v>
      </c>
      <c r="B207" s="55"/>
      <c r="C207" s="82"/>
      <c r="D207" s="80"/>
      <c r="E207" s="80">
        <f t="shared" si="13"/>
        <v>0</v>
      </c>
      <c r="F207" s="41"/>
      <c r="G207" s="80"/>
      <c r="H207" s="80"/>
      <c r="I207" s="41"/>
      <c r="J207" s="70"/>
      <c r="K207" s="70"/>
      <c r="L207" s="70"/>
      <c r="M207" s="70"/>
    </row>
    <row r="208" spans="1:13" hidden="1">
      <c r="A208" s="72">
        <v>205</v>
      </c>
      <c r="B208" s="55"/>
      <c r="C208" s="82"/>
      <c r="D208" s="80"/>
      <c r="E208" s="80">
        <f t="shared" si="13"/>
        <v>0</v>
      </c>
      <c r="F208" s="41"/>
      <c r="G208" s="80"/>
      <c r="H208" s="80"/>
      <c r="I208" s="41"/>
      <c r="J208" s="70"/>
      <c r="K208" s="70"/>
      <c r="L208" s="70"/>
      <c r="M208" s="70"/>
    </row>
    <row r="209" spans="1:13" hidden="1">
      <c r="A209" s="72">
        <v>206</v>
      </c>
      <c r="B209" s="55"/>
      <c r="C209" s="82"/>
      <c r="D209" s="80"/>
      <c r="E209" s="80">
        <f t="shared" si="13"/>
        <v>0</v>
      </c>
      <c r="F209" s="41"/>
      <c r="G209" s="80"/>
      <c r="H209" s="80"/>
      <c r="I209" s="41"/>
      <c r="J209" s="70"/>
      <c r="K209" s="70"/>
      <c r="L209" s="70"/>
      <c r="M209" s="70"/>
    </row>
    <row r="210" spans="1:13" hidden="1">
      <c r="A210" s="72">
        <v>207</v>
      </c>
      <c r="B210" s="55"/>
      <c r="C210" s="82"/>
      <c r="D210" s="80"/>
      <c r="E210" s="80">
        <f t="shared" si="13"/>
        <v>0</v>
      </c>
      <c r="F210" s="41"/>
      <c r="G210" s="80"/>
      <c r="H210" s="80"/>
      <c r="I210" s="41"/>
      <c r="J210" s="70"/>
      <c r="K210" s="70"/>
      <c r="L210" s="70"/>
      <c r="M210" s="70"/>
    </row>
    <row r="211" spans="1:13" hidden="1">
      <c r="A211" s="72">
        <v>208</v>
      </c>
      <c r="B211" s="55"/>
      <c r="C211" s="82"/>
      <c r="D211" s="80"/>
      <c r="E211" s="80">
        <f t="shared" si="13"/>
        <v>0</v>
      </c>
      <c r="F211" s="41"/>
      <c r="G211" s="80"/>
      <c r="H211" s="80"/>
      <c r="I211" s="41"/>
      <c r="J211" s="70"/>
      <c r="K211" s="70"/>
      <c r="L211" s="70"/>
      <c r="M211" s="70"/>
    </row>
    <row r="212" spans="1:13" hidden="1">
      <c r="A212" s="72">
        <v>209</v>
      </c>
      <c r="B212" s="55"/>
      <c r="C212" s="82"/>
      <c r="D212" s="82"/>
      <c r="E212" s="80">
        <f t="shared" si="13"/>
        <v>0</v>
      </c>
      <c r="F212" s="41"/>
      <c r="G212" s="80"/>
      <c r="H212" s="80"/>
      <c r="I212" s="41"/>
      <c r="J212" s="70"/>
      <c r="K212" s="70"/>
      <c r="L212" s="70"/>
      <c r="M212" s="70"/>
    </row>
    <row r="213" spans="1:13" hidden="1">
      <c r="A213" s="43">
        <f t="shared" ref="A213" si="14">1+A212</f>
        <v>210</v>
      </c>
      <c r="B213" s="55"/>
      <c r="C213" s="82"/>
      <c r="D213" s="82"/>
      <c r="E213" s="80"/>
      <c r="F213" s="41"/>
      <c r="G213" s="80"/>
      <c r="H213" s="80"/>
      <c r="I213" s="41"/>
      <c r="J213" s="70"/>
      <c r="K213" s="70"/>
      <c r="L213" s="70"/>
      <c r="M213" s="70"/>
    </row>
    <row r="214" spans="1:13">
      <c r="A214" s="83"/>
      <c r="B214" s="84" t="s">
        <v>154</v>
      </c>
      <c r="C214" s="85">
        <f>SUM(C4:C212)</f>
        <v>3590167350</v>
      </c>
      <c r="D214" s="85">
        <f>SUM(D4:D212)</f>
        <v>2847956350</v>
      </c>
      <c r="E214" s="85">
        <f>SUM(E4:E212)</f>
        <v>742211000</v>
      </c>
      <c r="F214" s="86"/>
      <c r="G214" s="85">
        <f>SUM(G4:G212)</f>
        <v>0</v>
      </c>
      <c r="H214" s="87">
        <f t="shared" ref="H214" si="15">G214-D214</f>
        <v>-2847956350</v>
      </c>
      <c r="I214" s="83"/>
      <c r="J214" s="70"/>
      <c r="K214" s="70"/>
      <c r="L214" s="70"/>
      <c r="M214" s="70"/>
    </row>
    <row r="215" spans="1:13" ht="15.75" thickBot="1">
      <c r="D215" s="88"/>
      <c r="J215" s="70"/>
      <c r="K215" s="70"/>
      <c r="L215" s="70"/>
      <c r="M215" s="70"/>
    </row>
    <row r="216" spans="1:13">
      <c r="C216" s="89">
        <f>+C214</f>
        <v>3590167350</v>
      </c>
      <c r="D216" s="90">
        <f>E214</f>
        <v>742211000</v>
      </c>
      <c r="E216" s="90">
        <f>C216-D216</f>
        <v>2847956350</v>
      </c>
      <c r="F216" s="91" t="s">
        <v>155</v>
      </c>
      <c r="G216" s="92" t="s">
        <v>156</v>
      </c>
    </row>
    <row r="217" spans="1:13" ht="15.75" thickBot="1">
      <c r="C217" s="93"/>
      <c r="D217" s="94"/>
      <c r="E217" s="95">
        <f>E216/C216</f>
        <v>0.79326562590459748</v>
      </c>
      <c r="F217" s="96"/>
    </row>
    <row r="218" spans="1:13" ht="15.75" thickBot="1">
      <c r="C218" s="97"/>
      <c r="D218" s="97"/>
      <c r="E218" s="97"/>
    </row>
    <row r="219" spans="1:13" ht="12" customHeight="1">
      <c r="B219" s="89"/>
      <c r="C219" s="89">
        <v>9734735350</v>
      </c>
      <c r="D219" s="90">
        <f>+E214</f>
        <v>742211000</v>
      </c>
      <c r="E219" s="90">
        <f>C219-D219</f>
        <v>8992524350</v>
      </c>
      <c r="F219" s="91" t="s">
        <v>157</v>
      </c>
    </row>
    <row r="220" spans="1:13" ht="15.75" thickBot="1">
      <c r="C220" s="98" t="s">
        <v>196</v>
      </c>
      <c r="D220" s="99" t="s">
        <v>158</v>
      </c>
      <c r="E220" s="95">
        <f>E219/C219</f>
        <v>0.92375642754376475</v>
      </c>
      <c r="F220" s="96"/>
    </row>
    <row r="222" spans="1:13" ht="15.75" thickBot="1">
      <c r="E222" s="95">
        <f>D214/C214</f>
        <v>0.79326562590459748</v>
      </c>
      <c r="F222" s="100" t="s">
        <v>159</v>
      </c>
      <c r="I222" s="88">
        <v>9571120750</v>
      </c>
      <c r="J222" s="101">
        <f>I222-E214</f>
        <v>8828909750</v>
      </c>
    </row>
    <row r="224" spans="1:13">
      <c r="C224" s="102">
        <v>13000000000</v>
      </c>
      <c r="D224" s="103">
        <f>C224-E224-F224-G224</f>
        <v>12257789000</v>
      </c>
      <c r="E224" s="102">
        <f>E214-F224-G224</f>
        <v>645777550</v>
      </c>
      <c r="F224" s="102">
        <v>52391050</v>
      </c>
      <c r="G224" s="102">
        <v>44042400</v>
      </c>
    </row>
    <row r="225" spans="3:7">
      <c r="C225" s="104" t="s">
        <v>160</v>
      </c>
      <c r="D225" s="105"/>
      <c r="E225" s="134">
        <f>(E224+F224)/C224</f>
        <v>5.3705276923076924E-2</v>
      </c>
      <c r="F225" s="134"/>
    </row>
    <row r="227" spans="3:7">
      <c r="C227" s="104" t="s">
        <v>161</v>
      </c>
      <c r="D227" s="104" t="s">
        <v>122</v>
      </c>
      <c r="E227" s="106">
        <v>30</v>
      </c>
      <c r="F227" s="106">
        <v>60</v>
      </c>
      <c r="G227" s="104">
        <v>90</v>
      </c>
    </row>
  </sheetData>
  <autoFilter ref="A3:M217"/>
  <mergeCells count="3">
    <mergeCell ref="A1:I1"/>
    <mergeCell ref="A2:I2"/>
    <mergeCell ref="E225:F225"/>
  </mergeCells>
  <conditionalFormatting sqref="B190:B193 B204:B213">
    <cfRule type="expression" dxfId="213" priority="205">
      <formula>AND($Z192&gt;0,$L192&gt;89)</formula>
    </cfRule>
    <cfRule type="expression" dxfId="212" priority="206">
      <formula>AND($Z192&gt;0,$L192&gt;59)</formula>
    </cfRule>
  </conditionalFormatting>
  <conditionalFormatting sqref="G34:G48 E178:E179 G178:G179 H209:H212 H4:H48 C208:E214 G195:G212 G214 G213:H213 E78:E129">
    <cfRule type="expression" dxfId="211" priority="203">
      <formula>AND(#REF!&gt;0,$H4&gt;89)</formula>
    </cfRule>
    <cfRule type="expression" dxfId="210" priority="204">
      <formula>AND(#REF!&gt;0,$H4&gt;59)</formula>
    </cfRule>
  </conditionalFormatting>
  <conditionalFormatting sqref="H178:H179">
    <cfRule type="expression" dxfId="209" priority="201">
      <formula>AND(#REF!&gt;0,$H178&gt;89)</formula>
    </cfRule>
    <cfRule type="expression" dxfId="208" priority="202">
      <formula>AND(#REF!&gt;0,$H178&gt;59)</formula>
    </cfRule>
  </conditionalFormatting>
  <conditionalFormatting sqref="H208 H178:H179">
    <cfRule type="expression" dxfId="207" priority="199">
      <formula>AND(#REF!&gt;0,$H178&gt;89)</formula>
    </cfRule>
    <cfRule type="expression" dxfId="206" priority="200">
      <formula>AND(#REF!&gt;0,$H178&gt;59)</formula>
    </cfRule>
  </conditionalFormatting>
  <conditionalFormatting sqref="D216">
    <cfRule type="expression" dxfId="205" priority="197">
      <formula>AND(#REF!&gt;0,$H216&gt;89)</formula>
    </cfRule>
    <cfRule type="expression" dxfId="204" priority="198">
      <formula>AND(#REF!&gt;0,$H216&gt;59)</formula>
    </cfRule>
  </conditionalFormatting>
  <conditionalFormatting sqref="E216">
    <cfRule type="expression" dxfId="203" priority="195">
      <formula>AND(#REF!&gt;0,$H216&gt;89)</formula>
    </cfRule>
    <cfRule type="expression" dxfId="202" priority="196">
      <formula>AND(#REF!&gt;0,$H216&gt;59)</formula>
    </cfRule>
  </conditionalFormatting>
  <conditionalFormatting sqref="H214">
    <cfRule type="expression" dxfId="201" priority="193">
      <formula>AND(#REF!&gt;0,$H214&gt;89)</formula>
    </cfRule>
    <cfRule type="expression" dxfId="200" priority="194">
      <formula>AND(#REF!&gt;0,$H214&gt;59)</formula>
    </cfRule>
  </conditionalFormatting>
  <conditionalFormatting sqref="F9:G12 F4:F8">
    <cfRule type="expression" dxfId="199" priority="191">
      <formula>AND(#REF!&gt;0,$M4&gt;89)</formula>
    </cfRule>
    <cfRule type="expression" dxfId="198" priority="192">
      <formula>AND(#REF!&gt;0,$M4&gt;59)</formula>
    </cfRule>
  </conditionalFormatting>
  <conditionalFormatting sqref="D219">
    <cfRule type="expression" dxfId="197" priority="189">
      <formula>AND(#REF!&gt;0,$H219&gt;89)</formula>
    </cfRule>
    <cfRule type="expression" dxfId="196" priority="190">
      <formula>AND(#REF!&gt;0,$H219&gt;59)</formula>
    </cfRule>
  </conditionalFormatting>
  <conditionalFormatting sqref="E219">
    <cfRule type="expression" dxfId="195" priority="187">
      <formula>AND(#REF!&gt;0,$H219&gt;89)</formula>
    </cfRule>
    <cfRule type="expression" dxfId="194" priority="188">
      <formula>AND(#REF!&gt;0,$H219&gt;59)</formula>
    </cfRule>
  </conditionalFormatting>
  <conditionalFormatting sqref="I4:I12">
    <cfRule type="expression" dxfId="193" priority="185">
      <formula>AND($AD4&gt;0,$P4&gt;89)</formula>
    </cfRule>
    <cfRule type="expression" dxfId="192" priority="186">
      <formula>AND($AD4&gt;0,$P4&gt;59)</formula>
    </cfRule>
  </conditionalFormatting>
  <conditionalFormatting sqref="C178:C179">
    <cfRule type="expression" dxfId="191" priority="183">
      <formula>AND(#REF!&gt;0,$L180&gt;89)</formula>
    </cfRule>
    <cfRule type="expression" dxfId="190" priority="184">
      <formula>AND(#REF!&gt;0,$L180&gt;59)</formula>
    </cfRule>
  </conditionalFormatting>
  <conditionalFormatting sqref="I179:I180 I13:I49">
    <cfRule type="expression" dxfId="189" priority="181">
      <formula>AND($AD14&gt;0,$P14&gt;89)</formula>
    </cfRule>
    <cfRule type="expression" dxfId="188" priority="182">
      <formula>AND($AD14&gt;0,$P14&gt;59)</formula>
    </cfRule>
  </conditionalFormatting>
  <conditionalFormatting sqref="B194">
    <cfRule type="expression" dxfId="187" priority="179">
      <formula>AND($Z196&gt;0,$L196&gt;89)</formula>
    </cfRule>
    <cfRule type="expression" dxfId="186" priority="180">
      <formula>AND($Z196&gt;0,$L196&gt;59)</formula>
    </cfRule>
  </conditionalFormatting>
  <conditionalFormatting sqref="C194 C204:E207 G194 E194">
    <cfRule type="expression" dxfId="185" priority="177">
      <formula>AND(#REF!&gt;0,$H194&gt;89)</formula>
    </cfRule>
    <cfRule type="expression" dxfId="184" priority="178">
      <formula>AND(#REF!&gt;0,$H194&gt;59)</formula>
    </cfRule>
  </conditionalFormatting>
  <conditionalFormatting sqref="H204:H207 H194">
    <cfRule type="expression" dxfId="183" priority="175">
      <formula>AND(#REF!&gt;0,$H194&gt;89)</formula>
    </cfRule>
    <cfRule type="expression" dxfId="182" priority="176">
      <formula>AND(#REF!&gt;0,$H194&gt;59)</formula>
    </cfRule>
  </conditionalFormatting>
  <conditionalFormatting sqref="B195:B203">
    <cfRule type="expression" dxfId="181" priority="173">
      <formula>AND($Z197&gt;0,$L197&gt;89)</formula>
    </cfRule>
    <cfRule type="expression" dxfId="180" priority="174">
      <formula>AND($Z197&gt;0,$L197&gt;59)</formula>
    </cfRule>
  </conditionalFormatting>
  <conditionalFormatting sqref="C195 E195 C196:E203">
    <cfRule type="expression" dxfId="179" priority="171">
      <formula>AND(#REF!&gt;0,$H195&gt;89)</formula>
    </cfRule>
    <cfRule type="expression" dxfId="178" priority="172">
      <formula>AND(#REF!&gt;0,$H195&gt;59)</formula>
    </cfRule>
  </conditionalFormatting>
  <conditionalFormatting sqref="H195:H203">
    <cfRule type="expression" dxfId="177" priority="169">
      <formula>AND(#REF!&gt;0,$H195&gt;89)</formula>
    </cfRule>
    <cfRule type="expression" dxfId="176" priority="170">
      <formula>AND(#REF!&gt;0,$H195&gt;59)</formula>
    </cfRule>
  </conditionalFormatting>
  <conditionalFormatting sqref="B180">
    <cfRule type="expression" dxfId="175" priority="167">
      <formula>AND($Z182&gt;0,$L182&gt;89)</formula>
    </cfRule>
    <cfRule type="expression" dxfId="174" priority="168">
      <formula>AND($Z182&gt;0,$L182&gt;59)</formula>
    </cfRule>
  </conditionalFormatting>
  <conditionalFormatting sqref="C180:E180 G190:G193 C190:E192 G180 C193 E193">
    <cfRule type="expression" dxfId="173" priority="165">
      <formula>AND(#REF!&gt;0,$H180&gt;89)</formula>
    </cfRule>
    <cfRule type="expression" dxfId="172" priority="166">
      <formula>AND(#REF!&gt;0,$H180&gt;59)</formula>
    </cfRule>
  </conditionalFormatting>
  <conditionalFormatting sqref="H190:H193 H180">
    <cfRule type="expression" dxfId="171" priority="163">
      <formula>AND(#REF!&gt;0,$H180&gt;89)</formula>
    </cfRule>
    <cfRule type="expression" dxfId="170" priority="164">
      <formula>AND(#REF!&gt;0,$H180&gt;59)</formula>
    </cfRule>
  </conditionalFormatting>
  <conditionalFormatting sqref="B181:B189">
    <cfRule type="expression" dxfId="169" priority="161">
      <formula>AND($Z183&gt;0,$L183&gt;89)</formula>
    </cfRule>
    <cfRule type="expression" dxfId="168" priority="162">
      <formula>AND($Z183&gt;0,$L183&gt;59)</formula>
    </cfRule>
  </conditionalFormatting>
  <conditionalFormatting sqref="G181:G189 C181:E189">
    <cfRule type="expression" dxfId="167" priority="159">
      <formula>AND(#REF!&gt;0,$H181&gt;89)</formula>
    </cfRule>
    <cfRule type="expression" dxfId="166" priority="160">
      <formula>AND(#REF!&gt;0,$H181&gt;59)</formula>
    </cfRule>
  </conditionalFormatting>
  <conditionalFormatting sqref="H181:H189">
    <cfRule type="expression" dxfId="165" priority="157">
      <formula>AND(#REF!&gt;0,$H181&gt;89)</formula>
    </cfRule>
    <cfRule type="expression" dxfId="164" priority="158">
      <formula>AND(#REF!&gt;0,$H181&gt;59)</formula>
    </cfRule>
  </conditionalFormatting>
  <conditionalFormatting sqref="D178:D179">
    <cfRule type="expression" dxfId="163" priority="155">
      <formula>AND(#REF!&gt;0,$L180&gt;89)</formula>
    </cfRule>
    <cfRule type="expression" dxfId="162" priority="156">
      <formula>AND(#REF!&gt;0,$L180&gt;59)</formula>
    </cfRule>
  </conditionalFormatting>
  <conditionalFormatting sqref="D194">
    <cfRule type="expression" dxfId="161" priority="153">
      <formula>AND(#REF!&gt;0,$H194&gt;89)</formula>
    </cfRule>
    <cfRule type="expression" dxfId="160" priority="154">
      <formula>AND(#REF!&gt;0,$H194&gt;59)</formula>
    </cfRule>
  </conditionalFormatting>
  <conditionalFormatting sqref="D195">
    <cfRule type="expression" dxfId="159" priority="151">
      <formula>AND(#REF!&gt;0,$H195&gt;89)</formula>
    </cfRule>
    <cfRule type="expression" dxfId="158" priority="152">
      <formula>AND(#REF!&gt;0,$H195&gt;59)</formula>
    </cfRule>
  </conditionalFormatting>
  <conditionalFormatting sqref="D193">
    <cfRule type="expression" dxfId="157" priority="149">
      <formula>AND(#REF!&gt;0,$H193&gt;89)</formula>
    </cfRule>
    <cfRule type="expression" dxfId="156" priority="150">
      <formula>AND(#REF!&gt;0,$H193&gt;59)</formula>
    </cfRule>
  </conditionalFormatting>
  <conditionalFormatting sqref="B170">
    <cfRule type="expression" dxfId="155" priority="147">
      <formula>AND($Z172&gt;0,$L172&gt;89)</formula>
    </cfRule>
    <cfRule type="expression" dxfId="154" priority="148">
      <formula>AND($Z172&gt;0,$L172&gt;59)</formula>
    </cfRule>
  </conditionalFormatting>
  <conditionalFormatting sqref="C170:E170 G49:G50">
    <cfRule type="expression" dxfId="153" priority="145">
      <formula>AND(#REF!&gt;0,$H49&gt;89)</formula>
    </cfRule>
    <cfRule type="expression" dxfId="152" priority="146">
      <formula>AND(#REF!&gt;0,$H49&gt;59)</formula>
    </cfRule>
  </conditionalFormatting>
  <conditionalFormatting sqref="H49:H50">
    <cfRule type="expression" dxfId="151" priority="143">
      <formula>AND(#REF!&gt;0,$H49&gt;89)</formula>
    </cfRule>
    <cfRule type="expression" dxfId="150" priority="144">
      <formula>AND(#REF!&gt;0,$H49&gt;59)</formula>
    </cfRule>
  </conditionalFormatting>
  <conditionalFormatting sqref="H170 H49:H50">
    <cfRule type="expression" dxfId="149" priority="141">
      <formula>AND(#REF!&gt;0,$H49&gt;89)</formula>
    </cfRule>
    <cfRule type="expression" dxfId="148" priority="142">
      <formula>AND(#REF!&gt;0,$H49&gt;59)</formula>
    </cfRule>
  </conditionalFormatting>
  <conditionalFormatting sqref="I50:I51">
    <cfRule type="expression" dxfId="147" priority="139">
      <formula>AND($AD51&gt;0,$P51&gt;89)</formula>
    </cfRule>
    <cfRule type="expression" dxfId="146" priority="140">
      <formula>AND($AD51&gt;0,$P51&gt;59)</formula>
    </cfRule>
  </conditionalFormatting>
  <conditionalFormatting sqref="B171:B177">
    <cfRule type="expression" dxfId="145" priority="137">
      <formula>AND($Z173&gt;0,$L173&gt;89)</formula>
    </cfRule>
    <cfRule type="expression" dxfId="144" priority="138">
      <formula>AND($Z173&gt;0,$L173&gt;59)</formula>
    </cfRule>
  </conditionalFormatting>
  <conditionalFormatting sqref="C171:E177">
    <cfRule type="expression" dxfId="143" priority="135">
      <formula>AND(#REF!&gt;0,$H171&gt;89)</formula>
    </cfRule>
    <cfRule type="expression" dxfId="142" priority="136">
      <formula>AND(#REF!&gt;0,$H171&gt;59)</formula>
    </cfRule>
  </conditionalFormatting>
  <conditionalFormatting sqref="H171:H177">
    <cfRule type="expression" dxfId="141" priority="133">
      <formula>AND(#REF!&gt;0,$H171&gt;89)</formula>
    </cfRule>
    <cfRule type="expression" dxfId="140" priority="134">
      <formula>AND(#REF!&gt;0,$H171&gt;59)</formula>
    </cfRule>
  </conditionalFormatting>
  <conditionalFormatting sqref="G65">
    <cfRule type="expression" dxfId="139" priority="131">
      <formula>AND(#REF!&gt;0,$H65&gt;89)</formula>
    </cfRule>
    <cfRule type="expression" dxfId="138" priority="132">
      <formula>AND(#REF!&gt;0,$H65&gt;59)</formula>
    </cfRule>
  </conditionalFormatting>
  <conditionalFormatting sqref="H75:H76 H65 H101:H102">
    <cfRule type="expression" dxfId="137" priority="129">
      <formula>AND(#REF!&gt;0,$H65&gt;89)</formula>
    </cfRule>
    <cfRule type="expression" dxfId="136" priority="130">
      <formula>AND(#REF!&gt;0,$H65&gt;59)</formula>
    </cfRule>
  </conditionalFormatting>
  <conditionalFormatting sqref="G66:G76 G101:G102 G170:G177">
    <cfRule type="expression" dxfId="135" priority="127">
      <formula>AND(#REF!&gt;0,$H66&gt;89)</formula>
    </cfRule>
    <cfRule type="expression" dxfId="134" priority="128">
      <formula>AND(#REF!&gt;0,$H66&gt;59)</formula>
    </cfRule>
  </conditionalFormatting>
  <conditionalFormatting sqref="H66:H74">
    <cfRule type="expression" dxfId="133" priority="125">
      <formula>AND(#REF!&gt;0,$H66&gt;89)</formula>
    </cfRule>
    <cfRule type="expression" dxfId="132" priority="126">
      <formula>AND(#REF!&gt;0,$H66&gt;59)</formula>
    </cfRule>
  </conditionalFormatting>
  <conditionalFormatting sqref="G61:G64 G51">
    <cfRule type="expression" dxfId="131" priority="123">
      <formula>AND(#REF!&gt;0,$H51&gt;89)</formula>
    </cfRule>
    <cfRule type="expression" dxfId="130" priority="124">
      <formula>AND(#REF!&gt;0,$H51&gt;59)</formula>
    </cfRule>
  </conditionalFormatting>
  <conditionalFormatting sqref="H61:H64 H51">
    <cfRule type="expression" dxfId="129" priority="121">
      <formula>AND(#REF!&gt;0,$H51&gt;89)</formula>
    </cfRule>
    <cfRule type="expression" dxfId="128" priority="122">
      <formula>AND(#REF!&gt;0,$H51&gt;59)</formula>
    </cfRule>
  </conditionalFormatting>
  <conditionalFormatting sqref="G52:G60">
    <cfRule type="expression" dxfId="127" priority="119">
      <formula>AND(#REF!&gt;0,$H52&gt;89)</formula>
    </cfRule>
    <cfRule type="expression" dxfId="126" priority="120">
      <formula>AND(#REF!&gt;0,$H52&gt;59)</formula>
    </cfRule>
  </conditionalFormatting>
  <conditionalFormatting sqref="H52:H60">
    <cfRule type="expression" dxfId="125" priority="117">
      <formula>AND(#REF!&gt;0,$H52&gt;89)</formula>
    </cfRule>
    <cfRule type="expression" dxfId="124" priority="118">
      <formula>AND(#REF!&gt;0,$H52&gt;59)</formula>
    </cfRule>
  </conditionalFormatting>
  <conditionalFormatting sqref="G87:G88">
    <cfRule type="expression" dxfId="123" priority="115">
      <formula>AND(#REF!&gt;0,$H87&gt;89)</formula>
    </cfRule>
    <cfRule type="expression" dxfId="122" priority="116">
      <formula>AND(#REF!&gt;0,$H87&gt;59)</formula>
    </cfRule>
  </conditionalFormatting>
  <conditionalFormatting sqref="H87:H88">
    <cfRule type="expression" dxfId="121" priority="113">
      <formula>AND(#REF!&gt;0,$H87&gt;89)</formula>
    </cfRule>
    <cfRule type="expression" dxfId="120" priority="114">
      <formula>AND(#REF!&gt;0,$H87&gt;59)</formula>
    </cfRule>
  </conditionalFormatting>
  <conditionalFormatting sqref="H87:H88">
    <cfRule type="expression" dxfId="119" priority="111">
      <formula>AND(#REF!&gt;0,$H87&gt;89)</formula>
    </cfRule>
    <cfRule type="expression" dxfId="118" priority="112">
      <formula>AND(#REF!&gt;0,$H87&gt;59)</formula>
    </cfRule>
  </conditionalFormatting>
  <conditionalFormatting sqref="I88:I89">
    <cfRule type="expression" dxfId="117" priority="109">
      <formula>AND($AD89&gt;0,$P89&gt;89)</formula>
    </cfRule>
    <cfRule type="expression" dxfId="116" priority="110">
      <formula>AND($AD89&gt;0,$P89&gt;59)</formula>
    </cfRule>
  </conditionalFormatting>
  <conditionalFormatting sqref="G99:G100 G89">
    <cfRule type="expression" dxfId="115" priority="107">
      <formula>AND(#REF!&gt;0,$H89&gt;89)</formula>
    </cfRule>
    <cfRule type="expression" dxfId="114" priority="108">
      <formula>AND(#REF!&gt;0,$H89&gt;59)</formula>
    </cfRule>
  </conditionalFormatting>
  <conditionalFormatting sqref="H99:H100 H89">
    <cfRule type="expression" dxfId="113" priority="105">
      <formula>AND(#REF!&gt;0,$H89&gt;89)</formula>
    </cfRule>
    <cfRule type="expression" dxfId="112" priority="106">
      <formula>AND(#REF!&gt;0,$H89&gt;59)</formula>
    </cfRule>
  </conditionalFormatting>
  <conditionalFormatting sqref="G90:G98">
    <cfRule type="expression" dxfId="111" priority="103">
      <formula>AND(#REF!&gt;0,$H90&gt;89)</formula>
    </cfRule>
    <cfRule type="expression" dxfId="110" priority="104">
      <formula>AND(#REF!&gt;0,$H90&gt;59)</formula>
    </cfRule>
  </conditionalFormatting>
  <conditionalFormatting sqref="H90:H98">
    <cfRule type="expression" dxfId="109" priority="101">
      <formula>AND(#REF!&gt;0,$H90&gt;89)</formula>
    </cfRule>
    <cfRule type="expression" dxfId="108" priority="102">
      <formula>AND(#REF!&gt;0,$H90&gt;59)</formula>
    </cfRule>
  </conditionalFormatting>
  <conditionalFormatting sqref="H79">
    <cfRule type="expression" dxfId="107" priority="99">
      <formula>AND(#REF!&gt;0,$H79&gt;89)</formula>
    </cfRule>
    <cfRule type="expression" dxfId="106" priority="100">
      <formula>AND(#REF!&gt;0,$H79&gt;59)</formula>
    </cfRule>
  </conditionalFormatting>
  <conditionalFormatting sqref="H80:H86">
    <cfRule type="expression" dxfId="105" priority="97">
      <formula>AND(#REF!&gt;0,$H80&gt;89)</formula>
    </cfRule>
    <cfRule type="expression" dxfId="104" priority="98">
      <formula>AND(#REF!&gt;0,$H80&gt;59)</formula>
    </cfRule>
  </conditionalFormatting>
  <conditionalFormatting sqref="H77:H78">
    <cfRule type="expression" dxfId="103" priority="95">
      <formula>AND(#REF!&gt;0,$H77&gt;89)</formula>
    </cfRule>
    <cfRule type="expression" dxfId="102" priority="96">
      <formula>AND(#REF!&gt;0,$H77&gt;59)</formula>
    </cfRule>
  </conditionalFormatting>
  <conditionalFormatting sqref="G77:G86">
    <cfRule type="expression" dxfId="101" priority="93">
      <formula>AND(#REF!&gt;0,$H77&gt;89)</formula>
    </cfRule>
    <cfRule type="expression" dxfId="100" priority="94">
      <formula>AND(#REF!&gt;0,$H77&gt;59)</formula>
    </cfRule>
  </conditionalFormatting>
  <conditionalFormatting sqref="E151:E154 G111:G112 E141">
    <cfRule type="expression" dxfId="99" priority="91">
      <formula>AND(#REF!&gt;0,$H111&gt;89)</formula>
    </cfRule>
    <cfRule type="expression" dxfId="98" priority="92">
      <formula>AND(#REF!&gt;0,$H111&gt;59)</formula>
    </cfRule>
  </conditionalFormatting>
  <conditionalFormatting sqref="H111:H112">
    <cfRule type="expression" dxfId="97" priority="89">
      <formula>AND(#REF!&gt;0,$H111&gt;89)</formula>
    </cfRule>
    <cfRule type="expression" dxfId="96" priority="90">
      <formula>AND(#REF!&gt;0,$H111&gt;59)</formula>
    </cfRule>
  </conditionalFormatting>
  <conditionalFormatting sqref="H151:H154 H141 H111:H112">
    <cfRule type="expression" dxfId="95" priority="87">
      <formula>AND(#REF!&gt;0,$H111&gt;89)</formula>
    </cfRule>
    <cfRule type="expression" dxfId="94" priority="88">
      <formula>AND(#REF!&gt;0,$H111&gt;59)</formula>
    </cfRule>
  </conditionalFormatting>
  <conditionalFormatting sqref="I112:I113">
    <cfRule type="expression" dxfId="93" priority="85">
      <formula>AND($AD113&gt;0,$P113&gt;89)</formula>
    </cfRule>
    <cfRule type="expression" dxfId="92" priority="86">
      <formula>AND($AD113&gt;0,$P113&gt;59)</formula>
    </cfRule>
  </conditionalFormatting>
  <conditionalFormatting sqref="E142:E150">
    <cfRule type="expression" dxfId="91" priority="83">
      <formula>AND(#REF!&gt;0,$H142&gt;89)</formula>
    </cfRule>
    <cfRule type="expression" dxfId="90" priority="84">
      <formula>AND(#REF!&gt;0,$H142&gt;59)</formula>
    </cfRule>
  </conditionalFormatting>
  <conditionalFormatting sqref="H142:H150">
    <cfRule type="expression" dxfId="89" priority="81">
      <formula>AND(#REF!&gt;0,$H142&gt;89)</formula>
    </cfRule>
    <cfRule type="expression" dxfId="88" priority="82">
      <formula>AND(#REF!&gt;0,$H142&gt;59)</formula>
    </cfRule>
  </conditionalFormatting>
  <conditionalFormatting sqref="G127 E137:E140">
    <cfRule type="expression" dxfId="87" priority="79">
      <formula>AND(#REF!&gt;0,$H127&gt;89)</formula>
    </cfRule>
    <cfRule type="expression" dxfId="86" priority="80">
      <formula>AND(#REF!&gt;0,$H127&gt;59)</formula>
    </cfRule>
  </conditionalFormatting>
  <conditionalFormatting sqref="H137:H140 H127">
    <cfRule type="expression" dxfId="85" priority="77">
      <formula>AND(#REF!&gt;0,$H127&gt;89)</formula>
    </cfRule>
    <cfRule type="expression" dxfId="84" priority="78">
      <formula>AND(#REF!&gt;0,$H127&gt;59)</formula>
    </cfRule>
  </conditionalFormatting>
  <conditionalFormatting sqref="G128:G163 E130:E136">
    <cfRule type="expression" dxfId="83" priority="75">
      <formula>AND(#REF!&gt;0,$H128&gt;89)</formula>
    </cfRule>
    <cfRule type="expression" dxfId="82" priority="76">
      <formula>AND(#REF!&gt;0,$H128&gt;59)</formula>
    </cfRule>
  </conditionalFormatting>
  <conditionalFormatting sqref="H128:H136">
    <cfRule type="expression" dxfId="81" priority="73">
      <formula>AND(#REF!&gt;0,$H128&gt;89)</formula>
    </cfRule>
    <cfRule type="expression" dxfId="80" priority="74">
      <formula>AND(#REF!&gt;0,$H128&gt;59)</formula>
    </cfRule>
  </conditionalFormatting>
  <conditionalFormatting sqref="G123:G126 G113">
    <cfRule type="expression" dxfId="79" priority="71">
      <formula>AND(#REF!&gt;0,$H113&gt;89)</formula>
    </cfRule>
    <cfRule type="expression" dxfId="78" priority="72">
      <formula>AND(#REF!&gt;0,$H113&gt;59)</formula>
    </cfRule>
  </conditionalFormatting>
  <conditionalFormatting sqref="H123:H126 H113">
    <cfRule type="expression" dxfId="77" priority="69">
      <formula>AND(#REF!&gt;0,$H113&gt;89)</formula>
    </cfRule>
    <cfRule type="expression" dxfId="76" priority="70">
      <formula>AND(#REF!&gt;0,$H113&gt;59)</formula>
    </cfRule>
  </conditionalFormatting>
  <conditionalFormatting sqref="G114:G122">
    <cfRule type="expression" dxfId="75" priority="67">
      <formula>AND(#REF!&gt;0,$H114&gt;89)</formula>
    </cfRule>
    <cfRule type="expression" dxfId="74" priority="68">
      <formula>AND(#REF!&gt;0,$H114&gt;59)</formula>
    </cfRule>
  </conditionalFormatting>
  <conditionalFormatting sqref="H114:H122">
    <cfRule type="expression" dxfId="73" priority="65">
      <formula>AND(#REF!&gt;0,$H114&gt;89)</formula>
    </cfRule>
    <cfRule type="expression" dxfId="72" priority="66">
      <formula>AND(#REF!&gt;0,$H114&gt;59)</formula>
    </cfRule>
  </conditionalFormatting>
  <conditionalFormatting sqref="B166:B169">
    <cfRule type="expression" dxfId="71" priority="63">
      <formula>AND($Z168&gt;0,$L168&gt;89)</formula>
    </cfRule>
    <cfRule type="expression" dxfId="70" priority="64">
      <formula>AND($Z168&gt;0,$L168&gt;59)</formula>
    </cfRule>
  </conditionalFormatting>
  <conditionalFormatting sqref="C166:E169 G166:G169">
    <cfRule type="expression" dxfId="69" priority="61">
      <formula>AND(#REF!&gt;0,$H166&gt;89)</formula>
    </cfRule>
    <cfRule type="expression" dxfId="68" priority="62">
      <formula>AND(#REF!&gt;0,$H166&gt;59)</formula>
    </cfRule>
  </conditionalFormatting>
  <conditionalFormatting sqref="H166:H169">
    <cfRule type="expression" dxfId="67" priority="59">
      <formula>AND(#REF!&gt;0,$H166&gt;89)</formula>
    </cfRule>
    <cfRule type="expression" dxfId="66" priority="60">
      <formula>AND(#REF!&gt;0,$H166&gt;59)</formula>
    </cfRule>
  </conditionalFormatting>
  <conditionalFormatting sqref="B161:B165">
    <cfRule type="expression" dxfId="65" priority="57">
      <formula>AND($Z163&gt;0,$L163&gt;89)</formula>
    </cfRule>
    <cfRule type="expression" dxfId="64" priority="58">
      <formula>AND($Z163&gt;0,$L163&gt;59)</formula>
    </cfRule>
  </conditionalFormatting>
  <conditionalFormatting sqref="C161:E165 G164:G165">
    <cfRule type="expression" dxfId="63" priority="55">
      <formula>AND(#REF!&gt;0,$H161&gt;89)</formula>
    </cfRule>
    <cfRule type="expression" dxfId="62" priority="56">
      <formula>AND(#REF!&gt;0,$H161&gt;59)</formula>
    </cfRule>
  </conditionalFormatting>
  <conditionalFormatting sqref="H161:H165">
    <cfRule type="expression" dxfId="61" priority="53">
      <formula>AND(#REF!&gt;0,$H161&gt;89)</formula>
    </cfRule>
    <cfRule type="expression" dxfId="60" priority="54">
      <formula>AND(#REF!&gt;0,$H161&gt;59)</formula>
    </cfRule>
  </conditionalFormatting>
  <conditionalFormatting sqref="B155:B160">
    <cfRule type="expression" dxfId="59" priority="51">
      <formula>AND($Z157&gt;0,$L157&gt;89)</formula>
    </cfRule>
    <cfRule type="expression" dxfId="58" priority="52">
      <formula>AND($Z157&gt;0,$L157&gt;59)</formula>
    </cfRule>
  </conditionalFormatting>
  <conditionalFormatting sqref="C155:E160">
    <cfRule type="expression" dxfId="57" priority="49">
      <formula>AND(#REF!&gt;0,$H155&gt;89)</formula>
    </cfRule>
    <cfRule type="expression" dxfId="56" priority="50">
      <formula>AND(#REF!&gt;0,$H155&gt;59)</formula>
    </cfRule>
  </conditionalFormatting>
  <conditionalFormatting sqref="H155:H160">
    <cfRule type="expression" dxfId="55" priority="47">
      <formula>AND(#REF!&gt;0,$H155&gt;89)</formula>
    </cfRule>
    <cfRule type="expression" dxfId="54" priority="48">
      <formula>AND(#REF!&gt;0,$H155&gt;59)</formula>
    </cfRule>
  </conditionalFormatting>
  <conditionalFormatting sqref="H103">
    <cfRule type="expression" dxfId="53" priority="45">
      <formula>AND(#REF!&gt;0,$H103&gt;89)</formula>
    </cfRule>
    <cfRule type="expression" dxfId="52" priority="46">
      <formula>AND(#REF!&gt;0,$H103&gt;59)</formula>
    </cfRule>
  </conditionalFormatting>
  <conditionalFormatting sqref="H104:H110">
    <cfRule type="expression" dxfId="51" priority="43">
      <formula>AND(#REF!&gt;0,$H104&gt;89)</formula>
    </cfRule>
    <cfRule type="expression" dxfId="50" priority="44">
      <formula>AND(#REF!&gt;0,$H104&gt;59)</formula>
    </cfRule>
  </conditionalFormatting>
  <conditionalFormatting sqref="G103:G110">
    <cfRule type="expression" dxfId="49" priority="41">
      <formula>AND(#REF!&gt;0,$H103&gt;89)</formula>
    </cfRule>
    <cfRule type="expression" dxfId="48" priority="42">
      <formula>AND(#REF!&gt;0,$H103&gt;59)</formula>
    </cfRule>
  </conditionalFormatting>
  <conditionalFormatting sqref="C216">
    <cfRule type="expression" dxfId="47" priority="39">
      <formula>AND(#REF!&gt;0,$H216&gt;89)</formula>
    </cfRule>
    <cfRule type="expression" dxfId="46" priority="40">
      <formula>AND(#REF!&gt;0,$H216&gt;59)</formula>
    </cfRule>
  </conditionalFormatting>
  <conditionalFormatting sqref="F14:G33">
    <cfRule type="expression" dxfId="45" priority="207">
      <formula>AND(#REF!&gt;0,$M16&gt;89)</formula>
    </cfRule>
    <cfRule type="expression" dxfId="44" priority="208">
      <formula>AND(#REF!&gt;0,$M16&gt;59)</formula>
    </cfRule>
  </conditionalFormatting>
  <conditionalFormatting sqref="B178:B179">
    <cfRule type="expression" dxfId="43" priority="209">
      <formula>AND($AD180&gt;0,$P180&gt;89)</formula>
    </cfRule>
    <cfRule type="expression" dxfId="42" priority="210">
      <formula>AND($AD180&gt;0,$P180&gt;59)</formula>
    </cfRule>
  </conditionalFormatting>
  <conditionalFormatting sqref="F13:G13">
    <cfRule type="expression" dxfId="41" priority="211">
      <formula>AND(#REF!&gt;0,$M14&gt;89)</formula>
    </cfRule>
    <cfRule type="expression" dxfId="40" priority="212">
      <formula>AND(#REF!&gt;0,$M14&gt;59)</formula>
    </cfRule>
  </conditionalFormatting>
  <conditionalFormatting sqref="B214">
    <cfRule type="expression" dxfId="39" priority="213">
      <formula>AND($Z215&gt;0,$L215&gt;89)</formula>
    </cfRule>
    <cfRule type="expression" dxfId="38" priority="214">
      <formula>AND($Z215&gt;0,$L215&gt;59)</formula>
    </cfRule>
  </conditionalFormatting>
  <conditionalFormatting sqref="B130:B154">
    <cfRule type="expression" dxfId="37" priority="36">
      <formula>AND($AK130&gt;0,$W130&gt;89)</formula>
    </cfRule>
    <cfRule type="expression" dxfId="36" priority="37">
      <formula>AND($AK130&gt;0,$W130&gt;59)</formula>
    </cfRule>
    <cfRule type="expression" dxfId="35" priority="38">
      <formula>AND($AK130&gt;0,$W130&gt;44)</formula>
    </cfRule>
  </conditionalFormatting>
  <conditionalFormatting sqref="B85:B95">
    <cfRule type="expression" dxfId="34" priority="33">
      <formula>AND($AK85&gt;0,$W85&gt;89)</formula>
    </cfRule>
    <cfRule type="expression" dxfId="33" priority="34">
      <formula>AND($AK85&gt;0,$W85&gt;59)</formula>
    </cfRule>
    <cfRule type="expression" dxfId="32" priority="35">
      <formula>AND($AK85&gt;0,$W85&gt;44)</formula>
    </cfRule>
  </conditionalFormatting>
  <conditionalFormatting sqref="B96:B129">
    <cfRule type="expression" dxfId="31" priority="30">
      <formula>AND($AK96&gt;0,$W96&gt;89)</formula>
    </cfRule>
    <cfRule type="expression" dxfId="30" priority="31">
      <formula>AND($AK96&gt;0,$W96&gt;59)</formula>
    </cfRule>
    <cfRule type="expression" dxfId="29" priority="32">
      <formula>AND($AK96&gt;0,$W96&gt;44)</formula>
    </cfRule>
  </conditionalFormatting>
  <conditionalFormatting sqref="B78">
    <cfRule type="expression" dxfId="28" priority="27">
      <formula>AND($AK78&gt;0,$W78&gt;89)</formula>
    </cfRule>
    <cfRule type="expression" dxfId="27" priority="28">
      <formula>AND($AK78&gt;0,$W78&gt;59)</formula>
    </cfRule>
    <cfRule type="expression" dxfId="26" priority="29">
      <formula>AND($AK78&gt;0,$W78&gt;44)</formula>
    </cfRule>
  </conditionalFormatting>
  <conditionalFormatting sqref="B79:B84">
    <cfRule type="expression" dxfId="25" priority="24">
      <formula>AND($AK79&gt;0,$W79&gt;89)</formula>
    </cfRule>
    <cfRule type="expression" dxfId="24" priority="25">
      <formula>AND($AK79&gt;0,$W79&gt;59)</formula>
    </cfRule>
    <cfRule type="expression" dxfId="23" priority="26">
      <formula>AND($AK79&gt;0,$W79&gt;44)</formula>
    </cfRule>
  </conditionalFormatting>
  <conditionalFormatting sqref="G4:G8">
    <cfRule type="expression" dxfId="22" priority="21">
      <formula>AND($AK4&gt;0,$W4&gt;89)</formula>
    </cfRule>
    <cfRule type="expression" dxfId="21" priority="22">
      <formula>AND($AK4&gt;0,$W4&gt;59)</formula>
    </cfRule>
    <cfRule type="expression" dxfId="20" priority="23">
      <formula>AND($AK4&gt;0,$W4&gt;44)</formula>
    </cfRule>
  </conditionalFormatting>
  <conditionalFormatting sqref="B219">
    <cfRule type="expression" dxfId="19" priority="19">
      <formula>AND(#REF!&gt;0,$H219&gt;89)</formula>
    </cfRule>
    <cfRule type="expression" dxfId="18" priority="20">
      <formula>AND(#REF!&gt;0,$H219&gt;59)</formula>
    </cfRule>
  </conditionalFormatting>
  <conditionalFormatting sqref="C219">
    <cfRule type="expression" dxfId="17" priority="17">
      <formula>AND(#REF!&gt;0,$H219&gt;89)</formula>
    </cfRule>
    <cfRule type="expression" dxfId="16" priority="18">
      <formula>AND(#REF!&gt;0,$H219&gt;59)</formula>
    </cfRule>
  </conditionalFormatting>
  <conditionalFormatting sqref="D4:E5 E6:E77">
    <cfRule type="expression" dxfId="15" priority="15">
      <formula>AND(#REF!&gt;0,#REF!&gt;89)</formula>
    </cfRule>
    <cfRule type="expression" dxfId="14" priority="16">
      <formula>AND(#REF!&gt;0,#REF!&gt;59)</formula>
    </cfRule>
  </conditionalFormatting>
  <conditionalFormatting sqref="D6">
    <cfRule type="expression" dxfId="13" priority="11">
      <formula>AND(#REF!&gt;0,#REF!&gt;89)</formula>
    </cfRule>
    <cfRule type="expression" dxfId="12" priority="12">
      <formula>AND(#REF!&gt;0,#REF!&gt;59)</formula>
    </cfRule>
  </conditionalFormatting>
  <conditionalFormatting sqref="D7:D27">
    <cfRule type="expression" dxfId="11" priority="13">
      <formula>AND(#REF!&gt;0,#REF!&gt;89)</formula>
    </cfRule>
    <cfRule type="expression" dxfId="10" priority="14">
      <formula>AND(#REF!&gt;0,#REF!&gt;59)</formula>
    </cfRule>
  </conditionalFormatting>
  <conditionalFormatting sqref="D41:D77">
    <cfRule type="expression" dxfId="9" priority="7">
      <formula>AND(#REF!&gt;0,#REF!&gt;89)</formula>
    </cfRule>
    <cfRule type="expression" dxfId="8" priority="8">
      <formula>AND(#REF!&gt;0,#REF!&gt;59)</formula>
    </cfRule>
  </conditionalFormatting>
  <conditionalFormatting sqref="D28:D40">
    <cfRule type="expression" dxfId="7" priority="9">
      <formula>AND(#REF!&gt;0,#REF!&gt;89)</formula>
    </cfRule>
    <cfRule type="expression" dxfId="6" priority="10">
      <formula>AND(#REF!&gt;0,#REF!&gt;59)</formula>
    </cfRule>
  </conditionalFormatting>
  <conditionalFormatting sqref="B4:B32">
    <cfRule type="expression" dxfId="5" priority="4">
      <formula>AND($AK4&gt;0,$W4&gt;89)</formula>
    </cfRule>
    <cfRule type="expression" dxfId="4" priority="5">
      <formula>AND($AK4&gt;0,$W4&gt;59)</formula>
    </cfRule>
    <cfRule type="expression" dxfId="3" priority="6">
      <formula>AND($AK4&gt;0,$W4&gt;44)</formula>
    </cfRule>
  </conditionalFormatting>
  <conditionalFormatting sqref="B33:B77">
    <cfRule type="expression" dxfId="2" priority="1">
      <formula>AND($AK33&gt;0,$W33&gt;89)</formula>
    </cfRule>
    <cfRule type="expression" dxfId="1" priority="2">
      <formula>AND($AK33&gt;0,$W33&gt;59)</formula>
    </cfRule>
    <cfRule type="expression" dxfId="0" priority="3">
      <formula>AND($AK33&gt;0,$W33&gt;44)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Penyelesai OD &amp; TF </vt:lpstr>
      <vt:lpstr>Kalender</vt:lpstr>
      <vt:lpstr>Simulasi 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admtc6</dc:creator>
  <cp:lastModifiedBy>admtc6</cp:lastModifiedBy>
  <dcterms:created xsi:type="dcterms:W3CDTF">2026-02-21T03:26:28Z</dcterms:created>
  <dcterms:modified xsi:type="dcterms:W3CDTF">2026-03-06T07:46:14Z</dcterms:modified>
</cp:coreProperties>
</file>