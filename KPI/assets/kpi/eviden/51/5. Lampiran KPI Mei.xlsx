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500"/>
  </bookViews>
  <sheets>
    <sheet name="Penyelesai OD &amp; TF " sheetId="1" r:id="rId1"/>
    <sheet name="Kalender Mei " sheetId="12" r:id="rId2"/>
    <sheet name="Simulasi " sheetId="13" r:id="rId3"/>
    <sheet name="Sheet3" sheetId="3" r:id="rId4"/>
  </sheets>
  <externalReferences>
    <externalReference r:id="rId5"/>
  </externalReferences>
  <definedNames>
    <definedName name="_xlnm._FilterDatabase" localSheetId="1" hidden="1">'Kalender Mei '!$A$6:$BD$235</definedName>
    <definedName name="tb_tagpdbg">[1]TAGPD!$AQ$8:$AQ$30000</definedName>
    <definedName name="tb_tagpdfaktur">[1]TAGPD!$E$8:$E$30000</definedName>
    <definedName name="tb_tagpdkucash">[1]TAGPD!$AV$8:$AV$30000</definedName>
    <definedName name="tb_tagpdrpb">[1]TAGPD!$AP$8:$AP$30000</definedName>
    <definedName name="tb_tbbnt">#REF!</definedName>
    <definedName name="tballnk">[1]All!$E$12:$E$996</definedName>
    <definedName name="tballp">[1]All!$L$12:$L$996</definedName>
    <definedName name="tballsa">[1]All!$I$12:$I$996</definedName>
    <definedName name="tballsod">[1]All!$M$12:$M$996</definedName>
  </definedNames>
  <calcPr calcId="145621"/>
</workbook>
</file>

<file path=xl/calcChain.xml><?xml version="1.0" encoding="utf-8"?>
<calcChain xmlns="http://schemas.openxmlformats.org/spreadsheetml/2006/main">
  <c r="D8" i="1" l="1"/>
  <c r="I9" i="1"/>
  <c r="B9" i="1"/>
  <c r="K9" i="1" s="1"/>
  <c r="F9" i="1" l="1"/>
  <c r="D9" i="1" s="1"/>
  <c r="G86" i="13"/>
  <c r="G85" i="13"/>
  <c r="G78" i="13"/>
  <c r="F78" i="13"/>
  <c r="E78" i="13"/>
  <c r="H77" i="13"/>
  <c r="I77" i="13" s="1"/>
  <c r="I76" i="13"/>
  <c r="H76" i="13"/>
  <c r="J76" i="13" s="1"/>
  <c r="H75" i="13"/>
  <c r="I74" i="13"/>
  <c r="J74" i="13" s="1"/>
  <c r="H74" i="13"/>
  <c r="H73" i="13"/>
  <c r="I73" i="13" s="1"/>
  <c r="I72" i="13"/>
  <c r="H72" i="13"/>
  <c r="J72" i="13" s="1"/>
  <c r="H71" i="13"/>
  <c r="I70" i="13"/>
  <c r="H70" i="13"/>
  <c r="J70" i="13" s="1"/>
  <c r="H69" i="13"/>
  <c r="I69" i="13" s="1"/>
  <c r="I68" i="13"/>
  <c r="H68" i="13"/>
  <c r="J68" i="13" s="1"/>
  <c r="H67" i="13"/>
  <c r="I66" i="13"/>
  <c r="H66" i="13"/>
  <c r="J66" i="13" s="1"/>
  <c r="H65" i="13"/>
  <c r="I65" i="13" s="1"/>
  <c r="I64" i="13"/>
  <c r="J64" i="13" s="1"/>
  <c r="H64" i="13"/>
  <c r="H63" i="13"/>
  <c r="I62" i="13"/>
  <c r="H62" i="13"/>
  <c r="J62" i="13" s="1"/>
  <c r="H61" i="13"/>
  <c r="I61" i="13" s="1"/>
  <c r="I60" i="13"/>
  <c r="J60" i="13" s="1"/>
  <c r="H60" i="13"/>
  <c r="H59" i="13"/>
  <c r="I58" i="13"/>
  <c r="H58" i="13"/>
  <c r="J58" i="13" s="1"/>
  <c r="H57" i="13"/>
  <c r="I57" i="13" s="1"/>
  <c r="I56" i="13"/>
  <c r="J56" i="13" s="1"/>
  <c r="H56" i="13"/>
  <c r="H55" i="13"/>
  <c r="I54" i="13"/>
  <c r="H54" i="13"/>
  <c r="J54" i="13" s="1"/>
  <c r="H53" i="13"/>
  <c r="I53" i="13" s="1"/>
  <c r="I52" i="13"/>
  <c r="J52" i="13" s="1"/>
  <c r="H52" i="13"/>
  <c r="H51" i="13"/>
  <c r="I50" i="13"/>
  <c r="H50" i="13"/>
  <c r="J50" i="13" s="1"/>
  <c r="H49" i="13"/>
  <c r="I49" i="13" s="1"/>
  <c r="I48" i="13"/>
  <c r="H48" i="13"/>
  <c r="J48" i="13" s="1"/>
  <c r="H47" i="13"/>
  <c r="I46" i="13"/>
  <c r="H46" i="13"/>
  <c r="J46" i="13" s="1"/>
  <c r="H45" i="13"/>
  <c r="I45" i="13" s="1"/>
  <c r="I44" i="13"/>
  <c r="H44" i="13"/>
  <c r="J44" i="13" s="1"/>
  <c r="H43" i="13"/>
  <c r="I42" i="13"/>
  <c r="H42" i="13"/>
  <c r="J42" i="13" s="1"/>
  <c r="H41" i="13"/>
  <c r="I41" i="13" s="1"/>
  <c r="I40" i="13"/>
  <c r="H40" i="13"/>
  <c r="J40" i="13" s="1"/>
  <c r="H39" i="13"/>
  <c r="I38" i="13"/>
  <c r="H38" i="13"/>
  <c r="J38" i="13" s="1"/>
  <c r="H37" i="13"/>
  <c r="I37" i="13" s="1"/>
  <c r="I36" i="13"/>
  <c r="H36" i="13"/>
  <c r="J36" i="13" s="1"/>
  <c r="H35" i="13"/>
  <c r="I34" i="13"/>
  <c r="H34" i="13"/>
  <c r="J34" i="13" s="1"/>
  <c r="H33" i="13"/>
  <c r="I33" i="13" s="1"/>
  <c r="I32" i="13"/>
  <c r="H32" i="13"/>
  <c r="J32" i="13" s="1"/>
  <c r="H31" i="13"/>
  <c r="I30" i="13"/>
  <c r="H30" i="13"/>
  <c r="J30" i="13" s="1"/>
  <c r="H29" i="13"/>
  <c r="I29" i="13" s="1"/>
  <c r="I28" i="13"/>
  <c r="H28" i="13"/>
  <c r="J28" i="13" s="1"/>
  <c r="J27" i="13"/>
  <c r="H27" i="13"/>
  <c r="H26" i="13"/>
  <c r="I26" i="13" s="1"/>
  <c r="I25" i="13"/>
  <c r="H25" i="13"/>
  <c r="J25" i="13" s="1"/>
  <c r="H24" i="13"/>
  <c r="I23" i="13"/>
  <c r="H23" i="13"/>
  <c r="J23" i="13" s="1"/>
  <c r="H22" i="13"/>
  <c r="I22" i="13" s="1"/>
  <c r="I21" i="13"/>
  <c r="H21" i="13"/>
  <c r="J21" i="13" s="1"/>
  <c r="H20" i="13"/>
  <c r="I19" i="13"/>
  <c r="H19" i="13"/>
  <c r="J19" i="13" s="1"/>
  <c r="H18" i="13"/>
  <c r="I18" i="13" s="1"/>
  <c r="I17" i="13"/>
  <c r="H17" i="13"/>
  <c r="J17" i="13" s="1"/>
  <c r="H16" i="13"/>
  <c r="I15" i="13"/>
  <c r="H15" i="13"/>
  <c r="J15" i="13" s="1"/>
  <c r="H14" i="13"/>
  <c r="I14" i="13" s="1"/>
  <c r="I13" i="13"/>
  <c r="H13" i="13"/>
  <c r="J13" i="13" s="1"/>
  <c r="J12" i="13"/>
  <c r="H12" i="13"/>
  <c r="H11" i="13"/>
  <c r="I11" i="13" s="1"/>
  <c r="H10" i="13"/>
  <c r="J10" i="13" s="1"/>
  <c r="I9" i="13"/>
  <c r="H9" i="13"/>
  <c r="J9" i="13" s="1"/>
  <c r="H8" i="13"/>
  <c r="I8" i="13" s="1"/>
  <c r="I7" i="13"/>
  <c r="J7" i="13" s="1"/>
  <c r="H7" i="13"/>
  <c r="J6" i="13"/>
  <c r="H6" i="13"/>
  <c r="H5" i="13"/>
  <c r="I4" i="13"/>
  <c r="H4" i="13"/>
  <c r="J4" i="13" s="1"/>
  <c r="J20" i="13" l="1"/>
  <c r="J31" i="13"/>
  <c r="J47" i="13"/>
  <c r="J63" i="13"/>
  <c r="J8" i="13"/>
  <c r="J11" i="13"/>
  <c r="J14" i="13"/>
  <c r="J18" i="13"/>
  <c r="J22" i="13"/>
  <c r="J26" i="13"/>
  <c r="J29" i="13"/>
  <c r="J33" i="13"/>
  <c r="J37" i="13"/>
  <c r="J41" i="13"/>
  <c r="J45" i="13"/>
  <c r="J49" i="13"/>
  <c r="J53" i="13"/>
  <c r="J57" i="13"/>
  <c r="J61" i="13"/>
  <c r="J65" i="13"/>
  <c r="J69" i="13"/>
  <c r="J73" i="13"/>
  <c r="J77" i="13"/>
  <c r="H78" i="13"/>
  <c r="I16" i="13"/>
  <c r="J16" i="13" s="1"/>
  <c r="I20" i="13"/>
  <c r="I24" i="13"/>
  <c r="J24" i="13" s="1"/>
  <c r="I31" i="13"/>
  <c r="I35" i="13"/>
  <c r="J35" i="13" s="1"/>
  <c r="I39" i="13"/>
  <c r="J39" i="13" s="1"/>
  <c r="I43" i="13"/>
  <c r="J43" i="13" s="1"/>
  <c r="I47" i="13"/>
  <c r="I51" i="13"/>
  <c r="J51" i="13" s="1"/>
  <c r="I55" i="13"/>
  <c r="J55" i="13" s="1"/>
  <c r="I59" i="13"/>
  <c r="J59" i="13" s="1"/>
  <c r="I63" i="13"/>
  <c r="I67" i="13"/>
  <c r="J67" i="13" s="1"/>
  <c r="I71" i="13"/>
  <c r="J71" i="13" s="1"/>
  <c r="I75" i="13"/>
  <c r="J75" i="13" s="1"/>
  <c r="I5" i="13"/>
  <c r="J5" i="13" s="1"/>
  <c r="J78" i="13" l="1"/>
  <c r="I78" i="13"/>
  <c r="F81" i="13" l="1"/>
  <c r="G81" i="13" s="1"/>
  <c r="G82" i="13" s="1"/>
  <c r="J81" i="13"/>
  <c r="AH235" i="12" l="1"/>
  <c r="AG235" i="12"/>
  <c r="AF235" i="12"/>
  <c r="AE235" i="12"/>
  <c r="AD235" i="12"/>
  <c r="AC235" i="12"/>
  <c r="AB235" i="12"/>
  <c r="AA235" i="12"/>
  <c r="Z235" i="12"/>
  <c r="Y235" i="12"/>
  <c r="X235" i="12"/>
  <c r="W235" i="12"/>
  <c r="V235" i="12"/>
  <c r="U235" i="12"/>
  <c r="T235" i="12"/>
  <c r="S235" i="12"/>
  <c r="R235" i="12"/>
  <c r="Q235" i="12"/>
  <c r="P235" i="12"/>
  <c r="O235" i="12"/>
  <c r="N235" i="12"/>
  <c r="M235" i="12"/>
  <c r="L235" i="12"/>
  <c r="K235" i="12"/>
  <c r="J235" i="12"/>
  <c r="I235" i="12"/>
  <c r="H235" i="12"/>
  <c r="G235" i="12"/>
  <c r="F235" i="12"/>
  <c r="E235" i="12"/>
  <c r="D235" i="12"/>
  <c r="AH139" i="12"/>
  <c r="AG139" i="12"/>
  <c r="AF139" i="12"/>
  <c r="AE139" i="12"/>
  <c r="AD139" i="12"/>
  <c r="AC139" i="12"/>
  <c r="AB139" i="12"/>
  <c r="AA139" i="12"/>
  <c r="Z139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AK20" i="12"/>
  <c r="AJ20" i="12"/>
  <c r="AI20" i="12"/>
  <c r="AK8" i="12"/>
  <c r="AJ8" i="12"/>
  <c r="AJ11" i="12" s="1"/>
  <c r="AI12" i="12" s="1"/>
  <c r="AI8" i="12"/>
  <c r="AI11" i="12" s="1"/>
  <c r="G42" i="1" l="1"/>
  <c r="F42" i="1"/>
  <c r="E42" i="1"/>
  <c r="D42" i="1"/>
  <c r="C42" i="1"/>
  <c r="F20" i="1"/>
  <c r="G38" i="1" l="1"/>
  <c r="F38" i="1"/>
  <c r="E38" i="1"/>
  <c r="D38" i="1"/>
  <c r="C38" i="1"/>
  <c r="G37" i="1"/>
  <c r="F37" i="1"/>
  <c r="E37" i="1"/>
  <c r="D37" i="1"/>
  <c r="C37" i="1"/>
  <c r="F19" i="1"/>
  <c r="F34" i="1" l="1"/>
  <c r="E34" i="1"/>
  <c r="D34" i="1"/>
  <c r="C34" i="1"/>
  <c r="F33" i="1"/>
  <c r="E33" i="1"/>
  <c r="D33" i="1"/>
  <c r="C33" i="1"/>
  <c r="G32" i="1"/>
  <c r="G33" i="1" s="1"/>
  <c r="F18" i="1"/>
  <c r="B7" i="1"/>
  <c r="I7" i="1" s="1"/>
  <c r="G34" i="1" l="1"/>
  <c r="K7" i="1"/>
  <c r="F7" i="1"/>
  <c r="G30" i="1" l="1"/>
  <c r="F30" i="1"/>
  <c r="E30" i="1"/>
  <c r="D30" i="1"/>
  <c r="C30" i="1"/>
  <c r="G29" i="1"/>
  <c r="F29" i="1"/>
  <c r="E29" i="1"/>
  <c r="D29" i="1"/>
  <c r="C29" i="1"/>
  <c r="F17" i="1"/>
  <c r="B6" i="1"/>
  <c r="I6" i="1" s="1"/>
  <c r="K6" i="1" l="1"/>
  <c r="F6" i="1"/>
  <c r="G26" i="1" l="1"/>
  <c r="F26" i="1"/>
  <c r="E26" i="1"/>
  <c r="D26" i="1"/>
  <c r="C26" i="1"/>
  <c r="F25" i="1"/>
  <c r="E25" i="1"/>
  <c r="D25" i="1"/>
  <c r="F16" i="1"/>
  <c r="E16" i="1"/>
  <c r="E17" i="1" s="1"/>
  <c r="E18" i="1" s="1"/>
  <c r="E19" i="1" s="1"/>
  <c r="E20" i="1" s="1"/>
  <c r="D16" i="1"/>
  <c r="D17" i="1" s="1"/>
  <c r="B5" i="1"/>
  <c r="I5" i="1" s="1"/>
  <c r="C17" i="1" l="1"/>
  <c r="D18" i="1"/>
  <c r="C16" i="1"/>
  <c r="K5" i="1"/>
  <c r="F5" i="1"/>
  <c r="C18" i="1" l="1"/>
  <c r="D19" i="1"/>
  <c r="D5" i="1"/>
  <c r="D6" i="1"/>
  <c r="D7" i="1"/>
  <c r="C19" i="1" l="1"/>
  <c r="D20" i="1"/>
  <c r="C20" i="1" s="1"/>
</calcChain>
</file>

<file path=xl/sharedStrings.xml><?xml version="1.0" encoding="utf-8"?>
<sst xmlns="http://schemas.openxmlformats.org/spreadsheetml/2006/main" count="1026" uniqueCount="199">
  <si>
    <t>TC : TIYA</t>
  </si>
  <si>
    <t>Jml Kali</t>
  </si>
  <si>
    <t>%</t>
  </si>
  <si>
    <t>Reminder Intensif</t>
  </si>
  <si>
    <t>Jml Kios</t>
  </si>
  <si>
    <t>Penyelesaian OD 90</t>
  </si>
  <si>
    <t>BULAN</t>
  </si>
  <si>
    <t>TOTAL PD</t>
  </si>
  <si>
    <t>Target</t>
  </si>
  <si>
    <t>Rata2 OD &lt; 30</t>
  </si>
  <si>
    <t>OD &lt; 30</t>
  </si>
  <si>
    <t>OD 30</t>
  </si>
  <si>
    <t>OD 60</t>
  </si>
  <si>
    <t>30 &amp; 60</t>
  </si>
  <si>
    <t>OD 90</t>
  </si>
  <si>
    <t>Open Plafon OD/Over</t>
  </si>
  <si>
    <t>Target Collection OD 30 &gt; (80%)</t>
  </si>
  <si>
    <t>Kios OD 30 &gt;</t>
  </si>
  <si>
    <t>Tarik OD 60,90 &gt; ke 60&lt;</t>
  </si>
  <si>
    <t>Tambahan Kios OD 60, 90</t>
  </si>
  <si>
    <t>Saldo</t>
  </si>
  <si>
    <t>Selesai</t>
  </si>
  <si>
    <t>Tambahan OD 90</t>
  </si>
  <si>
    <t>JAN</t>
  </si>
  <si>
    <t>TC : Tiya</t>
  </si>
  <si>
    <t>Value Transfer BG</t>
  </si>
  <si>
    <t>Tambahan</t>
  </si>
  <si>
    <t>% Tunai</t>
  </si>
  <si>
    <t>YTD</t>
  </si>
  <si>
    <t>MTD</t>
  </si>
  <si>
    <t>PER BULAN</t>
  </si>
  <si>
    <t>Kios Tunai</t>
  </si>
  <si>
    <t>Kios TF Tagih Tunai</t>
  </si>
  <si>
    <t>BG+KU</t>
  </si>
  <si>
    <t>Tunai</t>
  </si>
  <si>
    <t>Per Bulan</t>
  </si>
  <si>
    <t>11 M</t>
  </si>
  <si>
    <t>1M</t>
  </si>
  <si>
    <t>FEB</t>
  </si>
  <si>
    <t>Bulan</t>
  </si>
  <si>
    <t>Klasifikasi</t>
  </si>
  <si>
    <t>Farida</t>
  </si>
  <si>
    <t>Hendra</t>
  </si>
  <si>
    <t>Natasya</t>
  </si>
  <si>
    <t>Safira</t>
  </si>
  <si>
    <t>Tiya</t>
  </si>
  <si>
    <t>Total Kios</t>
  </si>
  <si>
    <t>Kios Aman</t>
  </si>
  <si>
    <t>KALENDER PENAGIHAN TEAM COLLECTION</t>
  </si>
  <si>
    <t xml:space="preserve"> </t>
  </si>
  <si>
    <t>Nama TC</t>
  </si>
  <si>
    <t>:</t>
  </si>
  <si>
    <t>Wilayah</t>
  </si>
  <si>
    <t xml:space="preserve">Jember, Agronomis </t>
  </si>
  <si>
    <t>Posisi Over Due</t>
  </si>
  <si>
    <t>30 &gt;</t>
  </si>
  <si>
    <t>No</t>
  </si>
  <si>
    <t>Nama Kios</t>
  </si>
  <si>
    <t>T</t>
  </si>
  <si>
    <t>B</t>
  </si>
  <si>
    <t>TB</t>
  </si>
  <si>
    <t>Agro Suci/Bety</t>
  </si>
  <si>
    <t>Agus/Nufarm</t>
  </si>
  <si>
    <t>Al Badar/Badar, H</t>
  </si>
  <si>
    <t>Anggoro Makmur/Yayuk</t>
  </si>
  <si>
    <t>Aris/Tanindo</t>
  </si>
  <si>
    <t>Berkah Kayra/Nuyun</t>
  </si>
  <si>
    <t>Berkah Tani/Intan Sri</t>
  </si>
  <si>
    <t>Bima Tani Jaya/Kevin Pratama</t>
  </si>
  <si>
    <t>Bina Mandiri, UD/Nurul</t>
  </si>
  <si>
    <t>Bumi Jaya, UD/Farida</t>
  </si>
  <si>
    <t>Cahaya Tani/Rudi</t>
  </si>
  <si>
    <t>Damar Batur Nusantara</t>
  </si>
  <si>
    <t>Enggal Makmur/Dwi</t>
  </si>
  <si>
    <t>Era Tani/Abdul Wakik</t>
  </si>
  <si>
    <t>Griya Tani/Sri</t>
  </si>
  <si>
    <t>Hasil Usaha, UD</t>
  </si>
  <si>
    <t>Ira Tani/Dani, H</t>
  </si>
  <si>
    <t>Lancar Barokah Tani/Abd Rosit</t>
  </si>
  <si>
    <t>Luhur Tani/M. Itqon</t>
  </si>
  <si>
    <t>Maju Tani/Dedi Kurniawan</t>
  </si>
  <si>
    <t>Merdeka Tani/Sugiono</t>
  </si>
  <si>
    <t>Mubarok, Toko</t>
  </si>
  <si>
    <t>Puji Barokah Tani</t>
  </si>
  <si>
    <t>Putra Tani/Muzaiyin</t>
  </si>
  <si>
    <t>Rindi Tani</t>
  </si>
  <si>
    <t>Riski Tani/Hadi</t>
  </si>
  <si>
    <t>Rizki, UD/Kusnyoto</t>
  </si>
  <si>
    <t>Sekumpul Tani/Nofal</t>
  </si>
  <si>
    <t>Serba Hasil/Ansori</t>
  </si>
  <si>
    <t>Sugeng Makmur, Toko</t>
  </si>
  <si>
    <t>Sumber Tani 2, UD</t>
  </si>
  <si>
    <t>Sumber Tani/Eko Wardono</t>
  </si>
  <si>
    <t>Tani Jaya/Mul</t>
  </si>
  <si>
    <t>Tani Joss</t>
  </si>
  <si>
    <t>Tani Subur/Saiful</t>
  </si>
  <si>
    <t>Wira Tani, UD</t>
  </si>
  <si>
    <t>TOTAL</t>
  </si>
  <si>
    <t>Tagih Langsung Bayar</t>
  </si>
  <si>
    <t>Tagih</t>
  </si>
  <si>
    <t>Bayar</t>
  </si>
  <si>
    <t>&lt; 30</t>
  </si>
  <si>
    <t>Albab Tani/Erwin</t>
  </si>
  <si>
    <t>Bang Jali/Achmad Gozali</t>
  </si>
  <si>
    <t>Bintang Sejahtera</t>
  </si>
  <si>
    <t>Intani, UD/Yayak</t>
  </si>
  <si>
    <t>Permata, UD/Badar</t>
  </si>
  <si>
    <t>Tani Mulyo, UD/Bastian</t>
  </si>
  <si>
    <t>Tretan Tani/Anam</t>
  </si>
  <si>
    <t>Wijaya/Retty</t>
  </si>
  <si>
    <t>Total Tagihan</t>
  </si>
  <si>
    <t>SC</t>
  </si>
  <si>
    <t>Dodik/Asiana</t>
  </si>
  <si>
    <t>Bejo Langgeng, Toko</t>
  </si>
  <si>
    <t>OD30,60,90</t>
  </si>
  <si>
    <t xml:space="preserve">T </t>
  </si>
  <si>
    <t>Afan/JAI</t>
  </si>
  <si>
    <t>Cipta Tani/Mohammad Rohim</t>
  </si>
  <si>
    <t>Rahma Tani, CV</t>
  </si>
  <si>
    <t>Sumber Tani/Farid</t>
  </si>
  <si>
    <t>Suwadi BCA</t>
  </si>
  <si>
    <t>Varia Agro Mandiri, CV</t>
  </si>
  <si>
    <t>Sularmanto MKD</t>
  </si>
  <si>
    <t>Sekar Tani/Matori</t>
  </si>
  <si>
    <t>Tani Makmur 2</t>
  </si>
  <si>
    <t>Joyo Tani/Wiwik</t>
  </si>
  <si>
    <t>Sadar Sari/Farid Firdaus</t>
  </si>
  <si>
    <t>Sumber Eka Tani/Alief</t>
  </si>
  <si>
    <t>Restu Tani/Didik</t>
  </si>
  <si>
    <t>Sigit/Bayer</t>
  </si>
  <si>
    <t>Sahabat Tani/Abdul Rohman</t>
  </si>
  <si>
    <t>MAR</t>
  </si>
  <si>
    <t>Slamet/Cin Ing</t>
  </si>
  <si>
    <t>Kharisma/Nanang</t>
  </si>
  <si>
    <t>Bintang Mulia Tani/Yuda</t>
  </si>
  <si>
    <t>Tunas Agri Kencana, CV</t>
  </si>
  <si>
    <t>Mulyadi/Kenso</t>
  </si>
  <si>
    <t>Raska, UD</t>
  </si>
  <si>
    <t>Bursa Tani/Brian</t>
  </si>
  <si>
    <t>Erfan SK</t>
  </si>
  <si>
    <t>Eko Prayitno/MIA</t>
  </si>
  <si>
    <t>Hasil Tani/Agus Widandik</t>
  </si>
  <si>
    <t>Bumi Tani 2/Hafid</t>
  </si>
  <si>
    <t>Hasil Tani/Marmi</t>
  </si>
  <si>
    <t>Gemilang, Toko</t>
  </si>
  <si>
    <t>Margo Rahayu/Latief</t>
  </si>
  <si>
    <t>Sumber Makmur/Agus Winoto</t>
  </si>
  <si>
    <t>APR</t>
  </si>
  <si>
    <t>Abdi Rahmat Tani/Lidya</t>
  </si>
  <si>
    <t>Eka Jaya/Eko</t>
  </si>
  <si>
    <t>Mahkota/Cik Cuan</t>
  </si>
  <si>
    <t>Moga Berkah/Robid</t>
  </si>
  <si>
    <t>Rudi Sari kresna/Iklar Viola Clasic</t>
  </si>
  <si>
    <t>Sederhana, UD</t>
  </si>
  <si>
    <t>Tempurejo, PT</t>
  </si>
  <si>
    <t>Fortuna Tani/Heru</t>
  </si>
  <si>
    <t>Tutut/Syngenta</t>
  </si>
  <si>
    <t>Azis/Syngenta</t>
  </si>
  <si>
    <t>Wicak/Syngenta</t>
  </si>
  <si>
    <t>Mandiri Tani Sejahtera/Yanda</t>
  </si>
  <si>
    <t>Ahmad Arief/Syn</t>
  </si>
  <si>
    <t>Fajar Prasetya/Syngenta</t>
  </si>
  <si>
    <t>Media/Syngenta</t>
  </si>
  <si>
    <t>Aminah Jaya Tani/Slamet</t>
  </si>
  <si>
    <t>MEI</t>
  </si>
  <si>
    <t>BULAN MEI 2026</t>
  </si>
  <si>
    <t xml:space="preserve">B </t>
  </si>
  <si>
    <t>Alam Makmur, UD</t>
  </si>
  <si>
    <t>Fino, Tani/Abd Halim</t>
  </si>
  <si>
    <t>Haudinata TS</t>
  </si>
  <si>
    <t>Maha Tani/Jasuli</t>
  </si>
  <si>
    <t>Nugroho Idi Sasetyo</t>
  </si>
  <si>
    <t>Sai Lendra/Yudik Santoso</t>
  </si>
  <si>
    <t>Semar/Wasto</t>
  </si>
  <si>
    <t>Sumber Maju/Agus</t>
  </si>
  <si>
    <t>Sumberan Makmur</t>
  </si>
  <si>
    <t>Usaha Tani/Maria (Rofiqi Asiana)</t>
  </si>
  <si>
    <t>TC</t>
  </si>
  <si>
    <t xml:space="preserve">Nama Kios </t>
  </si>
  <si>
    <t>Sum of Value 90</t>
  </si>
  <si>
    <t>Sum of Value 60</t>
  </si>
  <si>
    <t>Sum of Value 30</t>
  </si>
  <si>
    <t>Total OD 30 atas</t>
  </si>
  <si>
    <t xml:space="preserve">Pembayaran </t>
  </si>
  <si>
    <t xml:space="preserve">Sisa OD </t>
  </si>
  <si>
    <t>Yuyun</t>
  </si>
  <si>
    <t>Jawa Agrindo Internasional, PT</t>
  </si>
  <si>
    <t>Fajar Tani Makmur, CV</t>
  </si>
  <si>
    <t>Mitra Indotani Abadi, PT</t>
  </si>
  <si>
    <t>Lamin/Kalatham</t>
  </si>
  <si>
    <t>Yono/JAI</t>
  </si>
  <si>
    <t>Andika Makmur</t>
  </si>
  <si>
    <t>Muhammad Agus Riyanto/Excel</t>
  </si>
  <si>
    <t>Maju Makmur/Jupri</t>
  </si>
  <si>
    <t>Agus Slamet Rohadi</t>
  </si>
  <si>
    <t>Sumber Pangan/Andre</t>
  </si>
  <si>
    <t xml:space="preserve">Total </t>
  </si>
  <si>
    <t xml:space="preserve">akhir Juni </t>
  </si>
  <si>
    <t xml:space="preserve">Tot. piutang Mei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</si>
</sst>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_-;_-@_-"/>
    <numFmt numFmtId="166" formatCode="_-* #,##0.00_-;\-* #,##0.00_-;_-* &quot;-&quot;??_-;_-@_-"/>
    <numFmt numFmtId="167" formatCode="[$-409]d\-mmm\-yy;@"/>
  </numFmts>
  <fonts count="7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Arial Unicode MS"/>
      <family val="2"/>
    </font>
    <font>
      <b/>
      <sz val="8"/>
      <color theme="1"/>
      <name val="Arial Unicode MS"/>
      <family val="2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7"/>
      <color theme="1"/>
      <name val="Arial Unicode MS"/>
      <family val="2"/>
    </font>
    <font>
      <sz val="9"/>
      <name val="Arial Unicode MS"/>
      <family val="2"/>
    </font>
    <font>
      <sz val="9"/>
      <color theme="0"/>
      <name val="Arial Unicode MS"/>
      <family val="2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Lao UI"/>
      <family val="2"/>
    </font>
    <font>
      <b/>
      <sz val="10"/>
      <color rgb="FF000099"/>
      <name val="Lao UI"/>
      <family val="2"/>
    </font>
    <font>
      <sz val="8"/>
      <color theme="1"/>
      <name val="Lao UI"/>
      <family val="2"/>
    </font>
    <font>
      <b/>
      <sz val="8"/>
      <color theme="1"/>
      <name val="Lao UI"/>
      <family val="2"/>
    </font>
    <font>
      <b/>
      <sz val="8"/>
      <name val="Lao UI"/>
      <family val="2"/>
    </font>
    <font>
      <sz val="8"/>
      <name val="Lao UI"/>
      <family val="2"/>
    </font>
    <font>
      <sz val="8.5"/>
      <name val="Arial"/>
      <family val="2"/>
    </font>
    <font>
      <sz val="8"/>
      <color theme="1"/>
      <name val="Lao UI"/>
    </font>
    <font>
      <sz val="11"/>
      <color indexed="8"/>
      <name val="Calibri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11"/>
      <name val="Calibri"/>
      <family val="2"/>
      <scheme val="minor"/>
    </font>
    <font>
      <b/>
      <sz val="8.5"/>
      <name val="Arial"/>
      <family val="2"/>
    </font>
    <font>
      <sz val="9"/>
      <name val="Arial"/>
      <family val="2"/>
    </font>
    <font>
      <sz val="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theme="1"/>
      <name val="Arial Narrow"/>
      <family val="2"/>
      <charset val="1"/>
    </font>
    <font>
      <sz val="12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rgb="FFFFFFFF"/>
      <name val="Arial Unicode MS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8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5B1F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3" tint="0.39997558519241921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0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5" fillId="0" borderId="0">
      <alignment horizontal="left" vertical="top"/>
    </xf>
    <xf numFmtId="41" fontId="23" fillId="0" borderId="0" applyFont="0" applyFill="0" applyBorder="0" applyAlignment="0" applyProtection="0"/>
    <xf numFmtId="165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165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2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29" fillId="0" borderId="0"/>
    <xf numFmtId="0" fontId="24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9" fillId="29" borderId="0"/>
    <xf numFmtId="0" fontId="29" fillId="29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33" fillId="29" borderId="0"/>
    <xf numFmtId="0" fontId="24" fillId="0" borderId="0"/>
    <xf numFmtId="167" fontId="1" fillId="0" borderId="0"/>
    <xf numFmtId="167" fontId="1" fillId="0" borderId="0"/>
    <xf numFmtId="167" fontId="1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center" vertical="top"/>
    </xf>
    <xf numFmtId="0" fontId="29" fillId="0" borderId="0">
      <alignment horizontal="center" vertical="top"/>
    </xf>
    <xf numFmtId="0" fontId="29" fillId="0" borderId="0">
      <alignment horizontal="left" vertical="top"/>
    </xf>
    <xf numFmtId="0" fontId="34" fillId="0" borderId="0">
      <alignment horizontal="left" vertical="top"/>
    </xf>
    <xf numFmtId="0" fontId="35" fillId="0" borderId="0">
      <alignment horizontal="left" vertical="top"/>
    </xf>
    <xf numFmtId="0" fontId="29" fillId="30" borderId="0">
      <alignment horizontal="center" vertical="top"/>
    </xf>
    <xf numFmtId="0" fontId="25" fillId="0" borderId="0">
      <alignment horizontal="left" vertical="top"/>
    </xf>
    <xf numFmtId="0" fontId="25" fillId="0" borderId="0">
      <alignment horizontal="left" vertical="top"/>
    </xf>
    <xf numFmtId="0" fontId="36" fillId="0" borderId="0">
      <alignment horizontal="righ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37" fillId="0" borderId="0">
      <alignment horizontal="left" vertical="top"/>
    </xf>
    <xf numFmtId="0" fontId="25" fillId="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center" vertical="top"/>
    </xf>
    <xf numFmtId="0" fontId="29" fillId="0" borderId="0">
      <alignment horizontal="center" vertical="top"/>
    </xf>
    <xf numFmtId="0" fontId="29" fillId="0" borderId="0">
      <alignment horizontal="left" vertical="top"/>
    </xf>
    <xf numFmtId="0" fontId="38" fillId="0" borderId="0">
      <alignment horizontal="left" vertical="top"/>
    </xf>
    <xf numFmtId="0" fontId="39" fillId="0" borderId="0">
      <alignment horizontal="left" vertical="top"/>
    </xf>
    <xf numFmtId="0" fontId="29" fillId="30" borderId="0">
      <alignment horizontal="center" vertical="top"/>
    </xf>
    <xf numFmtId="0" fontId="25" fillId="0" borderId="0">
      <alignment horizontal="left" vertical="top"/>
    </xf>
    <xf numFmtId="0" fontId="25" fillId="0" borderId="0">
      <alignment horizontal="left" vertical="top"/>
    </xf>
    <xf numFmtId="0" fontId="36" fillId="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40" fillId="0" borderId="0">
      <alignment horizontal="left" vertical="top"/>
    </xf>
    <xf numFmtId="0" fontId="41" fillId="0" borderId="0">
      <alignment horizontal="left" vertical="top"/>
    </xf>
    <xf numFmtId="0" fontId="38" fillId="0" borderId="0">
      <alignment horizontal="left" vertical="top"/>
    </xf>
    <xf numFmtId="0" fontId="42" fillId="0" borderId="0">
      <alignment horizontal="left" vertical="top"/>
    </xf>
    <xf numFmtId="0" fontId="43" fillId="0" borderId="0">
      <alignment horizontal="left" vertical="top"/>
    </xf>
    <xf numFmtId="0" fontId="29" fillId="30" borderId="0">
      <alignment horizontal="left" vertical="top"/>
    </xf>
    <xf numFmtId="0" fontId="44" fillId="0" borderId="0">
      <alignment horizontal="left" vertical="top"/>
    </xf>
    <xf numFmtId="0" fontId="45" fillId="0" borderId="0">
      <alignment horizontal="right" vertical="top"/>
    </xf>
    <xf numFmtId="0" fontId="46" fillId="0" borderId="0">
      <alignment horizontal="right" vertical="center"/>
    </xf>
    <xf numFmtId="0" fontId="25" fillId="0" borderId="0">
      <alignment horizontal="right" vertical="top"/>
    </xf>
    <xf numFmtId="0" fontId="25" fillId="0" borderId="0">
      <alignment horizontal="left" vertical="top"/>
    </xf>
    <xf numFmtId="167" fontId="43" fillId="0" borderId="0">
      <alignment horizontal="left" vertical="top"/>
    </xf>
    <xf numFmtId="0" fontId="42" fillId="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43" fillId="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right" vertical="top"/>
    </xf>
    <xf numFmtId="0" fontId="29" fillId="0" borderId="0">
      <alignment horizontal="left" vertical="top"/>
    </xf>
    <xf numFmtId="0" fontId="29" fillId="0" borderId="0">
      <alignment horizontal="right" vertical="top"/>
    </xf>
    <xf numFmtId="0" fontId="38" fillId="0" borderId="0">
      <alignment horizontal="right" vertical="top"/>
    </xf>
    <xf numFmtId="0" fontId="47" fillId="0" borderId="0">
      <alignment horizontal="left" vertical="top"/>
    </xf>
    <xf numFmtId="0" fontId="41" fillId="0" borderId="0">
      <alignment horizontal="left" vertical="top"/>
    </xf>
    <xf numFmtId="0" fontId="29" fillId="30" borderId="0">
      <alignment horizontal="left" vertical="top"/>
    </xf>
    <xf numFmtId="0" fontId="44" fillId="0" borderId="0">
      <alignment horizontal="left" vertical="top"/>
    </xf>
    <xf numFmtId="0" fontId="45" fillId="0" borderId="0">
      <alignment horizontal="left" vertical="top"/>
    </xf>
    <xf numFmtId="0" fontId="44" fillId="0" borderId="0">
      <alignment horizontal="right" vertical="top"/>
    </xf>
    <xf numFmtId="0" fontId="25" fillId="0" borderId="0">
      <alignment horizontal="left" vertical="top"/>
    </xf>
    <xf numFmtId="0" fontId="41" fillId="0" borderId="0">
      <alignment horizontal="left" vertical="top"/>
    </xf>
    <xf numFmtId="0" fontId="25" fillId="0" borderId="0">
      <alignment horizontal="right" vertical="top"/>
    </xf>
    <xf numFmtId="0" fontId="41" fillId="0" borderId="0">
      <alignment horizontal="right" vertical="top"/>
    </xf>
    <xf numFmtId="167" fontId="25" fillId="0" borderId="0">
      <alignment horizontal="right" vertical="top"/>
    </xf>
    <xf numFmtId="0" fontId="29" fillId="30" borderId="0">
      <alignment horizontal="left" vertical="top"/>
    </xf>
    <xf numFmtId="0" fontId="29" fillId="0" borderId="0">
      <alignment horizontal="left" vertical="top"/>
    </xf>
    <xf numFmtId="0" fontId="43" fillId="0" borderId="0">
      <alignment horizontal="left" vertical="top"/>
    </xf>
    <xf numFmtId="0" fontId="29" fillId="0" borderId="0">
      <alignment horizontal="right" vertical="top"/>
    </xf>
    <xf numFmtId="0" fontId="29" fillId="0" borderId="0">
      <alignment horizontal="left" vertical="top"/>
    </xf>
    <xf numFmtId="0" fontId="38" fillId="0" borderId="0">
      <alignment horizontal="left" vertical="top"/>
    </xf>
    <xf numFmtId="0" fontId="38" fillId="0" borderId="0">
      <alignment horizontal="right" vertical="top"/>
    </xf>
    <xf numFmtId="0" fontId="45" fillId="0" borderId="0">
      <alignment horizontal="right" vertical="top"/>
    </xf>
    <xf numFmtId="0" fontId="42" fillId="0" borderId="0">
      <alignment horizontal="left" vertical="top"/>
    </xf>
    <xf numFmtId="0" fontId="48" fillId="0" borderId="0">
      <alignment horizontal="right" vertical="top"/>
    </xf>
    <xf numFmtId="0" fontId="41" fillId="0" borderId="0">
      <alignment horizontal="right" vertical="top"/>
    </xf>
    <xf numFmtId="0" fontId="43" fillId="0" borderId="0">
      <alignment horizontal="left" vertical="top"/>
    </xf>
    <xf numFmtId="167" fontId="25" fillId="0" borderId="0">
      <alignment horizontal="right" vertical="top"/>
    </xf>
    <xf numFmtId="0" fontId="29" fillId="0" borderId="0">
      <alignment horizontal="left" vertical="top"/>
    </xf>
    <xf numFmtId="0" fontId="38" fillId="0" borderId="0">
      <alignment horizontal="left" vertical="top"/>
    </xf>
    <xf numFmtId="0" fontId="45" fillId="0" borderId="0">
      <alignment horizontal="left" vertical="top"/>
    </xf>
    <xf numFmtId="0" fontId="45" fillId="0" borderId="0">
      <alignment horizontal="right" vertical="top"/>
    </xf>
    <xf numFmtId="0" fontId="29" fillId="0" borderId="0">
      <alignment horizontal="right" vertical="top"/>
    </xf>
    <xf numFmtId="0" fontId="44" fillId="0" borderId="0">
      <alignment horizontal="right" vertical="top"/>
    </xf>
    <xf numFmtId="0" fontId="25" fillId="0" borderId="0">
      <alignment horizontal="right" vertical="top"/>
    </xf>
    <xf numFmtId="0" fontId="41" fillId="0" borderId="0">
      <alignment horizontal="right" vertical="top"/>
    </xf>
    <xf numFmtId="0" fontId="41" fillId="0" borderId="0">
      <alignment horizontal="left" vertical="top"/>
    </xf>
    <xf numFmtId="0" fontId="48" fillId="0" borderId="0">
      <alignment horizontal="right" vertical="top"/>
    </xf>
    <xf numFmtId="0" fontId="49" fillId="0" borderId="0">
      <alignment horizontal="left" vertical="center"/>
    </xf>
    <xf numFmtId="0" fontId="46" fillId="0" borderId="0">
      <alignment horizontal="left" vertical="center"/>
    </xf>
    <xf numFmtId="0" fontId="25" fillId="0" borderId="0">
      <alignment horizontal="left" vertical="top"/>
    </xf>
    <xf numFmtId="167" fontId="25" fillId="0" borderId="0">
      <alignment horizontal="left" vertical="top"/>
    </xf>
    <xf numFmtId="0" fontId="29" fillId="0" borderId="0">
      <alignment horizontal="left" vertical="top"/>
    </xf>
    <xf numFmtId="0" fontId="45" fillId="0" borderId="0">
      <alignment horizontal="left" vertical="top"/>
    </xf>
    <xf numFmtId="0" fontId="29" fillId="0" borderId="0">
      <alignment horizontal="left" vertical="top"/>
    </xf>
    <xf numFmtId="0" fontId="44" fillId="0" borderId="0">
      <alignment horizontal="right" vertical="top"/>
    </xf>
    <xf numFmtId="0" fontId="50" fillId="0" borderId="0">
      <alignment horizontal="left" vertical="top"/>
    </xf>
    <xf numFmtId="0" fontId="25" fillId="0" borderId="0">
      <alignment horizontal="right" vertical="top"/>
    </xf>
    <xf numFmtId="0" fontId="49" fillId="0" borderId="0">
      <alignment horizontal="left" vertical="center"/>
    </xf>
    <xf numFmtId="0" fontId="43" fillId="0" borderId="0">
      <alignment horizontal="left" vertical="top"/>
    </xf>
    <xf numFmtId="0" fontId="41" fillId="0" borderId="0">
      <alignment horizontal="right" vertical="top"/>
    </xf>
    <xf numFmtId="0" fontId="45" fillId="0" borderId="0">
      <alignment horizontal="right" vertical="top"/>
    </xf>
    <xf numFmtId="0" fontId="48" fillId="0" borderId="0">
      <alignment horizontal="left" vertical="top"/>
    </xf>
    <xf numFmtId="0" fontId="25" fillId="0" borderId="0">
      <alignment horizontal="left" vertical="top"/>
    </xf>
    <xf numFmtId="167" fontId="43" fillId="0" borderId="0">
      <alignment horizontal="left" vertical="top"/>
    </xf>
    <xf numFmtId="0" fontId="51" fillId="0" borderId="0">
      <alignment horizontal="left" vertical="top"/>
    </xf>
    <xf numFmtId="0" fontId="29" fillId="0" borderId="0">
      <alignment horizontal="left" vertical="top"/>
    </xf>
    <xf numFmtId="0" fontId="25" fillId="0" borderId="0">
      <alignment horizontal="left" vertical="top"/>
    </xf>
    <xf numFmtId="0" fontId="25" fillId="0" borderId="0">
      <alignment horizontal="left" vertical="top"/>
    </xf>
    <xf numFmtId="0" fontId="36" fillId="0" borderId="0">
      <alignment horizontal="left" vertical="top"/>
    </xf>
    <xf numFmtId="0" fontId="46" fillId="0" borderId="0">
      <alignment horizontal="center" vertical="center"/>
    </xf>
    <xf numFmtId="0" fontId="43" fillId="0" borderId="0">
      <alignment horizontal="left" vertical="top"/>
    </xf>
    <xf numFmtId="0" fontId="45" fillId="0" borderId="0">
      <alignment horizontal="right" vertical="top"/>
    </xf>
    <xf numFmtId="0" fontId="46" fillId="0" borderId="0">
      <alignment horizontal="left" vertical="center"/>
    </xf>
    <xf numFmtId="0" fontId="47" fillId="0" borderId="0">
      <alignment horizontal="left" vertical="top"/>
    </xf>
    <xf numFmtId="0" fontId="52" fillId="0" borderId="0">
      <alignment horizontal="right" vertical="top"/>
    </xf>
    <xf numFmtId="0" fontId="25" fillId="0" borderId="0">
      <alignment horizontal="right" vertical="top"/>
    </xf>
    <xf numFmtId="0" fontId="52" fillId="0" borderId="0">
      <alignment horizontal="right" vertical="top"/>
    </xf>
    <xf numFmtId="0" fontId="43" fillId="0" borderId="0">
      <alignment horizontal="left" vertical="top"/>
    </xf>
    <xf numFmtId="0" fontId="52" fillId="0" borderId="0">
      <alignment horizontal="left" vertical="top"/>
    </xf>
    <xf numFmtId="0" fontId="25" fillId="0" borderId="0">
      <alignment horizontal="left" vertical="top"/>
    </xf>
    <xf numFmtId="0" fontId="45" fillId="0" borderId="0">
      <alignment horizontal="left" vertical="top"/>
    </xf>
    <xf numFmtId="0" fontId="46" fillId="0" borderId="0">
      <alignment horizontal="center" vertical="center"/>
    </xf>
    <xf numFmtId="167" fontId="25" fillId="0" borderId="0">
      <alignment horizontal="left" vertical="top"/>
    </xf>
    <xf numFmtId="0" fontId="48" fillId="0" borderId="0">
      <alignment horizontal="left" vertical="top"/>
    </xf>
    <xf numFmtId="0" fontId="52" fillId="0" borderId="0">
      <alignment horizontal="left" vertical="top"/>
    </xf>
    <xf numFmtId="0" fontId="25" fillId="0" borderId="0">
      <alignment horizontal="left" vertical="top"/>
    </xf>
    <xf numFmtId="0" fontId="52" fillId="0" borderId="0">
      <alignment horizontal="left" vertical="top"/>
    </xf>
    <xf numFmtId="0" fontId="52" fillId="0" borderId="0">
      <alignment horizontal="right" vertical="top"/>
    </xf>
    <xf numFmtId="0" fontId="43" fillId="0" borderId="0">
      <alignment horizontal="left" vertical="top"/>
    </xf>
    <xf numFmtId="167" fontId="43" fillId="0" borderId="0">
      <alignment horizontal="left" vertical="top"/>
    </xf>
    <xf numFmtId="0" fontId="47" fillId="0" borderId="0">
      <alignment horizontal="left" vertical="top"/>
    </xf>
    <xf numFmtId="0" fontId="45" fillId="0" borderId="0">
      <alignment horizontal="left" vertical="top"/>
    </xf>
    <xf numFmtId="0" fontId="42" fillId="0" borderId="0">
      <alignment horizontal="left" vertical="top"/>
    </xf>
    <xf numFmtId="0" fontId="45" fillId="0" borderId="0">
      <alignment horizontal="right" vertical="top"/>
    </xf>
    <xf numFmtId="167" fontId="45" fillId="0" borderId="0">
      <alignment horizontal="right" vertical="top"/>
    </xf>
    <xf numFmtId="0" fontId="53" fillId="0" borderId="0">
      <alignment horizontal="right" vertical="top"/>
    </xf>
    <xf numFmtId="0" fontId="51" fillId="0" borderId="0">
      <alignment horizontal="left" vertical="top"/>
    </xf>
    <xf numFmtId="0" fontId="45" fillId="0" borderId="0">
      <alignment horizontal="left" vertical="top"/>
    </xf>
    <xf numFmtId="0" fontId="25" fillId="0" borderId="0">
      <alignment horizontal="left" vertical="top"/>
    </xf>
    <xf numFmtId="167" fontId="45" fillId="0" borderId="0">
      <alignment horizontal="left" vertical="top"/>
    </xf>
    <xf numFmtId="0" fontId="53" fillId="0" borderId="0">
      <alignment horizontal="left" vertical="top"/>
    </xf>
    <xf numFmtId="0" fontId="25" fillId="0" borderId="0">
      <alignment horizontal="righ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center" vertical="top"/>
    </xf>
    <xf numFmtId="0" fontId="29" fillId="0" borderId="0">
      <alignment horizontal="center" vertical="top"/>
    </xf>
    <xf numFmtId="0" fontId="29" fillId="0" borderId="0">
      <alignment horizontal="left" vertical="top"/>
    </xf>
    <xf numFmtId="0" fontId="54" fillId="0" borderId="0">
      <alignment horizontal="left" vertical="top"/>
    </xf>
    <xf numFmtId="0" fontId="55" fillId="0" borderId="0">
      <alignment horizontal="left" vertical="top"/>
    </xf>
    <xf numFmtId="0" fontId="29" fillId="30" borderId="0">
      <alignment horizontal="center" vertical="top"/>
    </xf>
    <xf numFmtId="0" fontId="25" fillId="0" borderId="0">
      <alignment horizontal="right" vertical="top"/>
    </xf>
    <xf numFmtId="0" fontId="25" fillId="0" borderId="0">
      <alignment horizontal="right" vertical="top"/>
    </xf>
    <xf numFmtId="0" fontId="36" fillId="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56" fillId="0" borderId="0">
      <alignment horizontal="left" vertical="top"/>
    </xf>
    <xf numFmtId="0" fontId="57" fillId="0" borderId="0">
      <alignment horizontal="center" vertical="top"/>
    </xf>
    <xf numFmtId="0" fontId="58" fillId="0" borderId="0">
      <alignment horizontal="left" vertical="top"/>
    </xf>
    <xf numFmtId="167" fontId="59" fillId="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0" borderId="0">
      <alignment horizontal="left" vertical="top"/>
    </xf>
    <xf numFmtId="0" fontId="38" fillId="0" borderId="0">
      <alignment horizontal="left" vertical="top"/>
    </xf>
    <xf numFmtId="0" fontId="59" fillId="0" borderId="0">
      <alignment horizontal="left" vertical="top"/>
    </xf>
    <xf numFmtId="0" fontId="29" fillId="30" borderId="0">
      <alignment horizontal="left" vertical="top"/>
    </xf>
    <xf numFmtId="0" fontId="58" fillId="0" borderId="0">
      <alignment horizontal="center" vertical="top"/>
    </xf>
    <xf numFmtId="0" fontId="60" fillId="0" borderId="0">
      <alignment horizontal="left" vertical="top"/>
    </xf>
    <xf numFmtId="0" fontId="61" fillId="0" borderId="0">
      <alignment horizontal="center" vertical="top"/>
    </xf>
    <xf numFmtId="0" fontId="29" fillId="30" borderId="0">
      <alignment horizontal="left" vertical="top"/>
    </xf>
    <xf numFmtId="0" fontId="51" fillId="0" borderId="0">
      <alignment horizontal="left" vertical="top"/>
    </xf>
    <xf numFmtId="0" fontId="29" fillId="30" borderId="0">
      <alignment horizontal="left" vertical="top"/>
    </xf>
    <xf numFmtId="0" fontId="39" fillId="0" borderId="0">
      <alignment horizontal="center" vertical="top"/>
    </xf>
    <xf numFmtId="0" fontId="61" fillId="0" borderId="0">
      <alignment horizontal="center" vertical="top"/>
    </xf>
    <xf numFmtId="0" fontId="43" fillId="0" borderId="0">
      <alignment horizontal="right" vertical="top"/>
    </xf>
    <xf numFmtId="0" fontId="29" fillId="30" borderId="0">
      <alignment horizontal="left" vertical="top"/>
    </xf>
    <xf numFmtId="0" fontId="39" fillId="0" borderId="0">
      <alignment horizontal="left" vertical="top"/>
    </xf>
    <xf numFmtId="167" fontId="43" fillId="0" borderId="0">
      <alignment horizontal="right" vertical="top"/>
    </xf>
    <xf numFmtId="0" fontId="43" fillId="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0" borderId="0">
      <alignment horizontal="left" vertical="top"/>
    </xf>
    <xf numFmtId="0" fontId="29" fillId="0" borderId="0">
      <alignment horizontal="left" vertical="top"/>
    </xf>
    <xf numFmtId="0" fontId="38" fillId="0" borderId="0">
      <alignment horizontal="left" vertical="top"/>
    </xf>
    <xf numFmtId="0" fontId="43" fillId="0" borderId="0">
      <alignment horizontal="left" vertical="top"/>
    </xf>
    <xf numFmtId="0" fontId="43" fillId="0" borderId="0">
      <alignment horizontal="left" vertical="top"/>
    </xf>
    <xf numFmtId="0" fontId="47" fillId="0" borderId="0">
      <alignment horizontal="right" vertical="top"/>
    </xf>
    <xf numFmtId="0" fontId="43" fillId="30" borderId="0">
      <alignment horizontal="left" vertical="top"/>
    </xf>
    <xf numFmtId="0" fontId="29" fillId="30" borderId="0">
      <alignment horizontal="left" vertical="top"/>
    </xf>
    <xf numFmtId="0" fontId="55" fillId="0" borderId="0">
      <alignment horizontal="center" vertical="top"/>
    </xf>
    <xf numFmtId="0" fontId="43" fillId="30" borderId="0">
      <alignment horizontal="left" vertical="top"/>
    </xf>
    <xf numFmtId="0" fontId="25" fillId="0" borderId="0">
      <alignment horizontal="right" vertical="top"/>
    </xf>
    <xf numFmtId="167" fontId="43" fillId="0" borderId="0">
      <alignment horizontal="left" vertical="top"/>
    </xf>
    <xf numFmtId="0" fontId="43" fillId="0" borderId="0">
      <alignment horizontal="left" vertical="top"/>
    </xf>
    <xf numFmtId="0" fontId="62" fillId="0" borderId="0">
      <alignment horizontal="center" vertical="top"/>
    </xf>
    <xf numFmtId="0" fontId="29" fillId="30" borderId="0">
      <alignment horizontal="left" vertical="top"/>
    </xf>
    <xf numFmtId="0" fontId="29" fillId="30" borderId="0">
      <alignment horizontal="righ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0" borderId="0">
      <alignment horizontal="left" vertical="top"/>
    </xf>
    <xf numFmtId="0" fontId="38" fillId="0" borderId="0">
      <alignment horizontal="left" vertical="top"/>
    </xf>
    <xf numFmtId="0" fontId="1" fillId="0" borderId="0">
      <alignment horizontal="left" vertical="top"/>
    </xf>
    <xf numFmtId="0" fontId="43" fillId="0" borderId="0">
      <alignment horizontal="left" vertical="top"/>
    </xf>
    <xf numFmtId="0" fontId="47" fillId="0" borderId="0">
      <alignment horizontal="left" vertical="top"/>
    </xf>
    <xf numFmtId="0" fontId="52" fillId="0" borderId="0">
      <alignment horizontal="left" vertical="center"/>
    </xf>
    <xf numFmtId="0" fontId="38" fillId="0" borderId="0">
      <alignment horizontal="right" vertical="top"/>
    </xf>
    <xf numFmtId="0" fontId="1" fillId="0" borderId="0">
      <alignment horizontal="right" vertical="top"/>
    </xf>
    <xf numFmtId="0" fontId="43" fillId="0" borderId="0">
      <alignment horizontal="right" vertical="top"/>
    </xf>
    <xf numFmtId="0" fontId="43" fillId="0" borderId="0">
      <alignment horizontal="left" vertical="top"/>
    </xf>
    <xf numFmtId="0" fontId="29" fillId="30" borderId="0">
      <alignment horizontal="right" vertical="top"/>
    </xf>
    <xf numFmtId="0" fontId="45" fillId="0" borderId="0">
      <alignment horizontal="left" vertical="top"/>
    </xf>
    <xf numFmtId="0" fontId="45" fillId="0" borderId="0">
      <alignment horizontal="center" vertical="center"/>
    </xf>
    <xf numFmtId="0" fontId="52" fillId="0" borderId="0">
      <alignment horizontal="left" vertical="center"/>
    </xf>
    <xf numFmtId="0" fontId="63" fillId="0" borderId="0">
      <alignment horizontal="center" vertical="top"/>
    </xf>
    <xf numFmtId="167" fontId="43" fillId="0" borderId="0">
      <alignment horizontal="left" vertical="top"/>
    </xf>
    <xf numFmtId="0" fontId="43" fillId="0" borderId="0">
      <alignment horizontal="right" vertical="top"/>
    </xf>
    <xf numFmtId="0" fontId="29" fillId="30" borderId="0">
      <alignment horizontal="righ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right" vertical="top"/>
    </xf>
    <xf numFmtId="0" fontId="29" fillId="30" borderId="0">
      <alignment horizontal="right" vertical="top"/>
    </xf>
    <xf numFmtId="0" fontId="29" fillId="30" borderId="0">
      <alignment horizontal="right" vertical="top"/>
    </xf>
    <xf numFmtId="0" fontId="29" fillId="0" borderId="0">
      <alignment horizontal="left" vertical="top"/>
    </xf>
    <xf numFmtId="0" fontId="29" fillId="0" borderId="0">
      <alignment horizontal="right" vertical="top"/>
    </xf>
    <xf numFmtId="0" fontId="47" fillId="0" borderId="0">
      <alignment horizontal="left" vertical="top"/>
    </xf>
    <xf numFmtId="0" fontId="52" fillId="0" borderId="0">
      <alignment horizontal="left" vertical="center"/>
    </xf>
    <xf numFmtId="0" fontId="43" fillId="0" borderId="0">
      <alignment horizontal="left" vertical="top"/>
    </xf>
    <xf numFmtId="0" fontId="43" fillId="0" borderId="0">
      <alignment horizontal="left" vertical="top"/>
    </xf>
    <xf numFmtId="0" fontId="43" fillId="0" borderId="0">
      <alignment horizontal="right" vertical="top"/>
    </xf>
    <xf numFmtId="0" fontId="29" fillId="30" borderId="0">
      <alignment horizontal="left" vertical="top"/>
    </xf>
    <xf numFmtId="0" fontId="45" fillId="0" borderId="0">
      <alignment horizontal="left" vertical="top"/>
    </xf>
    <xf numFmtId="0" fontId="46" fillId="0" borderId="0">
      <alignment horizontal="left" vertical="center"/>
    </xf>
    <xf numFmtId="0" fontId="52" fillId="0" borderId="0">
      <alignment horizontal="left" vertical="center"/>
    </xf>
    <xf numFmtId="0" fontId="64" fillId="0" borderId="0">
      <alignment horizontal="left" vertical="top"/>
    </xf>
    <xf numFmtId="167" fontId="43" fillId="0" borderId="0">
      <alignment horizontal="right" vertical="top"/>
    </xf>
    <xf numFmtId="0" fontId="65" fillId="0" borderId="0">
      <alignment horizontal="left" vertical="top"/>
    </xf>
    <xf numFmtId="0" fontId="43" fillId="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righ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0" borderId="0">
      <alignment horizontal="right" vertical="top"/>
    </xf>
    <xf numFmtId="0" fontId="29" fillId="0" borderId="0">
      <alignment horizontal="left" vertical="top"/>
    </xf>
    <xf numFmtId="0" fontId="38" fillId="0" borderId="0">
      <alignment horizontal="left" vertical="top"/>
    </xf>
    <xf numFmtId="0" fontId="47" fillId="0" borderId="0">
      <alignment horizontal="right" vertical="top"/>
    </xf>
    <xf numFmtId="0" fontId="52" fillId="0" borderId="0">
      <alignment horizontal="right" vertical="center"/>
    </xf>
    <xf numFmtId="0" fontId="46" fillId="0" borderId="0">
      <alignment horizontal="left" vertical="center"/>
    </xf>
    <xf numFmtId="0" fontId="52" fillId="0" borderId="0">
      <alignment horizontal="right" vertical="center"/>
    </xf>
    <xf numFmtId="0" fontId="52" fillId="0" borderId="0">
      <alignment horizontal="left" vertical="top"/>
    </xf>
    <xf numFmtId="0" fontId="46" fillId="0" borderId="0">
      <alignment horizontal="right" vertical="center"/>
    </xf>
    <xf numFmtId="167" fontId="43" fillId="0" borderId="0">
      <alignment horizontal="left" vertical="top"/>
    </xf>
    <xf numFmtId="0" fontId="52" fillId="0" borderId="0">
      <alignment horizontal="right" vertical="center"/>
    </xf>
    <xf numFmtId="0" fontId="41" fillId="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29" fillId="30" borderId="0">
      <alignment horizontal="left" vertical="top"/>
    </xf>
    <xf numFmtId="0" fontId="43" fillId="0" borderId="0">
      <alignment horizontal="right" vertical="top"/>
    </xf>
    <xf numFmtId="0" fontId="29" fillId="0" borderId="0">
      <alignment horizontal="left" vertical="top"/>
    </xf>
    <xf numFmtId="0" fontId="38" fillId="0" borderId="0">
      <alignment horizontal="left" vertical="top"/>
    </xf>
    <xf numFmtId="0" fontId="43" fillId="0" borderId="0">
      <alignment horizontal="left" vertical="top"/>
    </xf>
    <xf numFmtId="0" fontId="43" fillId="0" borderId="0">
      <alignment horizontal="left" vertical="top"/>
    </xf>
    <xf numFmtId="0" fontId="59" fillId="0" borderId="0">
      <alignment horizontal="left" vertical="top"/>
    </xf>
    <xf numFmtId="0" fontId="29" fillId="30" borderId="0">
      <alignment horizontal="left" vertical="top"/>
    </xf>
    <xf numFmtId="0" fontId="45" fillId="0" borderId="0">
      <alignment horizontal="right" vertical="top"/>
    </xf>
    <xf numFmtId="0" fontId="47" fillId="0" borderId="0">
      <alignment horizontal="left" vertical="top"/>
    </xf>
    <xf numFmtId="0" fontId="41" fillId="0" borderId="0">
      <alignment horizontal="left" vertical="top"/>
    </xf>
    <xf numFmtId="0" fontId="43" fillId="0" borderId="0">
      <alignment horizontal="left" vertical="top"/>
    </xf>
    <xf numFmtId="0" fontId="29" fillId="30" borderId="0">
      <alignment horizontal="right" vertical="top"/>
    </xf>
    <xf numFmtId="0" fontId="44" fillId="0" borderId="0">
      <alignment horizontal="left" vertical="top"/>
    </xf>
    <xf numFmtId="0" fontId="25" fillId="0" borderId="0">
      <alignment horizontal="left" vertical="top"/>
    </xf>
    <xf numFmtId="0" fontId="46" fillId="0" borderId="0">
      <alignment horizontal="center" vertical="center"/>
    </xf>
    <xf numFmtId="0" fontId="41" fillId="0" borderId="0">
      <alignment horizontal="left" vertical="top"/>
    </xf>
    <xf numFmtId="0" fontId="52" fillId="0" borderId="0">
      <alignment horizontal="right" vertical="top"/>
    </xf>
    <xf numFmtId="0" fontId="43" fillId="0" borderId="0">
      <alignment horizontal="right" vertical="top"/>
    </xf>
    <xf numFmtId="167" fontId="25" fillId="0" borderId="0">
      <alignment horizontal="left" vertical="top"/>
    </xf>
    <xf numFmtId="0" fontId="29" fillId="30" borderId="0">
      <alignment horizontal="right" vertical="top"/>
    </xf>
    <xf numFmtId="0" fontId="29" fillId="30" borderId="0">
      <alignment horizontal="left" vertical="top"/>
    </xf>
    <xf numFmtId="0" fontId="29" fillId="30" borderId="0">
      <alignment horizontal="right" vertical="top"/>
    </xf>
    <xf numFmtId="0" fontId="29" fillId="30" borderId="0">
      <alignment horizontal="right" vertical="top"/>
    </xf>
    <xf numFmtId="0" fontId="29" fillId="30" borderId="0">
      <alignment horizontal="right" vertical="top"/>
    </xf>
    <xf numFmtId="0" fontId="29" fillId="30" borderId="0">
      <alignment horizontal="left" vertical="top"/>
    </xf>
    <xf numFmtId="0" fontId="29" fillId="0" borderId="0">
      <alignment horizontal="left" vertical="top"/>
    </xf>
    <xf numFmtId="0" fontId="38" fillId="0" borderId="0">
      <alignment horizontal="left" vertical="top"/>
    </xf>
    <xf numFmtId="0" fontId="48" fillId="0" borderId="0">
      <alignment horizontal="left" vertical="top"/>
    </xf>
    <xf numFmtId="41" fontId="1" fillId="0" borderId="0" applyFont="0" applyFill="0" applyBorder="0" applyAlignment="0" applyProtection="0"/>
  </cellStyleXfs>
  <cellXfs count="160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5" fillId="16" borderId="1" xfId="0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indent="1"/>
    </xf>
    <xf numFmtId="43" fontId="10" fillId="0" borderId="1" xfId="3" applyFont="1" applyFill="1" applyBorder="1" applyAlignment="1">
      <alignment vertical="center"/>
    </xf>
    <xf numFmtId="10" fontId="10" fillId="0" borderId="1" xfId="3" applyNumberFormat="1" applyFont="1" applyFill="1" applyBorder="1" applyAlignment="1">
      <alignment horizontal="center" vertical="center"/>
    </xf>
    <xf numFmtId="10" fontId="11" fillId="18" borderId="1" xfId="3" applyNumberFormat="1" applyFont="1" applyFill="1" applyBorder="1" applyAlignment="1">
      <alignment horizontal="center" vertical="center"/>
    </xf>
    <xf numFmtId="10" fontId="10" fillId="0" borderId="1" xfId="2" applyNumberFormat="1" applyFont="1" applyFill="1" applyBorder="1" applyAlignment="1">
      <alignment horizontal="center" vertical="center"/>
    </xf>
    <xf numFmtId="0" fontId="10" fillId="19" borderId="1" xfId="2" applyNumberFormat="1" applyFont="1" applyFill="1" applyBorder="1" applyAlignment="1">
      <alignment horizontal="center" vertical="center"/>
    </xf>
    <xf numFmtId="10" fontId="11" fillId="18" borderId="1" xfId="2" applyNumberFormat="1" applyFont="1" applyFill="1" applyBorder="1" applyAlignment="1">
      <alignment horizontal="center" vertical="center"/>
    </xf>
    <xf numFmtId="0" fontId="10" fillId="12" borderId="1" xfId="2" applyNumberFormat="1" applyFont="1" applyFill="1" applyBorder="1" applyAlignment="1">
      <alignment horizontal="center" vertical="center"/>
    </xf>
    <xf numFmtId="43" fontId="10" fillId="0" borderId="1" xfId="1" applyFont="1" applyFill="1" applyBorder="1" applyAlignment="1">
      <alignment vertical="center"/>
    </xf>
    <xf numFmtId="0" fontId="10" fillId="0" borderId="1" xfId="2" applyNumberFormat="1" applyFont="1" applyFill="1" applyBorder="1" applyAlignment="1">
      <alignment horizontal="center" vertical="center"/>
    </xf>
    <xf numFmtId="41" fontId="14" fillId="19" borderId="1" xfId="0" applyNumberFormat="1" applyFont="1" applyFill="1" applyBorder="1" applyAlignment="1">
      <alignment horizontal="center" vertical="center"/>
    </xf>
    <xf numFmtId="41" fontId="13" fillId="23" borderId="1" xfId="0" applyNumberFormat="1" applyFont="1" applyFill="1" applyBorder="1" applyAlignment="1">
      <alignment horizontal="center" vertical="center"/>
    </xf>
    <xf numFmtId="0" fontId="13" fillId="24" borderId="1" xfId="0" applyFont="1" applyFill="1" applyBorder="1" applyAlignment="1">
      <alignment horizontal="center" vertical="center"/>
    </xf>
    <xf numFmtId="41" fontId="13" fillId="11" borderId="1" xfId="0" applyNumberFormat="1" applyFont="1" applyFill="1" applyBorder="1" applyAlignment="1">
      <alignment horizontal="center" vertical="center"/>
    </xf>
    <xf numFmtId="41" fontId="13" fillId="10" borderId="1" xfId="0" applyNumberFormat="1" applyFont="1" applyFill="1" applyBorder="1" applyAlignment="1">
      <alignment horizontal="center" vertical="center"/>
    </xf>
    <xf numFmtId="41" fontId="13" fillId="25" borderId="1" xfId="0" applyNumberFormat="1" applyFont="1" applyFill="1" applyBorder="1" applyAlignment="1">
      <alignment horizontal="center" vertical="center" wrapText="1"/>
    </xf>
    <xf numFmtId="41" fontId="13" fillId="25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 indent="1"/>
    </xf>
    <xf numFmtId="10" fontId="13" fillId="0" borderId="1" xfId="2" applyNumberFormat="1" applyFont="1" applyFill="1" applyBorder="1" applyAlignment="1">
      <alignment horizontal="center" vertical="center"/>
    </xf>
    <xf numFmtId="43" fontId="13" fillId="0" borderId="1" xfId="3" applyFont="1" applyFill="1" applyBorder="1" applyAlignment="1">
      <alignment vertical="center"/>
    </xf>
    <xf numFmtId="10" fontId="13" fillId="0" borderId="7" xfId="4" applyNumberFormat="1" applyFont="1" applyFill="1" applyBorder="1" applyAlignment="1">
      <alignment horizontal="center" vertical="center"/>
    </xf>
    <xf numFmtId="43" fontId="13" fillId="0" borderId="7" xfId="3" applyFont="1" applyFill="1" applyBorder="1" applyAlignment="1">
      <alignment horizontal="center" vertical="center"/>
    </xf>
    <xf numFmtId="43" fontId="13" fillId="0" borderId="7" xfId="3" applyFont="1" applyFill="1" applyBorder="1" applyAlignment="1">
      <alignment vertical="center"/>
    </xf>
    <xf numFmtId="0" fontId="13" fillId="0" borderId="7" xfId="3" applyNumberFormat="1" applyFont="1" applyFill="1" applyBorder="1" applyAlignment="1">
      <alignment horizontal="center" vertical="center"/>
    </xf>
    <xf numFmtId="9" fontId="13" fillId="0" borderId="7" xfId="2" applyFont="1" applyFill="1" applyBorder="1" applyAlignment="1">
      <alignment horizontal="center" vertical="center"/>
    </xf>
    <xf numFmtId="0" fontId="2" fillId="26" borderId="8" xfId="0" applyFont="1" applyFill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0" borderId="8" xfId="0" applyFont="1" applyBorder="1" applyAlignment="1">
      <alignment horizontal="center"/>
    </xf>
    <xf numFmtId="10" fontId="3" fillId="0" borderId="8" xfId="4" applyNumberFormat="1" applyFont="1" applyBorder="1" applyAlignment="1">
      <alignment horizontal="center"/>
    </xf>
    <xf numFmtId="0" fontId="0" fillId="27" borderId="0" xfId="0" applyFill="1"/>
    <xf numFmtId="0" fontId="17" fillId="27" borderId="0" xfId="0" applyFont="1" applyFill="1"/>
    <xf numFmtId="0" fontId="18" fillId="27" borderId="0" xfId="0" applyFont="1" applyFill="1" applyAlignment="1">
      <alignment vertical="center"/>
    </xf>
    <xf numFmtId="0" fontId="18" fillId="27" borderId="0" xfId="0" applyFont="1" applyFill="1"/>
    <xf numFmtId="0" fontId="17" fillId="0" borderId="0" xfId="0" applyFont="1"/>
    <xf numFmtId="0" fontId="19" fillId="0" borderId="8" xfId="0" applyFont="1" applyFill="1" applyBorder="1" applyAlignment="1">
      <alignment horizontal="center" vertical="center" wrapText="1"/>
    </xf>
    <xf numFmtId="0" fontId="19" fillId="18" borderId="8" xfId="0" applyFont="1" applyFill="1" applyBorder="1" applyAlignment="1">
      <alignment horizontal="center" vertical="center" wrapText="1"/>
    </xf>
    <xf numFmtId="0" fontId="19" fillId="27" borderId="8" xfId="0" applyFont="1" applyFill="1" applyBorder="1" applyAlignment="1">
      <alignment horizontal="center" vertical="center" wrapText="1"/>
    </xf>
    <xf numFmtId="0" fontId="20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0" fontId="17" fillId="0" borderId="8" xfId="0" applyFont="1" applyBorder="1" applyAlignment="1">
      <alignment horizontal="center" vertical="center"/>
    </xf>
    <xf numFmtId="0" fontId="17" fillId="22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27" borderId="0" xfId="0" applyFont="1" applyFill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9" fontId="17" fillId="27" borderId="0" xfId="2" applyFont="1" applyFill="1" applyAlignment="1">
      <alignment horizontal="center" vertical="center"/>
    </xf>
    <xf numFmtId="0" fontId="21" fillId="27" borderId="8" xfId="0" applyFont="1" applyFill="1" applyBorder="1" applyAlignment="1">
      <alignment vertical="center"/>
    </xf>
    <xf numFmtId="0" fontId="20" fillId="0" borderId="8" xfId="0" applyFont="1" applyFill="1" applyBorder="1" applyAlignment="1">
      <alignment vertical="center"/>
    </xf>
    <xf numFmtId="0" fontId="19" fillId="28" borderId="8" xfId="0" applyFont="1" applyFill="1" applyBorder="1" applyAlignment="1">
      <alignment horizontal="center" vertical="center"/>
    </xf>
    <xf numFmtId="0" fontId="19" fillId="28" borderId="8" xfId="0" applyFont="1" applyFill="1" applyBorder="1" applyAlignment="1">
      <alignment vertical="center"/>
    </xf>
    <xf numFmtId="0" fontId="17" fillId="27" borderId="8" xfId="0" applyFont="1" applyFill="1" applyBorder="1" applyAlignment="1">
      <alignment horizontal="center" vertical="center"/>
    </xf>
    <xf numFmtId="0" fontId="20" fillId="27" borderId="0" xfId="0" applyFont="1" applyFill="1" applyBorder="1" applyAlignment="1">
      <alignment vertical="center"/>
    </xf>
    <xf numFmtId="0" fontId="19" fillId="0" borderId="8" xfId="0" applyFont="1" applyFill="1" applyBorder="1" applyAlignment="1">
      <alignment vertical="center"/>
    </xf>
    <xf numFmtId="164" fontId="28" fillId="0" borderId="9" xfId="1" applyNumberFormat="1" applyFont="1" applyFill="1" applyBorder="1" applyAlignment="1">
      <alignment horizontal="center" vertical="center"/>
    </xf>
    <xf numFmtId="0" fontId="3" fillId="11" borderId="10" xfId="0" applyFont="1" applyFill="1" applyBorder="1"/>
    <xf numFmtId="9" fontId="0" fillId="0" borderId="0" xfId="2" applyFont="1"/>
    <xf numFmtId="10" fontId="3" fillId="9" borderId="12" xfId="2" applyNumberFormat="1" applyFont="1" applyFill="1" applyBorder="1"/>
    <xf numFmtId="0" fontId="0" fillId="0" borderId="13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6" fillId="31" borderId="8" xfId="0" applyFont="1" applyFill="1" applyBorder="1" applyAlignment="1">
      <alignment horizontal="center"/>
    </xf>
    <xf numFmtId="10" fontId="26" fillId="9" borderId="8" xfId="4" applyNumberFormat="1" applyFont="1" applyFill="1" applyBorder="1" applyAlignment="1">
      <alignment horizontal="center"/>
    </xf>
    <xf numFmtId="10" fontId="66" fillId="31" borderId="8" xfId="4" applyNumberFormat="1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10" fillId="19" borderId="1" xfId="2" applyNumberFormat="1" applyFont="1" applyFill="1" applyBorder="1" applyAlignment="1">
      <alignment horizontal="center" vertical="center"/>
    </xf>
    <xf numFmtId="10" fontId="13" fillId="19" borderId="1" xfId="2" applyNumberFormat="1" applyFont="1" applyFill="1" applyBorder="1" applyAlignment="1">
      <alignment horizontal="center" vertical="center"/>
    </xf>
    <xf numFmtId="0" fontId="67" fillId="8" borderId="8" xfId="0" applyFont="1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9" fontId="13" fillId="0" borderId="7" xfId="1204" applyNumberFormat="1" applyFont="1" applyFill="1" applyBorder="1" applyAlignment="1">
      <alignment horizontal="center" vertical="center"/>
    </xf>
    <xf numFmtId="164" fontId="28" fillId="0" borderId="14" xfId="1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indent="1"/>
    </xf>
    <xf numFmtId="43" fontId="10" fillId="0" borderId="0" xfId="3" applyFont="1" applyFill="1" applyBorder="1" applyAlignment="1">
      <alignment vertical="center"/>
    </xf>
    <xf numFmtId="10" fontId="10" fillId="0" borderId="0" xfId="3" applyNumberFormat="1" applyFont="1" applyFill="1" applyBorder="1" applyAlignment="1">
      <alignment horizontal="center" vertical="center"/>
    </xf>
    <xf numFmtId="10" fontId="11" fillId="18" borderId="0" xfId="3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10" fontId="10" fillId="19" borderId="0" xfId="2" applyNumberFormat="1" applyFont="1" applyFill="1" applyBorder="1" applyAlignment="1">
      <alignment horizontal="center" vertical="center"/>
    </xf>
    <xf numFmtId="10" fontId="11" fillId="18" borderId="0" xfId="2" applyNumberFormat="1" applyFont="1" applyFill="1" applyBorder="1" applyAlignment="1">
      <alignment horizontal="center" vertical="center"/>
    </xf>
    <xf numFmtId="0" fontId="10" fillId="12" borderId="0" xfId="2" applyNumberFormat="1" applyFont="1" applyFill="1" applyBorder="1" applyAlignment="1">
      <alignment horizontal="center" vertical="center"/>
    </xf>
    <xf numFmtId="43" fontId="10" fillId="0" borderId="0" xfId="1" applyFont="1" applyFill="1" applyBorder="1" applyAlignment="1">
      <alignment vertical="center"/>
    </xf>
    <xf numFmtId="0" fontId="10" fillId="0" borderId="0" xfId="2" applyNumberFormat="1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left" vertical="center" indent="1"/>
    </xf>
    <xf numFmtId="43" fontId="10" fillId="0" borderId="15" xfId="3" applyFont="1" applyFill="1" applyBorder="1" applyAlignment="1">
      <alignment vertical="center"/>
    </xf>
    <xf numFmtId="10" fontId="10" fillId="0" borderId="15" xfId="3" applyNumberFormat="1" applyFont="1" applyFill="1" applyBorder="1" applyAlignment="1">
      <alignment horizontal="center" vertical="center"/>
    </xf>
    <xf numFmtId="10" fontId="10" fillId="32" borderId="15" xfId="3" applyNumberFormat="1" applyFont="1" applyFill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32" borderId="15" xfId="2" applyNumberFormat="1" applyFont="1" applyFill="1" applyBorder="1" applyAlignment="1">
      <alignment horizontal="center" vertical="center"/>
    </xf>
    <xf numFmtId="10" fontId="68" fillId="33" borderId="15" xfId="2" applyNumberFormat="1" applyFont="1" applyFill="1" applyBorder="1" applyAlignment="1">
      <alignment horizontal="center" vertical="center"/>
    </xf>
    <xf numFmtId="0" fontId="10" fillId="34" borderId="15" xfId="2" applyNumberFormat="1" applyFont="1" applyFill="1" applyBorder="1" applyAlignment="1">
      <alignment horizontal="center" vertical="center"/>
    </xf>
    <xf numFmtId="43" fontId="10" fillId="0" borderId="15" xfId="1" applyFont="1" applyFill="1" applyBorder="1" applyAlignment="1">
      <alignment vertical="center"/>
    </xf>
    <xf numFmtId="0" fontId="10" fillId="0" borderId="15" xfId="2" applyNumberFormat="1" applyFont="1" applyFill="1" applyBorder="1" applyAlignment="1">
      <alignment horizontal="center" vertical="center"/>
    </xf>
    <xf numFmtId="0" fontId="69" fillId="0" borderId="8" xfId="0" applyFont="1" applyFill="1" applyBorder="1"/>
    <xf numFmtId="0" fontId="69" fillId="0" borderId="8" xfId="0" applyFont="1" applyFill="1" applyBorder="1" applyAlignment="1">
      <alignment horizontal="center" vertical="center"/>
    </xf>
    <xf numFmtId="0" fontId="69" fillId="0" borderId="8" xfId="0" applyFont="1" applyFill="1" applyBorder="1" applyAlignment="1">
      <alignment horizontal="center"/>
    </xf>
    <xf numFmtId="0" fontId="70" fillId="0" borderId="8" xfId="0" applyFont="1" applyFill="1" applyBorder="1" applyAlignment="1">
      <alignment horizontal="center" vertical="center"/>
    </xf>
    <xf numFmtId="0" fontId="71" fillId="35" borderId="8" xfId="0" applyFont="1" applyFill="1" applyBorder="1" applyAlignment="1">
      <alignment horizontal="center"/>
    </xf>
    <xf numFmtId="10" fontId="71" fillId="36" borderId="8" xfId="4" applyNumberFormat="1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27" borderId="8" xfId="0" applyFont="1" applyFill="1" applyBorder="1" applyAlignment="1">
      <alignment horizontal="left" vertical="center"/>
    </xf>
    <xf numFmtId="0" fontId="72" fillId="0" borderId="0" xfId="0" applyFont="1"/>
    <xf numFmtId="10" fontId="7" fillId="19" borderId="1" xfId="2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indent="1"/>
    </xf>
    <xf numFmtId="0" fontId="67" fillId="0" borderId="8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27" fillId="0" borderId="8" xfId="0" applyFont="1" applyFill="1" applyBorder="1" applyAlignment="1">
      <alignment horizontal="left" vertical="center"/>
    </xf>
    <xf numFmtId="0" fontId="3" fillId="37" borderId="8" xfId="0" applyFont="1" applyFill="1" applyBorder="1" applyAlignment="1">
      <alignment horizontal="center"/>
    </xf>
    <xf numFmtId="164" fontId="3" fillId="38" borderId="8" xfId="1" applyNumberFormat="1" applyFont="1" applyFill="1" applyBorder="1" applyAlignment="1">
      <alignment horizontal="center"/>
    </xf>
    <xf numFmtId="164" fontId="3" fillId="39" borderId="8" xfId="1" applyNumberFormat="1" applyFont="1" applyFill="1" applyBorder="1" applyAlignment="1">
      <alignment horizontal="center"/>
    </xf>
    <xf numFmtId="164" fontId="3" fillId="40" borderId="8" xfId="1" applyNumberFormat="1" applyFont="1" applyFill="1" applyBorder="1" applyAlignment="1">
      <alignment horizontal="center"/>
    </xf>
    <xf numFmtId="164" fontId="3" fillId="41" borderId="8" xfId="1" applyNumberFormat="1" applyFont="1" applyFill="1" applyBorder="1" applyAlignment="1">
      <alignment horizontal="center"/>
    </xf>
    <xf numFmtId="0" fontId="3" fillId="0" borderId="8" xfId="0" applyFont="1" applyBorder="1"/>
    <xf numFmtId="164" fontId="0" fillId="0" borderId="8" xfId="1" applyNumberFormat="1" applyFont="1" applyBorder="1"/>
    <xf numFmtId="164" fontId="0" fillId="0" borderId="8" xfId="0" applyNumberFormat="1" applyBorder="1"/>
    <xf numFmtId="164" fontId="0" fillId="0" borderId="8" xfId="1" applyNumberFormat="1" applyFont="1" applyFill="1" applyBorder="1"/>
    <xf numFmtId="164" fontId="3" fillId="42" borderId="8" xfId="0" applyNumberFormat="1" applyFont="1" applyFill="1" applyBorder="1"/>
    <xf numFmtId="0" fontId="0" fillId="0" borderId="8" xfId="0" applyBorder="1" applyAlignment="1">
      <alignment horizontal="center" vertical="center"/>
    </xf>
    <xf numFmtId="0" fontId="69" fillId="0" borderId="8" xfId="0" applyFont="1" applyFill="1" applyBorder="1" applyAlignment="1">
      <alignment horizontal="center" vertical="center"/>
    </xf>
    <xf numFmtId="41" fontId="13" fillId="22" borderId="4" xfId="0" applyNumberFormat="1" applyFont="1" applyFill="1" applyBorder="1" applyAlignment="1">
      <alignment horizontal="center" vertical="center"/>
    </xf>
    <xf numFmtId="41" fontId="13" fillId="22" borderId="6" xfId="0" applyNumberFormat="1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horizontal="center" vertical="center"/>
    </xf>
    <xf numFmtId="41" fontId="13" fillId="19" borderId="4" xfId="0" applyNumberFormat="1" applyFont="1" applyFill="1" applyBorder="1" applyAlignment="1">
      <alignment horizontal="center" vertical="center"/>
    </xf>
    <xf numFmtId="41" fontId="13" fillId="19" borderId="5" xfId="0" applyNumberFormat="1" applyFont="1" applyFill="1" applyBorder="1" applyAlignment="1">
      <alignment horizontal="center" vertical="center"/>
    </xf>
    <xf numFmtId="41" fontId="13" fillId="19" borderId="6" xfId="0" applyNumberFormat="1" applyFont="1" applyFill="1" applyBorder="1" applyAlignment="1">
      <alignment horizontal="center" vertical="center"/>
    </xf>
    <xf numFmtId="0" fontId="14" fillId="19" borderId="4" xfId="0" applyFont="1" applyFill="1" applyBorder="1" applyAlignment="1">
      <alignment horizontal="center" vertical="center"/>
    </xf>
    <xf numFmtId="0" fontId="14" fillId="19" borderId="6" xfId="0" applyFont="1" applyFill="1" applyBorder="1" applyAlignment="1">
      <alignment horizontal="center" vertical="center"/>
    </xf>
    <xf numFmtId="41" fontId="13" fillId="21" borderId="4" xfId="0" applyNumberFormat="1" applyFont="1" applyFill="1" applyBorder="1" applyAlignment="1">
      <alignment horizontal="center" vertical="center"/>
    </xf>
    <xf numFmtId="41" fontId="13" fillId="21" borderId="5" xfId="0" applyNumberFormat="1" applyFont="1" applyFill="1" applyBorder="1" applyAlignment="1">
      <alignment horizontal="center" vertical="center"/>
    </xf>
    <xf numFmtId="41" fontId="13" fillId="21" borderId="6" xfId="0" applyNumberFormat="1" applyFont="1" applyFill="1" applyBorder="1" applyAlignment="1">
      <alignment horizontal="center" vertical="center"/>
    </xf>
    <xf numFmtId="41" fontId="13" fillId="4" borderId="4" xfId="0" applyNumberFormat="1" applyFont="1" applyFill="1" applyBorder="1" applyAlignment="1">
      <alignment horizontal="center" vertical="center"/>
    </xf>
    <xf numFmtId="41" fontId="13" fillId="4" borderId="5" xfId="0" applyNumberFormat="1" applyFont="1" applyFill="1" applyBorder="1" applyAlignment="1">
      <alignment horizontal="center" vertical="center"/>
    </xf>
    <xf numFmtId="41" fontId="13" fillId="4" borderId="6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5" fillId="27" borderId="0" xfId="0" applyFont="1" applyFill="1" applyAlignment="1">
      <alignment horizontal="center" vertical="center"/>
    </xf>
    <xf numFmtId="0" fontId="16" fillId="27" borderId="0" xfId="0" applyFont="1" applyFill="1" applyAlignment="1">
      <alignment horizontal="center" vertical="center"/>
    </xf>
    <xf numFmtId="0" fontId="3" fillId="42" borderId="16" xfId="0" applyFont="1" applyFill="1" applyBorder="1" applyAlignment="1">
      <alignment horizontal="center"/>
    </xf>
    <xf numFmtId="0" fontId="3" fillId="42" borderId="17" xfId="0" applyFont="1" applyFill="1" applyBorder="1" applyAlignment="1">
      <alignment horizontal="center"/>
    </xf>
    <xf numFmtId="0" fontId="3" fillId="42" borderId="18" xfId="0" applyFont="1" applyFill="1" applyBorder="1" applyAlignment="1">
      <alignment horizontal="center"/>
    </xf>
  </cellXfs>
  <cellStyles count="1205">
    <cellStyle name="Comma" xfId="1" builtinId="3"/>
    <cellStyle name="Comma [0]" xfId="1204" builtinId="6"/>
    <cellStyle name="Comma [0] 2" xfId="9"/>
    <cellStyle name="Comma [0] 2 2" xfId="10"/>
    <cellStyle name="Comma [0] 2 2 2" xfId="11"/>
    <cellStyle name="Comma [0] 2 3" xfId="12"/>
    <cellStyle name="Comma [0] 2 4" xfId="13"/>
    <cellStyle name="Comma [0] 3" xfId="14"/>
    <cellStyle name="Comma [0] 3 2" xfId="15"/>
    <cellStyle name="Comma [0] 3 3" xfId="16"/>
    <cellStyle name="Comma [0] 3 4" xfId="17"/>
    <cellStyle name="Comma [0] 4" xfId="18"/>
    <cellStyle name="Comma [0] 4 2" xfId="19"/>
    <cellStyle name="Comma [0] 5" xfId="20"/>
    <cellStyle name="Comma [0] 5 2" xfId="21"/>
    <cellStyle name="Comma [0] 6" xfId="22"/>
    <cellStyle name="Comma [0] 7" xfId="23"/>
    <cellStyle name="Comma [0] 8" xfId="24"/>
    <cellStyle name="Comma [0] 9" xfId="25"/>
    <cellStyle name="Comma 10" xfId="26"/>
    <cellStyle name="Comma 10 2" xfId="3"/>
    <cellStyle name="Comma 10 3" xfId="27"/>
    <cellStyle name="Comma 104" xfId="5"/>
    <cellStyle name="Comma 11" xfId="28"/>
    <cellStyle name="Comma 11 2" xfId="29"/>
    <cellStyle name="Comma 11 3" xfId="30"/>
    <cellStyle name="Comma 11 4" xfId="31"/>
    <cellStyle name="Comma 12" xfId="32"/>
    <cellStyle name="Comma 12 2" xfId="33"/>
    <cellStyle name="Comma 12 3" xfId="34"/>
    <cellStyle name="Comma 13" xfId="35"/>
    <cellStyle name="Comma 13 2" xfId="36"/>
    <cellStyle name="Comma 13 3" xfId="37"/>
    <cellStyle name="Comma 14" xfId="38"/>
    <cellStyle name="Comma 14 2" xfId="39"/>
    <cellStyle name="Comma 14 3" xfId="40"/>
    <cellStyle name="Comma 15" xfId="41"/>
    <cellStyle name="Comma 16" xfId="42"/>
    <cellStyle name="Comma 17" xfId="43"/>
    <cellStyle name="Comma 18" xfId="44"/>
    <cellStyle name="Comma 19" xfId="45"/>
    <cellStyle name="Comma 2" xfId="46"/>
    <cellStyle name="Comma 2 10" xfId="47"/>
    <cellStyle name="Comma 2 2" xfId="48"/>
    <cellStyle name="Comma 2 3" xfId="49"/>
    <cellStyle name="Comma 2 4" xfId="50"/>
    <cellStyle name="Comma 20" xfId="51"/>
    <cellStyle name="Comma 20 2" xfId="52"/>
    <cellStyle name="Comma 21" xfId="53"/>
    <cellStyle name="Comma 21 2" xfId="54"/>
    <cellStyle name="Comma 22" xfId="55"/>
    <cellStyle name="Comma 23" xfId="56"/>
    <cellStyle name="Comma 24" xfId="57"/>
    <cellStyle name="Comma 24 2" xfId="6"/>
    <cellStyle name="Comma 24 2 2" xfId="58"/>
    <cellStyle name="Comma 24 2 3" xfId="59"/>
    <cellStyle name="Comma 24 4" xfId="60"/>
    <cellStyle name="Comma 24 6" xfId="61"/>
    <cellStyle name="Comma 25" xfId="62"/>
    <cellStyle name="Comma 26" xfId="63"/>
    <cellStyle name="Comma 27" xfId="64"/>
    <cellStyle name="Comma 27 2" xfId="65"/>
    <cellStyle name="Comma 28" xfId="66"/>
    <cellStyle name="Comma 29" xfId="67"/>
    <cellStyle name="Comma 294" xfId="68"/>
    <cellStyle name="Comma 3" xfId="69"/>
    <cellStyle name="Comma 3 2" xfId="70"/>
    <cellStyle name="Comma 3 2 2" xfId="71"/>
    <cellStyle name="Comma 3 2 3" xfId="72"/>
    <cellStyle name="Comma 3 3" xfId="73"/>
    <cellStyle name="Comma 3 4" xfId="74"/>
    <cellStyle name="Comma 30" xfId="75"/>
    <cellStyle name="Comma 30 2" xfId="76"/>
    <cellStyle name="Comma 31" xfId="77"/>
    <cellStyle name="Comma 32" xfId="78"/>
    <cellStyle name="Comma 33" xfId="79"/>
    <cellStyle name="Comma 34" xfId="80"/>
    <cellStyle name="Comma 34 2" xfId="81"/>
    <cellStyle name="Comma 35" xfId="82"/>
    <cellStyle name="Comma 36" xfId="83"/>
    <cellStyle name="Comma 37" xfId="84"/>
    <cellStyle name="Comma 38" xfId="85"/>
    <cellStyle name="Comma 39" xfId="86"/>
    <cellStyle name="Comma 4" xfId="87"/>
    <cellStyle name="Comma 4 2" xfId="88"/>
    <cellStyle name="Comma 4 3" xfId="89"/>
    <cellStyle name="Comma 4 4" xfId="90"/>
    <cellStyle name="Comma 40" xfId="91"/>
    <cellStyle name="Comma 41" xfId="92"/>
    <cellStyle name="Comma 42" xfId="93"/>
    <cellStyle name="Comma 43" xfId="94"/>
    <cellStyle name="Comma 44" xfId="95"/>
    <cellStyle name="Comma 45" xfId="96"/>
    <cellStyle name="Comma 46" xfId="97"/>
    <cellStyle name="Comma 47" xfId="98"/>
    <cellStyle name="Comma 5" xfId="99"/>
    <cellStyle name="Comma 5 2" xfId="100"/>
    <cellStyle name="Comma 5 3" xfId="101"/>
    <cellStyle name="Comma 5 4" xfId="102"/>
    <cellStyle name="Comma 6" xfId="103"/>
    <cellStyle name="Comma 6 2" xfId="104"/>
    <cellStyle name="Comma 6 3" xfId="105"/>
    <cellStyle name="Comma 7" xfId="106"/>
    <cellStyle name="Comma 7 2" xfId="107"/>
    <cellStyle name="Comma 7 3" xfId="108"/>
    <cellStyle name="Comma 78 6" xfId="109"/>
    <cellStyle name="Comma 8" xfId="110"/>
    <cellStyle name="Comma 8 2" xfId="111"/>
    <cellStyle name="Comma 8 3" xfId="112"/>
    <cellStyle name="Comma 9" xfId="113"/>
    <cellStyle name="Comma 9 2" xfId="114"/>
    <cellStyle name="Comma 9 3" xfId="115"/>
    <cellStyle name="Hyperlink 2" xfId="116"/>
    <cellStyle name="Hyperlink 3" xfId="117"/>
    <cellStyle name="Hyperlink 4" xfId="118"/>
    <cellStyle name="Normal" xfId="0" builtinId="0"/>
    <cellStyle name="Normal 10" xfId="119"/>
    <cellStyle name="Normal 11" xfId="120"/>
    <cellStyle name="Normal 12" xfId="121"/>
    <cellStyle name="Normal 13" xfId="122"/>
    <cellStyle name="Normal 14" xfId="123"/>
    <cellStyle name="Normal 15" xfId="124"/>
    <cellStyle name="Normal 16" xfId="125"/>
    <cellStyle name="Normal 17" xfId="126"/>
    <cellStyle name="Normal 18" xfId="127"/>
    <cellStyle name="Normal 19" xfId="128"/>
    <cellStyle name="Normal 2" xfId="129"/>
    <cellStyle name="Normal 2 2" xfId="130"/>
    <cellStyle name="Normal 2 2 2" xfId="7"/>
    <cellStyle name="Normal 2 2 3" xfId="131"/>
    <cellStyle name="Normal 2 3" xfId="132"/>
    <cellStyle name="Normal 20" xfId="133"/>
    <cellStyle name="Normal 21" xfId="134"/>
    <cellStyle name="Normal 22" xfId="135"/>
    <cellStyle name="Normal 23" xfId="136"/>
    <cellStyle name="Normal 24" xfId="137"/>
    <cellStyle name="Normal 25" xfId="138"/>
    <cellStyle name="Normal 3" xfId="139"/>
    <cellStyle name="Normal 3 2" xfId="140"/>
    <cellStyle name="Normal 3 3" xfId="141"/>
    <cellStyle name="Normal 3 4" xfId="142"/>
    <cellStyle name="Normal 4" xfId="143"/>
    <cellStyle name="Normal 4 2" xfId="144"/>
    <cellStyle name="Normal 4 3" xfId="145"/>
    <cellStyle name="Normal 5" xfId="146"/>
    <cellStyle name="Normal 6" xfId="147"/>
    <cellStyle name="Normal 7" xfId="148"/>
    <cellStyle name="Normal 8" xfId="149"/>
    <cellStyle name="Normal 9" xfId="150"/>
    <cellStyle name="Percent" xfId="2" builtinId="5"/>
    <cellStyle name="Percent 2" xfId="151"/>
    <cellStyle name="Percent 3" xfId="152"/>
    <cellStyle name="Percent 4" xfId="4"/>
    <cellStyle name="S0" xfId="8"/>
    <cellStyle name="S0 10" xfId="153"/>
    <cellStyle name="S0 100" xfId="154"/>
    <cellStyle name="S0 101" xfId="155"/>
    <cellStyle name="S0 102" xfId="156"/>
    <cellStyle name="S0 103" xfId="157"/>
    <cellStyle name="S0 104" xfId="158"/>
    <cellStyle name="S0 105" xfId="159"/>
    <cellStyle name="S0 106" xfId="160"/>
    <cellStyle name="S0 107" xfId="161"/>
    <cellStyle name="S0 108" xfId="162"/>
    <cellStyle name="S0 109" xfId="163"/>
    <cellStyle name="S0 11" xfId="164"/>
    <cellStyle name="S0 110" xfId="165"/>
    <cellStyle name="S0 111" xfId="166"/>
    <cellStyle name="S0 112" xfId="167"/>
    <cellStyle name="S0 113" xfId="168"/>
    <cellStyle name="S0 114" xfId="169"/>
    <cellStyle name="S0 115" xfId="170"/>
    <cellStyle name="S0 116" xfId="171"/>
    <cellStyle name="S0 117" xfId="172"/>
    <cellStyle name="S0 118" xfId="173"/>
    <cellStyle name="S0 119" xfId="174"/>
    <cellStyle name="S0 12" xfId="175"/>
    <cellStyle name="S0 120" xfId="176"/>
    <cellStyle name="S0 121" xfId="177"/>
    <cellStyle name="S0 122" xfId="178"/>
    <cellStyle name="S0 123" xfId="179"/>
    <cellStyle name="S0 124" xfId="180"/>
    <cellStyle name="S0 125" xfId="181"/>
    <cellStyle name="S0 126" xfId="182"/>
    <cellStyle name="S0 127" xfId="183"/>
    <cellStyle name="S0 128" xfId="184"/>
    <cellStyle name="S0 129" xfId="185"/>
    <cellStyle name="S0 13" xfId="186"/>
    <cellStyle name="S0 130" xfId="187"/>
    <cellStyle name="S0 131" xfId="188"/>
    <cellStyle name="S0 132" xfId="189"/>
    <cellStyle name="S0 133" xfId="190"/>
    <cellStyle name="S0 134" xfId="191"/>
    <cellStyle name="S0 135" xfId="192"/>
    <cellStyle name="S0 136" xfId="193"/>
    <cellStyle name="S0 137" xfId="194"/>
    <cellStyle name="S0 138" xfId="195"/>
    <cellStyle name="S0 139" xfId="196"/>
    <cellStyle name="S0 14" xfId="197"/>
    <cellStyle name="S0 140" xfId="198"/>
    <cellStyle name="S0 141" xfId="199"/>
    <cellStyle name="S0 142" xfId="200"/>
    <cellStyle name="S0 143" xfId="201"/>
    <cellStyle name="S0 144" xfId="202"/>
    <cellStyle name="S0 145" xfId="203"/>
    <cellStyle name="S0 146" xfId="204"/>
    <cellStyle name="S0 147" xfId="205"/>
    <cellStyle name="S0 148" xfId="206"/>
    <cellStyle name="S0 149" xfId="207"/>
    <cellStyle name="S0 15" xfId="208"/>
    <cellStyle name="S0 150" xfId="209"/>
    <cellStyle name="S0 151" xfId="210"/>
    <cellStyle name="S0 152" xfId="211"/>
    <cellStyle name="S0 153" xfId="212"/>
    <cellStyle name="S0 154" xfId="213"/>
    <cellStyle name="S0 155" xfId="214"/>
    <cellStyle name="S0 156" xfId="215"/>
    <cellStyle name="S0 157" xfId="216"/>
    <cellStyle name="S0 158" xfId="217"/>
    <cellStyle name="S0 159" xfId="218"/>
    <cellStyle name="S0 16" xfId="219"/>
    <cellStyle name="S0 160" xfId="220"/>
    <cellStyle name="S0 161" xfId="221"/>
    <cellStyle name="S0 162" xfId="222"/>
    <cellStyle name="S0 163" xfId="223"/>
    <cellStyle name="S0 164" xfId="224"/>
    <cellStyle name="S0 165" xfId="225"/>
    <cellStyle name="S0 166" xfId="226"/>
    <cellStyle name="S0 167" xfId="227"/>
    <cellStyle name="S0 168" xfId="228"/>
    <cellStyle name="S0 169" xfId="229"/>
    <cellStyle name="S0 17" xfId="230"/>
    <cellStyle name="S0 170" xfId="231"/>
    <cellStyle name="S0 171" xfId="232"/>
    <cellStyle name="S0 172" xfId="233"/>
    <cellStyle name="S0 173" xfId="234"/>
    <cellStyle name="S0 174" xfId="235"/>
    <cellStyle name="S0 175" xfId="236"/>
    <cellStyle name="S0 176" xfId="237"/>
    <cellStyle name="S0 177" xfId="238"/>
    <cellStyle name="S0 178" xfId="239"/>
    <cellStyle name="S0 179" xfId="240"/>
    <cellStyle name="S0 18" xfId="241"/>
    <cellStyle name="S0 180" xfId="242"/>
    <cellStyle name="S0 181" xfId="243"/>
    <cellStyle name="S0 182" xfId="244"/>
    <cellStyle name="S0 183" xfId="245"/>
    <cellStyle name="S0 184" xfId="246"/>
    <cellStyle name="S0 185" xfId="247"/>
    <cellStyle name="S0 186" xfId="248"/>
    <cellStyle name="S0 187" xfId="249"/>
    <cellStyle name="S0 188" xfId="250"/>
    <cellStyle name="S0 189" xfId="251"/>
    <cellStyle name="S0 19" xfId="252"/>
    <cellStyle name="S0 190" xfId="253"/>
    <cellStyle name="S0 191" xfId="254"/>
    <cellStyle name="S0 192" xfId="255"/>
    <cellStyle name="S0 193" xfId="256"/>
    <cellStyle name="S0 194" xfId="257"/>
    <cellStyle name="S0 195" xfId="258"/>
    <cellStyle name="S0 196" xfId="259"/>
    <cellStyle name="S0 197" xfId="260"/>
    <cellStyle name="S0 198" xfId="261"/>
    <cellStyle name="S0 199" xfId="262"/>
    <cellStyle name="S0 2" xfId="263"/>
    <cellStyle name="S0 20" xfId="264"/>
    <cellStyle name="S0 200" xfId="265"/>
    <cellStyle name="S0 201" xfId="266"/>
    <cellStyle name="S0 202" xfId="267"/>
    <cellStyle name="S0 203" xfId="268"/>
    <cellStyle name="S0 204" xfId="269"/>
    <cellStyle name="S0 205" xfId="270"/>
    <cellStyle name="S0 206" xfId="271"/>
    <cellStyle name="S0 207" xfId="272"/>
    <cellStyle name="S0 208" xfId="273"/>
    <cellStyle name="S0 209" xfId="274"/>
    <cellStyle name="S0 21" xfId="275"/>
    <cellStyle name="S0 210" xfId="276"/>
    <cellStyle name="S0 211" xfId="277"/>
    <cellStyle name="S0 212" xfId="278"/>
    <cellStyle name="S0 213" xfId="279"/>
    <cellStyle name="S0 214" xfId="280"/>
    <cellStyle name="S0 215" xfId="281"/>
    <cellStyle name="S0 216" xfId="282"/>
    <cellStyle name="S0 217" xfId="283"/>
    <cellStyle name="S0 218" xfId="284"/>
    <cellStyle name="S0 219" xfId="285"/>
    <cellStyle name="S0 22" xfId="286"/>
    <cellStyle name="S0 220" xfId="287"/>
    <cellStyle name="S0 221" xfId="288"/>
    <cellStyle name="S0 222" xfId="289"/>
    <cellStyle name="S0 223" xfId="290"/>
    <cellStyle name="S0 224" xfId="291"/>
    <cellStyle name="S0 225" xfId="292"/>
    <cellStyle name="S0 226" xfId="293"/>
    <cellStyle name="S0 227" xfId="294"/>
    <cellStyle name="S0 228" xfId="295"/>
    <cellStyle name="S0 229" xfId="296"/>
    <cellStyle name="S0 23" xfId="297"/>
    <cellStyle name="S0 230" xfId="298"/>
    <cellStyle name="S0 231" xfId="299"/>
    <cellStyle name="S0 232" xfId="300"/>
    <cellStyle name="S0 233" xfId="301"/>
    <cellStyle name="S0 234" xfId="302"/>
    <cellStyle name="S0 235" xfId="303"/>
    <cellStyle name="S0 236" xfId="304"/>
    <cellStyle name="S0 237" xfId="305"/>
    <cellStyle name="S0 238" xfId="306"/>
    <cellStyle name="S0 239" xfId="307"/>
    <cellStyle name="S0 24" xfId="308"/>
    <cellStyle name="S0 240" xfId="309"/>
    <cellStyle name="S0 241" xfId="310"/>
    <cellStyle name="S0 242" xfId="311"/>
    <cellStyle name="S0 243" xfId="312"/>
    <cellStyle name="S0 244" xfId="313"/>
    <cellStyle name="S0 245" xfId="314"/>
    <cellStyle name="S0 246" xfId="315"/>
    <cellStyle name="S0 247" xfId="316"/>
    <cellStyle name="S0 248" xfId="317"/>
    <cellStyle name="S0 249" xfId="318"/>
    <cellStyle name="S0 25" xfId="319"/>
    <cellStyle name="S0 250" xfId="320"/>
    <cellStyle name="S0 251" xfId="321"/>
    <cellStyle name="S0 252" xfId="322"/>
    <cellStyle name="S0 253" xfId="323"/>
    <cellStyle name="S0 254" xfId="324"/>
    <cellStyle name="S0 255" xfId="325"/>
    <cellStyle name="S0 256" xfId="326"/>
    <cellStyle name="S0 257" xfId="327"/>
    <cellStyle name="S0 258" xfId="328"/>
    <cellStyle name="S0 259" xfId="329"/>
    <cellStyle name="S0 26" xfId="330"/>
    <cellStyle name="S0 260" xfId="331"/>
    <cellStyle name="S0 261" xfId="332"/>
    <cellStyle name="S0 262" xfId="333"/>
    <cellStyle name="S0 263" xfId="334"/>
    <cellStyle name="S0 264" xfId="335"/>
    <cellStyle name="S0 265" xfId="336"/>
    <cellStyle name="S0 266" xfId="337"/>
    <cellStyle name="S0 266 2" xfId="338"/>
    <cellStyle name="S0 267" xfId="339"/>
    <cellStyle name="S0 268" xfId="340"/>
    <cellStyle name="S0 27" xfId="341"/>
    <cellStyle name="S0 28" xfId="342"/>
    <cellStyle name="S0 29" xfId="343"/>
    <cellStyle name="S0 3" xfId="344"/>
    <cellStyle name="S0 30" xfId="345"/>
    <cellStyle name="S0 31" xfId="346"/>
    <cellStyle name="S0 32" xfId="347"/>
    <cellStyle name="S0 33" xfId="348"/>
    <cellStyle name="S0 34" xfId="349"/>
    <cellStyle name="S0 35" xfId="350"/>
    <cellStyle name="S0 36" xfId="351"/>
    <cellStyle name="S0 37" xfId="352"/>
    <cellStyle name="S0 38" xfId="353"/>
    <cellStyle name="S0 39" xfId="354"/>
    <cellStyle name="S0 4" xfId="355"/>
    <cellStyle name="S0 40" xfId="356"/>
    <cellStyle name="S0 41" xfId="357"/>
    <cellStyle name="S0 42" xfId="358"/>
    <cellStyle name="S0 43" xfId="359"/>
    <cellStyle name="S0 44" xfId="360"/>
    <cellStyle name="S0 45" xfId="361"/>
    <cellStyle name="S0 46" xfId="362"/>
    <cellStyle name="S0 47" xfId="363"/>
    <cellStyle name="S0 48" xfId="364"/>
    <cellStyle name="S0 49" xfId="365"/>
    <cellStyle name="S0 5" xfId="366"/>
    <cellStyle name="S0 50" xfId="367"/>
    <cellStyle name="S0 51" xfId="368"/>
    <cellStyle name="S0 52" xfId="369"/>
    <cellStyle name="S0 53" xfId="370"/>
    <cellStyle name="S0 54" xfId="371"/>
    <cellStyle name="S0 55" xfId="372"/>
    <cellStyle name="S0 56" xfId="373"/>
    <cellStyle name="S0 57" xfId="374"/>
    <cellStyle name="S0 58" xfId="375"/>
    <cellStyle name="S0 59" xfId="376"/>
    <cellStyle name="S0 6" xfId="377"/>
    <cellStyle name="S0 60" xfId="378"/>
    <cellStyle name="S0 61" xfId="379"/>
    <cellStyle name="S0 62" xfId="380"/>
    <cellStyle name="S0 63" xfId="381"/>
    <cellStyle name="S0 64" xfId="382"/>
    <cellStyle name="S0 65" xfId="383"/>
    <cellStyle name="S0 66" xfId="384"/>
    <cellStyle name="S0 67" xfId="385"/>
    <cellStyle name="S0 68" xfId="386"/>
    <cellStyle name="S0 69" xfId="387"/>
    <cellStyle name="S0 7" xfId="388"/>
    <cellStyle name="S0 70" xfId="389"/>
    <cellStyle name="S0 71" xfId="390"/>
    <cellStyle name="S0 72" xfId="391"/>
    <cellStyle name="S0 73" xfId="392"/>
    <cellStyle name="S0 74" xfId="393"/>
    <cellStyle name="S0 75" xfId="394"/>
    <cellStyle name="S0 76" xfId="395"/>
    <cellStyle name="S0 77" xfId="396"/>
    <cellStyle name="S0 78" xfId="397"/>
    <cellStyle name="S0 79" xfId="398"/>
    <cellStyle name="S0 8" xfId="399"/>
    <cellStyle name="S0 80" xfId="400"/>
    <cellStyle name="S0 81" xfId="401"/>
    <cellStyle name="S0 82" xfId="402"/>
    <cellStyle name="S0 83" xfId="403"/>
    <cellStyle name="S0 84" xfId="404"/>
    <cellStyle name="S0 85" xfId="405"/>
    <cellStyle name="S0 86" xfId="406"/>
    <cellStyle name="S0 87" xfId="407"/>
    <cellStyle name="S0 88" xfId="408"/>
    <cellStyle name="S0 89" xfId="409"/>
    <cellStyle name="S0 9" xfId="410"/>
    <cellStyle name="S0 90" xfId="411"/>
    <cellStyle name="S0 91" xfId="412"/>
    <cellStyle name="S0 92" xfId="413"/>
    <cellStyle name="S0 93" xfId="414"/>
    <cellStyle name="S0 94" xfId="415"/>
    <cellStyle name="S0 95" xfId="416"/>
    <cellStyle name="S0 96" xfId="417"/>
    <cellStyle name="S0 97" xfId="418"/>
    <cellStyle name="S0 98" xfId="419"/>
    <cellStyle name="S0 99" xfId="420"/>
    <cellStyle name="S0_Pembelian" xfId="421"/>
    <cellStyle name="S1" xfId="422"/>
    <cellStyle name="S1 10" xfId="423"/>
    <cellStyle name="S1 100" xfId="424"/>
    <cellStyle name="S1 101" xfId="425"/>
    <cellStyle name="S1 102" xfId="426"/>
    <cellStyle name="S1 103" xfId="427"/>
    <cellStyle name="S1 104" xfId="428"/>
    <cellStyle name="S1 105" xfId="429"/>
    <cellStyle name="S1 106" xfId="430"/>
    <cellStyle name="S1 107" xfId="431"/>
    <cellStyle name="S1 108" xfId="432"/>
    <cellStyle name="S1 109" xfId="433"/>
    <cellStyle name="S1 11" xfId="434"/>
    <cellStyle name="S1 110" xfId="435"/>
    <cellStyle name="S1 111" xfId="436"/>
    <cellStyle name="S1 112" xfId="437"/>
    <cellStyle name="S1 113" xfId="438"/>
    <cellStyle name="S1 114" xfId="439"/>
    <cellStyle name="S1 115" xfId="440"/>
    <cellStyle name="S1 116" xfId="441"/>
    <cellStyle name="S1 117" xfId="442"/>
    <cellStyle name="S1 118" xfId="443"/>
    <cellStyle name="S1 119" xfId="444"/>
    <cellStyle name="S1 12" xfId="445"/>
    <cellStyle name="S1 120" xfId="446"/>
    <cellStyle name="S1 121" xfId="447"/>
    <cellStyle name="S1 122" xfId="448"/>
    <cellStyle name="S1 123" xfId="449"/>
    <cellStyle name="S1 124" xfId="450"/>
    <cellStyle name="S1 125" xfId="451"/>
    <cellStyle name="S1 126" xfId="452"/>
    <cellStyle name="S1 127" xfId="453"/>
    <cellStyle name="S1 128" xfId="454"/>
    <cellStyle name="S1 129" xfId="455"/>
    <cellStyle name="S1 13" xfId="456"/>
    <cellStyle name="S1 130" xfId="457"/>
    <cellStyle name="S1 131" xfId="458"/>
    <cellStyle name="S1 132" xfId="459"/>
    <cellStyle name="S1 133" xfId="460"/>
    <cellStyle name="S1 134" xfId="461"/>
    <cellStyle name="S1 135" xfId="462"/>
    <cellStyle name="S1 136" xfId="463"/>
    <cellStyle name="S1 137" xfId="464"/>
    <cellStyle name="S1 138" xfId="465"/>
    <cellStyle name="S1 139" xfId="466"/>
    <cellStyle name="S1 14" xfId="467"/>
    <cellStyle name="S1 140" xfId="468"/>
    <cellStyle name="S1 141" xfId="469"/>
    <cellStyle name="S1 142" xfId="470"/>
    <cellStyle name="S1 143" xfId="471"/>
    <cellStyle name="S1 144" xfId="472"/>
    <cellStyle name="S1 145" xfId="473"/>
    <cellStyle name="S1 146" xfId="474"/>
    <cellStyle name="S1 147" xfId="475"/>
    <cellStyle name="S1 148" xfId="476"/>
    <cellStyle name="S1 149" xfId="477"/>
    <cellStyle name="S1 15" xfId="478"/>
    <cellStyle name="S1 150" xfId="479"/>
    <cellStyle name="S1 151" xfId="480"/>
    <cellStyle name="S1 152" xfId="481"/>
    <cellStyle name="S1 153" xfId="482"/>
    <cellStyle name="S1 154" xfId="483"/>
    <cellStyle name="S1 155" xfId="484"/>
    <cellStyle name="S1 156" xfId="485"/>
    <cellStyle name="S1 157" xfId="486"/>
    <cellStyle name="S1 158" xfId="487"/>
    <cellStyle name="S1 159" xfId="488"/>
    <cellStyle name="S1 16" xfId="489"/>
    <cellStyle name="S1 160" xfId="490"/>
    <cellStyle name="S1 161" xfId="491"/>
    <cellStyle name="S1 162" xfId="492"/>
    <cellStyle name="S1 163" xfId="493"/>
    <cellStyle name="S1 164" xfId="494"/>
    <cellStyle name="S1 165" xfId="495"/>
    <cellStyle name="S1 166" xfId="496"/>
    <cellStyle name="S1 167" xfId="497"/>
    <cellStyle name="S1 168" xfId="498"/>
    <cellStyle name="S1 169" xfId="499"/>
    <cellStyle name="S1 17" xfId="500"/>
    <cellStyle name="S1 170" xfId="501"/>
    <cellStyle name="S1 171" xfId="502"/>
    <cellStyle name="S1 172" xfId="503"/>
    <cellStyle name="S1 173" xfId="504"/>
    <cellStyle name="S1 174" xfId="505"/>
    <cellStyle name="S1 175" xfId="506"/>
    <cellStyle name="S1 176" xfId="507"/>
    <cellStyle name="S1 177" xfId="508"/>
    <cellStyle name="S1 178" xfId="509"/>
    <cellStyle name="S1 179" xfId="510"/>
    <cellStyle name="S1 18" xfId="511"/>
    <cellStyle name="S1 180" xfId="512"/>
    <cellStyle name="S1 181" xfId="513"/>
    <cellStyle name="S1 182" xfId="514"/>
    <cellStyle name="S1 183" xfId="515"/>
    <cellStyle name="S1 184" xfId="516"/>
    <cellStyle name="S1 185" xfId="517"/>
    <cellStyle name="S1 186" xfId="518"/>
    <cellStyle name="S1 187" xfId="519"/>
    <cellStyle name="S1 188" xfId="520"/>
    <cellStyle name="S1 189" xfId="521"/>
    <cellStyle name="S1 19" xfId="522"/>
    <cellStyle name="S1 190" xfId="523"/>
    <cellStyle name="S1 191" xfId="524"/>
    <cellStyle name="S1 192" xfId="525"/>
    <cellStyle name="S1 193" xfId="526"/>
    <cellStyle name="S1 194" xfId="527"/>
    <cellStyle name="S1 195" xfId="528"/>
    <cellStyle name="S1 196" xfId="529"/>
    <cellStyle name="S1 197" xfId="530"/>
    <cellStyle name="S1 198" xfId="531"/>
    <cellStyle name="S1 199" xfId="532"/>
    <cellStyle name="S1 2" xfId="533"/>
    <cellStyle name="S1 20" xfId="534"/>
    <cellStyle name="S1 200" xfId="535"/>
    <cellStyle name="S1 201" xfId="536"/>
    <cellStyle name="S1 202" xfId="537"/>
    <cellStyle name="S1 203" xfId="538"/>
    <cellStyle name="S1 204" xfId="539"/>
    <cellStyle name="S1 205" xfId="540"/>
    <cellStyle name="S1 206" xfId="541"/>
    <cellStyle name="S1 207" xfId="542"/>
    <cellStyle name="S1 208" xfId="543"/>
    <cellStyle name="S1 209" xfId="544"/>
    <cellStyle name="S1 21" xfId="545"/>
    <cellStyle name="S1 210" xfId="546"/>
    <cellStyle name="S1 211" xfId="547"/>
    <cellStyle name="S1 212" xfId="548"/>
    <cellStyle name="S1 213" xfId="549"/>
    <cellStyle name="S1 214" xfId="550"/>
    <cellStyle name="S1 215" xfId="551"/>
    <cellStyle name="S1 216" xfId="552"/>
    <cellStyle name="S1 217" xfId="553"/>
    <cellStyle name="S1 218" xfId="554"/>
    <cellStyle name="S1 219" xfId="555"/>
    <cellStyle name="S1 22" xfId="556"/>
    <cellStyle name="S1 220" xfId="557"/>
    <cellStyle name="S1 221" xfId="558"/>
    <cellStyle name="S1 222" xfId="559"/>
    <cellStyle name="S1 223" xfId="560"/>
    <cellStyle name="S1 224" xfId="561"/>
    <cellStyle name="S1 225" xfId="562"/>
    <cellStyle name="S1 226" xfId="563"/>
    <cellStyle name="S1 227" xfId="564"/>
    <cellStyle name="S1 228" xfId="565"/>
    <cellStyle name="S1 229" xfId="566"/>
    <cellStyle name="S1 23" xfId="567"/>
    <cellStyle name="S1 230" xfId="568"/>
    <cellStyle name="S1 231" xfId="569"/>
    <cellStyle name="S1 232" xfId="570"/>
    <cellStyle name="S1 233" xfId="571"/>
    <cellStyle name="S1 234" xfId="572"/>
    <cellStyle name="S1 235" xfId="573"/>
    <cellStyle name="S1 236" xfId="574"/>
    <cellStyle name="S1 237" xfId="575"/>
    <cellStyle name="S1 238" xfId="576"/>
    <cellStyle name="S1 239" xfId="577"/>
    <cellStyle name="S1 24" xfId="578"/>
    <cellStyle name="S1 240" xfId="579"/>
    <cellStyle name="S1 241" xfId="580"/>
    <cellStyle name="S1 242" xfId="581"/>
    <cellStyle name="S1 243" xfId="582"/>
    <cellStyle name="S1 244" xfId="583"/>
    <cellStyle name="S1 245" xfId="584"/>
    <cellStyle name="S1 246" xfId="585"/>
    <cellStyle name="S1 247" xfId="586"/>
    <cellStyle name="S1 248" xfId="587"/>
    <cellStyle name="S1 249" xfId="588"/>
    <cellStyle name="S1 25" xfId="589"/>
    <cellStyle name="S1 250" xfId="590"/>
    <cellStyle name="S1 251" xfId="591"/>
    <cellStyle name="S1 252" xfId="592"/>
    <cellStyle name="S1 253" xfId="593"/>
    <cellStyle name="S1 254" xfId="594"/>
    <cellStyle name="S1 255" xfId="595"/>
    <cellStyle name="S1 256" xfId="596"/>
    <cellStyle name="S1 257" xfId="597"/>
    <cellStyle name="S1 258" xfId="598"/>
    <cellStyle name="S1 259" xfId="599"/>
    <cellStyle name="S1 26" xfId="600"/>
    <cellStyle name="S1 260" xfId="601"/>
    <cellStyle name="S1 261" xfId="602"/>
    <cellStyle name="S1 262" xfId="603"/>
    <cellStyle name="S1 263" xfId="604"/>
    <cellStyle name="S1 264" xfId="605"/>
    <cellStyle name="S1 265" xfId="606"/>
    <cellStyle name="S1 265 2" xfId="607"/>
    <cellStyle name="S1 266" xfId="608"/>
    <cellStyle name="S1 267" xfId="609"/>
    <cellStyle name="S1 27" xfId="610"/>
    <cellStyle name="S1 28" xfId="611"/>
    <cellStyle name="S1 29" xfId="612"/>
    <cellStyle name="S1 3" xfId="613"/>
    <cellStyle name="S1 30" xfId="614"/>
    <cellStyle name="S1 31" xfId="615"/>
    <cellStyle name="S1 32" xfId="616"/>
    <cellStyle name="S1 33" xfId="617"/>
    <cellStyle name="S1 34" xfId="618"/>
    <cellStyle name="S1 35" xfId="619"/>
    <cellStyle name="S1 36" xfId="620"/>
    <cellStyle name="S1 37" xfId="621"/>
    <cellStyle name="S1 38" xfId="622"/>
    <cellStyle name="S1 39" xfId="623"/>
    <cellStyle name="S1 4" xfId="624"/>
    <cellStyle name="S1 40" xfId="625"/>
    <cellStyle name="S1 41" xfId="626"/>
    <cellStyle name="S1 42" xfId="627"/>
    <cellStyle name="S1 43" xfId="628"/>
    <cellStyle name="S1 44" xfId="629"/>
    <cellStyle name="S1 45" xfId="630"/>
    <cellStyle name="S1 46" xfId="631"/>
    <cellStyle name="S1 47" xfId="632"/>
    <cellStyle name="S1 48" xfId="633"/>
    <cellStyle name="S1 49" xfId="634"/>
    <cellStyle name="S1 5" xfId="635"/>
    <cellStyle name="S1 50" xfId="636"/>
    <cellStyle name="S1 51" xfId="637"/>
    <cellStyle name="S1 52" xfId="638"/>
    <cellStyle name="S1 53" xfId="639"/>
    <cellStyle name="S1 54" xfId="640"/>
    <cellStyle name="S1 55" xfId="641"/>
    <cellStyle name="S1 56" xfId="642"/>
    <cellStyle name="S1 57" xfId="643"/>
    <cellStyle name="S1 58" xfId="644"/>
    <cellStyle name="S1 59" xfId="645"/>
    <cellStyle name="S1 6" xfId="646"/>
    <cellStyle name="S1 60" xfId="647"/>
    <cellStyle name="S1 61" xfId="648"/>
    <cellStyle name="S1 62" xfId="649"/>
    <cellStyle name="S1 63" xfId="650"/>
    <cellStyle name="S1 64" xfId="651"/>
    <cellStyle name="S1 65" xfId="652"/>
    <cellStyle name="S1 66" xfId="653"/>
    <cellStyle name="S1 67" xfId="654"/>
    <cellStyle name="S1 68" xfId="655"/>
    <cellStyle name="S1 69" xfId="656"/>
    <cellStyle name="S1 7" xfId="657"/>
    <cellStyle name="S1 70" xfId="658"/>
    <cellStyle name="S1 71" xfId="659"/>
    <cellStyle name="S1 72" xfId="660"/>
    <cellStyle name="S1 73" xfId="661"/>
    <cellStyle name="S1 74" xfId="662"/>
    <cellStyle name="S1 75" xfId="663"/>
    <cellStyle name="S1 76" xfId="664"/>
    <cellStyle name="S1 77" xfId="665"/>
    <cellStyle name="S1 78" xfId="666"/>
    <cellStyle name="S1 79" xfId="667"/>
    <cellStyle name="S1 8" xfId="668"/>
    <cellStyle name="S1 80" xfId="669"/>
    <cellStyle name="S1 81" xfId="670"/>
    <cellStyle name="S1 82" xfId="671"/>
    <cellStyle name="S1 83" xfId="672"/>
    <cellStyle name="S1 84" xfId="673"/>
    <cellStyle name="S1 85" xfId="674"/>
    <cellStyle name="S1 86" xfId="675"/>
    <cellStyle name="S1 87" xfId="676"/>
    <cellStyle name="S1 88" xfId="677"/>
    <cellStyle name="S1 89" xfId="678"/>
    <cellStyle name="S1 9" xfId="679"/>
    <cellStyle name="S1 90" xfId="680"/>
    <cellStyle name="S1 91" xfId="681"/>
    <cellStyle name="S1 92" xfId="682"/>
    <cellStyle name="S1 93" xfId="683"/>
    <cellStyle name="S1 94" xfId="684"/>
    <cellStyle name="S1 95" xfId="685"/>
    <cellStyle name="S1 96" xfId="686"/>
    <cellStyle name="S1 97" xfId="687"/>
    <cellStyle name="S1 98" xfId="688"/>
    <cellStyle name="S1 99" xfId="689"/>
    <cellStyle name="S1_Pembelian" xfId="690"/>
    <cellStyle name="S10" xfId="691"/>
    <cellStyle name="S10 10" xfId="692"/>
    <cellStyle name="S10 11" xfId="693"/>
    <cellStyle name="S10 12" xfId="694"/>
    <cellStyle name="S10 13" xfId="695"/>
    <cellStyle name="S10 13 2" xfId="696"/>
    <cellStyle name="S10 14" xfId="697"/>
    <cellStyle name="S10 15" xfId="698"/>
    <cellStyle name="S10 16" xfId="699"/>
    <cellStyle name="S10 17" xfId="700"/>
    <cellStyle name="S10 18" xfId="701"/>
    <cellStyle name="S10 19" xfId="702"/>
    <cellStyle name="S10 2" xfId="703"/>
    <cellStyle name="S10 3" xfId="704"/>
    <cellStyle name="S10 3 2" xfId="705"/>
    <cellStyle name="S10 4" xfId="706"/>
    <cellStyle name="S10 5" xfId="707"/>
    <cellStyle name="S10 6" xfId="708"/>
    <cellStyle name="S10 7" xfId="709"/>
    <cellStyle name="S10 8" xfId="710"/>
    <cellStyle name="S10 9" xfId="711"/>
    <cellStyle name="S10_Pembelian" xfId="712"/>
    <cellStyle name="S11" xfId="713"/>
    <cellStyle name="S11 10" xfId="714"/>
    <cellStyle name="S11 10 2" xfId="715"/>
    <cellStyle name="S11 11" xfId="716"/>
    <cellStyle name="S11 12" xfId="717"/>
    <cellStyle name="S11 13" xfId="718"/>
    <cellStyle name="S11 14" xfId="719"/>
    <cellStyle name="S11 14 2" xfId="720"/>
    <cellStyle name="S11 15" xfId="721"/>
    <cellStyle name="S11 16" xfId="722"/>
    <cellStyle name="S11 2" xfId="723"/>
    <cellStyle name="S11 3" xfId="724"/>
    <cellStyle name="S11 3 2" xfId="725"/>
    <cellStyle name="S11 4" xfId="726"/>
    <cellStyle name="S11 5" xfId="727"/>
    <cellStyle name="S11 6" xfId="728"/>
    <cellStyle name="S11 7" xfId="729"/>
    <cellStyle name="S11 8" xfId="730"/>
    <cellStyle name="S11 9" xfId="731"/>
    <cellStyle name="S11_Pembelian" xfId="732"/>
    <cellStyle name="S12" xfId="733"/>
    <cellStyle name="S12 10" xfId="734"/>
    <cellStyle name="S12 11" xfId="735"/>
    <cellStyle name="S12 2" xfId="736"/>
    <cellStyle name="S12 3" xfId="737"/>
    <cellStyle name="S12 4" xfId="738"/>
    <cellStyle name="S12 5" xfId="739"/>
    <cellStyle name="S12 6" xfId="740"/>
    <cellStyle name="S12 6 2" xfId="741"/>
    <cellStyle name="S12 7" xfId="742"/>
    <cellStyle name="S12 8" xfId="743"/>
    <cellStyle name="S12 9" xfId="744"/>
    <cellStyle name="S12_Pembelian" xfId="745"/>
    <cellStyle name="S13" xfId="746"/>
    <cellStyle name="S13 10" xfId="747"/>
    <cellStyle name="S13 11" xfId="748"/>
    <cellStyle name="S13 12" xfId="749"/>
    <cellStyle name="S13 2" xfId="750"/>
    <cellStyle name="S13 3" xfId="751"/>
    <cellStyle name="S13 4" xfId="752"/>
    <cellStyle name="S13 4 2" xfId="753"/>
    <cellStyle name="S13 5" xfId="754"/>
    <cellStyle name="S13 6" xfId="755"/>
    <cellStyle name="S13 7" xfId="756"/>
    <cellStyle name="S13 7 2" xfId="757"/>
    <cellStyle name="S13 8" xfId="758"/>
    <cellStyle name="S13 9" xfId="759"/>
    <cellStyle name="S13_Pembelian" xfId="760"/>
    <cellStyle name="S14" xfId="761"/>
    <cellStyle name="S14 10" xfId="762"/>
    <cellStyle name="S14 2" xfId="763"/>
    <cellStyle name="S14 3" xfId="764"/>
    <cellStyle name="S14 3 2" xfId="765"/>
    <cellStyle name="S14 4" xfId="766"/>
    <cellStyle name="S14 5" xfId="767"/>
    <cellStyle name="S14 6" xfId="768"/>
    <cellStyle name="S14 7" xfId="769"/>
    <cellStyle name="S14 8" xfId="770"/>
    <cellStyle name="S14 9" xfId="771"/>
    <cellStyle name="S14_Pembelian" xfId="772"/>
    <cellStyle name="S15" xfId="773"/>
    <cellStyle name="S15 2" xfId="774"/>
    <cellStyle name="S15 3" xfId="775"/>
    <cellStyle name="S15 3 2" xfId="776"/>
    <cellStyle name="S15 4" xfId="777"/>
    <cellStyle name="S15 4 2" xfId="778"/>
    <cellStyle name="S15 5" xfId="779"/>
    <cellStyle name="S15 6" xfId="780"/>
    <cellStyle name="S15 7" xfId="781"/>
    <cellStyle name="S15_Pembelian" xfId="782"/>
    <cellStyle name="S16" xfId="783"/>
    <cellStyle name="S16 2" xfId="784"/>
    <cellStyle name="S16 3" xfId="785"/>
    <cellStyle name="S16 4" xfId="786"/>
    <cellStyle name="S16 5" xfId="787"/>
    <cellStyle name="S16 6" xfId="788"/>
    <cellStyle name="S16_Pembelian" xfId="789"/>
    <cellStyle name="S17" xfId="790"/>
    <cellStyle name="S17 2" xfId="791"/>
    <cellStyle name="S17 3" xfId="792"/>
    <cellStyle name="S17 4" xfId="793"/>
    <cellStyle name="S17_Pembelian" xfId="794"/>
    <cellStyle name="S18" xfId="795"/>
    <cellStyle name="S18 2" xfId="796"/>
    <cellStyle name="S18 3" xfId="797"/>
    <cellStyle name="S18 4" xfId="798"/>
    <cellStyle name="S18_Pembelian" xfId="799"/>
    <cellStyle name="S2" xfId="800"/>
    <cellStyle name="S2 10" xfId="801"/>
    <cellStyle name="S2 100" xfId="802"/>
    <cellStyle name="S2 101" xfId="803"/>
    <cellStyle name="S2 102" xfId="804"/>
    <cellStyle name="S2 103" xfId="805"/>
    <cellStyle name="S2 104" xfId="806"/>
    <cellStyle name="S2 105" xfId="807"/>
    <cellStyle name="S2 106" xfId="808"/>
    <cellStyle name="S2 107" xfId="809"/>
    <cellStyle name="S2 108" xfId="810"/>
    <cellStyle name="S2 109" xfId="811"/>
    <cellStyle name="S2 11" xfId="812"/>
    <cellStyle name="S2 110" xfId="813"/>
    <cellStyle name="S2 111" xfId="814"/>
    <cellStyle name="S2 112" xfId="815"/>
    <cellStyle name="S2 113" xfId="816"/>
    <cellStyle name="S2 114" xfId="817"/>
    <cellStyle name="S2 115" xfId="818"/>
    <cellStyle name="S2 116" xfId="819"/>
    <cellStyle name="S2 117" xfId="820"/>
    <cellStyle name="S2 118" xfId="821"/>
    <cellStyle name="S2 119" xfId="822"/>
    <cellStyle name="S2 12" xfId="823"/>
    <cellStyle name="S2 120" xfId="824"/>
    <cellStyle name="S2 121" xfId="825"/>
    <cellStyle name="S2 122" xfId="826"/>
    <cellStyle name="S2 123" xfId="827"/>
    <cellStyle name="S2 124" xfId="828"/>
    <cellStyle name="S2 125" xfId="829"/>
    <cellStyle name="S2 126" xfId="830"/>
    <cellStyle name="S2 127" xfId="831"/>
    <cellStyle name="S2 128" xfId="832"/>
    <cellStyle name="S2 129" xfId="833"/>
    <cellStyle name="S2 13" xfId="834"/>
    <cellStyle name="S2 130" xfId="835"/>
    <cellStyle name="S2 131" xfId="836"/>
    <cellStyle name="S2 132" xfId="837"/>
    <cellStyle name="S2 133" xfId="838"/>
    <cellStyle name="S2 134" xfId="839"/>
    <cellStyle name="S2 135" xfId="840"/>
    <cellStyle name="S2 136" xfId="841"/>
    <cellStyle name="S2 137" xfId="842"/>
    <cellStyle name="S2 138" xfId="843"/>
    <cellStyle name="S2 139" xfId="844"/>
    <cellStyle name="S2 14" xfId="845"/>
    <cellStyle name="S2 140" xfId="846"/>
    <cellStyle name="S2 141" xfId="847"/>
    <cellStyle name="S2 142" xfId="848"/>
    <cellStyle name="S2 143" xfId="849"/>
    <cellStyle name="S2 144" xfId="850"/>
    <cellStyle name="S2 145" xfId="851"/>
    <cellStyle name="S2 146" xfId="852"/>
    <cellStyle name="S2 147" xfId="853"/>
    <cellStyle name="S2 148" xfId="854"/>
    <cellStyle name="S2 149" xfId="855"/>
    <cellStyle name="S2 15" xfId="856"/>
    <cellStyle name="S2 150" xfId="857"/>
    <cellStyle name="S2 151" xfId="858"/>
    <cellStyle name="S2 152" xfId="859"/>
    <cellStyle name="S2 153" xfId="860"/>
    <cellStyle name="S2 154" xfId="861"/>
    <cellStyle name="S2 155" xfId="862"/>
    <cellStyle name="S2 156" xfId="863"/>
    <cellStyle name="S2 157" xfId="864"/>
    <cellStyle name="S2 158" xfId="865"/>
    <cellStyle name="S2 159" xfId="866"/>
    <cellStyle name="S2 16" xfId="867"/>
    <cellStyle name="S2 160" xfId="868"/>
    <cellStyle name="S2 161" xfId="869"/>
    <cellStyle name="S2 162" xfId="870"/>
    <cellStyle name="S2 163" xfId="871"/>
    <cellStyle name="S2 164" xfId="872"/>
    <cellStyle name="S2 165" xfId="873"/>
    <cellStyle name="S2 166" xfId="874"/>
    <cellStyle name="S2 167" xfId="875"/>
    <cellStyle name="S2 168" xfId="876"/>
    <cellStyle name="S2 169" xfId="877"/>
    <cellStyle name="S2 17" xfId="878"/>
    <cellStyle name="S2 170" xfId="879"/>
    <cellStyle name="S2 171" xfId="880"/>
    <cellStyle name="S2 172" xfId="881"/>
    <cellStyle name="S2 173" xfId="882"/>
    <cellStyle name="S2 174" xfId="883"/>
    <cellStyle name="S2 175" xfId="884"/>
    <cellStyle name="S2 176" xfId="885"/>
    <cellStyle name="S2 177" xfId="886"/>
    <cellStyle name="S2 178" xfId="887"/>
    <cellStyle name="S2 179" xfId="888"/>
    <cellStyle name="S2 18" xfId="889"/>
    <cellStyle name="S2 180" xfId="890"/>
    <cellStyle name="S2 181" xfId="891"/>
    <cellStyle name="S2 182" xfId="892"/>
    <cellStyle name="S2 183" xfId="893"/>
    <cellStyle name="S2 184" xfId="894"/>
    <cellStyle name="S2 185" xfId="895"/>
    <cellStyle name="S2 186" xfId="896"/>
    <cellStyle name="S2 187" xfId="897"/>
    <cellStyle name="S2 188" xfId="898"/>
    <cellStyle name="S2 189" xfId="899"/>
    <cellStyle name="S2 19" xfId="900"/>
    <cellStyle name="S2 190" xfId="901"/>
    <cellStyle name="S2 191" xfId="902"/>
    <cellStyle name="S2 192" xfId="903"/>
    <cellStyle name="S2 193" xfId="904"/>
    <cellStyle name="S2 194" xfId="905"/>
    <cellStyle name="S2 195" xfId="906"/>
    <cellStyle name="S2 196" xfId="907"/>
    <cellStyle name="S2 197" xfId="908"/>
    <cellStyle name="S2 198" xfId="909"/>
    <cellStyle name="S2 199" xfId="910"/>
    <cellStyle name="S2 2" xfId="911"/>
    <cellStyle name="S2 20" xfId="912"/>
    <cellStyle name="S2 200" xfId="913"/>
    <cellStyle name="S2 201" xfId="914"/>
    <cellStyle name="S2 202" xfId="915"/>
    <cellStyle name="S2 203" xfId="916"/>
    <cellStyle name="S2 204" xfId="917"/>
    <cellStyle name="S2 205" xfId="918"/>
    <cellStyle name="S2 206" xfId="919"/>
    <cellStyle name="S2 207" xfId="920"/>
    <cellStyle name="S2 208" xfId="921"/>
    <cellStyle name="S2 209" xfId="922"/>
    <cellStyle name="S2 21" xfId="923"/>
    <cellStyle name="S2 210" xfId="924"/>
    <cellStyle name="S2 211" xfId="925"/>
    <cellStyle name="S2 212" xfId="926"/>
    <cellStyle name="S2 213" xfId="927"/>
    <cellStyle name="S2 214" xfId="928"/>
    <cellStyle name="S2 215" xfId="929"/>
    <cellStyle name="S2 216" xfId="930"/>
    <cellStyle name="S2 217" xfId="931"/>
    <cellStyle name="S2 218" xfId="932"/>
    <cellStyle name="S2 219" xfId="933"/>
    <cellStyle name="S2 22" xfId="934"/>
    <cellStyle name="S2 220" xfId="935"/>
    <cellStyle name="S2 221" xfId="936"/>
    <cellStyle name="S2 222" xfId="937"/>
    <cellStyle name="S2 223" xfId="938"/>
    <cellStyle name="S2 224" xfId="939"/>
    <cellStyle name="S2 225" xfId="940"/>
    <cellStyle name="S2 226" xfId="941"/>
    <cellStyle name="S2 227" xfId="942"/>
    <cellStyle name="S2 228" xfId="943"/>
    <cellStyle name="S2 229" xfId="944"/>
    <cellStyle name="S2 23" xfId="945"/>
    <cellStyle name="S2 230" xfId="946"/>
    <cellStyle name="S2 231" xfId="947"/>
    <cellStyle name="S2 232" xfId="948"/>
    <cellStyle name="S2 233" xfId="949"/>
    <cellStyle name="S2 234" xfId="950"/>
    <cellStyle name="S2 235" xfId="951"/>
    <cellStyle name="S2 236" xfId="952"/>
    <cellStyle name="S2 237" xfId="953"/>
    <cellStyle name="S2 238" xfId="954"/>
    <cellStyle name="S2 239" xfId="955"/>
    <cellStyle name="S2 24" xfId="956"/>
    <cellStyle name="S2 240" xfId="957"/>
    <cellStyle name="S2 241" xfId="958"/>
    <cellStyle name="S2 242" xfId="959"/>
    <cellStyle name="S2 243" xfId="960"/>
    <cellStyle name="S2 244" xfId="961"/>
    <cellStyle name="S2 245" xfId="962"/>
    <cellStyle name="S2 246" xfId="963"/>
    <cellStyle name="S2 247" xfId="964"/>
    <cellStyle name="S2 248" xfId="965"/>
    <cellStyle name="S2 249" xfId="966"/>
    <cellStyle name="S2 25" xfId="967"/>
    <cellStyle name="S2 250" xfId="968"/>
    <cellStyle name="S2 251" xfId="969"/>
    <cellStyle name="S2 252" xfId="970"/>
    <cellStyle name="S2 253" xfId="971"/>
    <cellStyle name="S2 254" xfId="972"/>
    <cellStyle name="S2 255" xfId="973"/>
    <cellStyle name="S2 256" xfId="974"/>
    <cellStyle name="S2 257" xfId="975"/>
    <cellStyle name="S2 258" xfId="976"/>
    <cellStyle name="S2 259" xfId="977"/>
    <cellStyle name="S2 26" xfId="978"/>
    <cellStyle name="S2 260" xfId="979"/>
    <cellStyle name="S2 261" xfId="980"/>
    <cellStyle name="S2 262" xfId="981"/>
    <cellStyle name="S2 263" xfId="982"/>
    <cellStyle name="S2 264" xfId="983"/>
    <cellStyle name="S2 265" xfId="984"/>
    <cellStyle name="S2 265 2" xfId="985"/>
    <cellStyle name="S2 266" xfId="986"/>
    <cellStyle name="S2 267" xfId="987"/>
    <cellStyle name="S2 27" xfId="988"/>
    <cellStyle name="S2 28" xfId="989"/>
    <cellStyle name="S2 29" xfId="990"/>
    <cellStyle name="S2 3" xfId="991"/>
    <cellStyle name="S2 30" xfId="992"/>
    <cellStyle name="S2 31" xfId="993"/>
    <cellStyle name="S2 32" xfId="994"/>
    <cellStyle name="S2 33" xfId="995"/>
    <cellStyle name="S2 34" xfId="996"/>
    <cellStyle name="S2 35" xfId="997"/>
    <cellStyle name="S2 36" xfId="998"/>
    <cellStyle name="S2 37" xfId="999"/>
    <cellStyle name="S2 38" xfId="1000"/>
    <cellStyle name="S2 39" xfId="1001"/>
    <cellStyle name="S2 4" xfId="1002"/>
    <cellStyle name="S2 40" xfId="1003"/>
    <cellStyle name="S2 41" xfId="1004"/>
    <cellStyle name="S2 42" xfId="1005"/>
    <cellStyle name="S2 43" xfId="1006"/>
    <cellStyle name="S2 44" xfId="1007"/>
    <cellStyle name="S2 45" xfId="1008"/>
    <cellStyle name="S2 46" xfId="1009"/>
    <cellStyle name="S2 47" xfId="1010"/>
    <cellStyle name="S2 48" xfId="1011"/>
    <cellStyle name="S2 49" xfId="1012"/>
    <cellStyle name="S2 5" xfId="1013"/>
    <cellStyle name="S2 50" xfId="1014"/>
    <cellStyle name="S2 51" xfId="1015"/>
    <cellStyle name="S2 52" xfId="1016"/>
    <cellStyle name="S2 53" xfId="1017"/>
    <cellStyle name="S2 54" xfId="1018"/>
    <cellStyle name="S2 55" xfId="1019"/>
    <cellStyle name="S2 56" xfId="1020"/>
    <cellStyle name="S2 57" xfId="1021"/>
    <cellStyle name="S2 58" xfId="1022"/>
    <cellStyle name="S2 59" xfId="1023"/>
    <cellStyle name="S2 6" xfId="1024"/>
    <cellStyle name="S2 60" xfId="1025"/>
    <cellStyle name="S2 61" xfId="1026"/>
    <cellStyle name="S2 62" xfId="1027"/>
    <cellStyle name="S2 63" xfId="1028"/>
    <cellStyle name="S2 64" xfId="1029"/>
    <cellStyle name="S2 65" xfId="1030"/>
    <cellStyle name="S2 66" xfId="1031"/>
    <cellStyle name="S2 67" xfId="1032"/>
    <cellStyle name="S2 68" xfId="1033"/>
    <cellStyle name="S2 69" xfId="1034"/>
    <cellStyle name="S2 7" xfId="1035"/>
    <cellStyle name="S2 70" xfId="1036"/>
    <cellStyle name="S2 71" xfId="1037"/>
    <cellStyle name="S2 72" xfId="1038"/>
    <cellStyle name="S2 73" xfId="1039"/>
    <cellStyle name="S2 74" xfId="1040"/>
    <cellStyle name="S2 75" xfId="1041"/>
    <cellStyle name="S2 76" xfId="1042"/>
    <cellStyle name="S2 77" xfId="1043"/>
    <cellStyle name="S2 78" xfId="1044"/>
    <cellStyle name="S2 79" xfId="1045"/>
    <cellStyle name="S2 8" xfId="1046"/>
    <cellStyle name="S2 80" xfId="1047"/>
    <cellStyle name="S2 81" xfId="1048"/>
    <cellStyle name="S2 82" xfId="1049"/>
    <cellStyle name="S2 83" xfId="1050"/>
    <cellStyle name="S2 84" xfId="1051"/>
    <cellStyle name="S2 85" xfId="1052"/>
    <cellStyle name="S2 86" xfId="1053"/>
    <cellStyle name="S2 87" xfId="1054"/>
    <cellStyle name="S2 88" xfId="1055"/>
    <cellStyle name="S2 89" xfId="1056"/>
    <cellStyle name="S2 9" xfId="1057"/>
    <cellStyle name="S2 90" xfId="1058"/>
    <cellStyle name="S2 91" xfId="1059"/>
    <cellStyle name="S2 92" xfId="1060"/>
    <cellStyle name="S2 93" xfId="1061"/>
    <cellStyle name="S2 94" xfId="1062"/>
    <cellStyle name="S2 95" xfId="1063"/>
    <cellStyle name="S2 96" xfId="1064"/>
    <cellStyle name="S2 97" xfId="1065"/>
    <cellStyle name="S2 98" xfId="1066"/>
    <cellStyle name="S2 99" xfId="1067"/>
    <cellStyle name="S2_Pembelian" xfId="1068"/>
    <cellStyle name="S3" xfId="1069"/>
    <cellStyle name="S3 10" xfId="1070"/>
    <cellStyle name="S3 11" xfId="1071"/>
    <cellStyle name="S3 2" xfId="1072"/>
    <cellStyle name="S3 3" xfId="1073"/>
    <cellStyle name="S3 4" xfId="1074"/>
    <cellStyle name="S3 5" xfId="1075"/>
    <cellStyle name="S3 6" xfId="1076"/>
    <cellStyle name="S3 7" xfId="1077"/>
    <cellStyle name="S3 8" xfId="1078"/>
    <cellStyle name="S3 9" xfId="1079"/>
    <cellStyle name="S3 9 2" xfId="1080"/>
    <cellStyle name="S3_Pembelian" xfId="1081"/>
    <cellStyle name="S4" xfId="1082"/>
    <cellStyle name="S4 10" xfId="1083"/>
    <cellStyle name="S4 11" xfId="1084"/>
    <cellStyle name="S4 12" xfId="1085"/>
    <cellStyle name="S4 12 2" xfId="1086"/>
    <cellStyle name="S4 13" xfId="1087"/>
    <cellStyle name="S4 14" xfId="1088"/>
    <cellStyle name="S4 14 2" xfId="1089"/>
    <cellStyle name="S4 15" xfId="1090"/>
    <cellStyle name="S4 16" xfId="1091"/>
    <cellStyle name="S4 19" xfId="1092"/>
    <cellStyle name="S4 2" xfId="1093"/>
    <cellStyle name="S4 3" xfId="1094"/>
    <cellStyle name="S4 4" xfId="1095"/>
    <cellStyle name="S4 5" xfId="1096"/>
    <cellStyle name="S4 6" xfId="1097"/>
    <cellStyle name="S4 7" xfId="1098"/>
    <cellStyle name="S4 8" xfId="1099"/>
    <cellStyle name="S4 9" xfId="1100"/>
    <cellStyle name="S4 9 2" xfId="1101"/>
    <cellStyle name="S4_Pembelian" xfId="1102"/>
    <cellStyle name="S5" xfId="1103"/>
    <cellStyle name="S5 10" xfId="1104"/>
    <cellStyle name="S5 10 2" xfId="1105"/>
    <cellStyle name="S5 11" xfId="1106"/>
    <cellStyle name="S5 12" xfId="1107"/>
    <cellStyle name="S5 13" xfId="1108"/>
    <cellStyle name="S5 19" xfId="1109"/>
    <cellStyle name="S5 2" xfId="1110"/>
    <cellStyle name="S5 2 2" xfId="1111"/>
    <cellStyle name="S5 3" xfId="1112"/>
    <cellStyle name="S5 3 2" xfId="1113"/>
    <cellStyle name="S5 4" xfId="1114"/>
    <cellStyle name="S5 5" xfId="1115"/>
    <cellStyle name="S5 6" xfId="1116"/>
    <cellStyle name="S5 7" xfId="1117"/>
    <cellStyle name="S5 8" xfId="1118"/>
    <cellStyle name="S5 9" xfId="1119"/>
    <cellStyle name="S5 9 2" xfId="1120"/>
    <cellStyle name="S5_Pembelian" xfId="1121"/>
    <cellStyle name="S6" xfId="1122"/>
    <cellStyle name="S6 10" xfId="1123"/>
    <cellStyle name="S6 11" xfId="1124"/>
    <cellStyle name="S6 11 2" xfId="1125"/>
    <cellStyle name="S6 12" xfId="1126"/>
    <cellStyle name="S6 13" xfId="1127"/>
    <cellStyle name="S6 13 2" xfId="1128"/>
    <cellStyle name="S6 14" xfId="1129"/>
    <cellStyle name="S6 15" xfId="1130"/>
    <cellStyle name="S6 16" xfId="1131"/>
    <cellStyle name="S6 17" xfId="1132"/>
    <cellStyle name="S6 18" xfId="1133"/>
    <cellStyle name="S6 2" xfId="1134"/>
    <cellStyle name="S6 3" xfId="1135"/>
    <cellStyle name="S6 4" xfId="1136"/>
    <cellStyle name="S6 5" xfId="1137"/>
    <cellStyle name="S6 6" xfId="1138"/>
    <cellStyle name="S6 7" xfId="1139"/>
    <cellStyle name="S6 8" xfId="1140"/>
    <cellStyle name="S6 9" xfId="1141"/>
    <cellStyle name="S6_Pembelian" xfId="1142"/>
    <cellStyle name="S7" xfId="1143"/>
    <cellStyle name="S7 10" xfId="1144"/>
    <cellStyle name="S7 10 2" xfId="1145"/>
    <cellStyle name="S7 11" xfId="1146"/>
    <cellStyle name="S7 12" xfId="1147"/>
    <cellStyle name="S7 12 2" xfId="1148"/>
    <cellStyle name="S7 13" xfId="1149"/>
    <cellStyle name="S7 14" xfId="1150"/>
    <cellStyle name="S7 15" xfId="1151"/>
    <cellStyle name="S7 16" xfId="1152"/>
    <cellStyle name="S7 19" xfId="1153"/>
    <cellStyle name="S7 19 2" xfId="1154"/>
    <cellStyle name="S7 2" xfId="1155"/>
    <cellStyle name="S7 3" xfId="1156"/>
    <cellStyle name="S7 4" xfId="1157"/>
    <cellStyle name="S7 5" xfId="1158"/>
    <cellStyle name="S7 6" xfId="1159"/>
    <cellStyle name="S7 7" xfId="1160"/>
    <cellStyle name="S7 8" xfId="1161"/>
    <cellStyle name="S7 9" xfId="1162"/>
    <cellStyle name="S7_Pembelian" xfId="1163"/>
    <cellStyle name="S8" xfId="1164"/>
    <cellStyle name="S8 10" xfId="1165"/>
    <cellStyle name="S8 11" xfId="1166"/>
    <cellStyle name="S8 12" xfId="1167"/>
    <cellStyle name="S8 13" xfId="1168"/>
    <cellStyle name="S8 14" xfId="1169"/>
    <cellStyle name="S8 15" xfId="1170"/>
    <cellStyle name="S8 16" xfId="1171"/>
    <cellStyle name="S8 2" xfId="1172"/>
    <cellStyle name="S8 3" xfId="1173"/>
    <cellStyle name="S8 4" xfId="1174"/>
    <cellStyle name="S8 5" xfId="1175"/>
    <cellStyle name="S8 5 2" xfId="1176"/>
    <cellStyle name="S8 6" xfId="1177"/>
    <cellStyle name="S8 7" xfId="1178"/>
    <cellStyle name="S8 8" xfId="1179"/>
    <cellStyle name="S8 8 2" xfId="1180"/>
    <cellStyle name="S8 8 3" xfId="1181"/>
    <cellStyle name="S8 9" xfId="1182"/>
    <cellStyle name="S8 9 2" xfId="1183"/>
    <cellStyle name="S8_Pembelian" xfId="1184"/>
    <cellStyle name="S9" xfId="1185"/>
    <cellStyle name="S9 10" xfId="1186"/>
    <cellStyle name="S9 11" xfId="1187"/>
    <cellStyle name="S9 11 2" xfId="1188"/>
    <cellStyle name="S9 12" xfId="1189"/>
    <cellStyle name="S9 13" xfId="1190"/>
    <cellStyle name="S9 14" xfId="1191"/>
    <cellStyle name="S9 15" xfId="1192"/>
    <cellStyle name="S9 16" xfId="1193"/>
    <cellStyle name="S9 17" xfId="1194"/>
    <cellStyle name="S9 2" xfId="1195"/>
    <cellStyle name="S9 3" xfId="1196"/>
    <cellStyle name="S9 4" xfId="1197"/>
    <cellStyle name="S9 5" xfId="1198"/>
    <cellStyle name="S9 6" xfId="1199"/>
    <cellStyle name="S9 7" xfId="1200"/>
    <cellStyle name="S9 8" xfId="1201"/>
    <cellStyle name="S9 9" xfId="1202"/>
    <cellStyle name="S9_Pembelian" xfId="1203"/>
  </cellStyles>
  <dxfs count="472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29637</xdr:colOff>
      <xdr:row>2</xdr:row>
      <xdr:rowOff>19051</xdr:rowOff>
    </xdr:from>
    <xdr:to>
      <xdr:col>0</xdr:col>
      <xdr:colOff>357721</xdr:colOff>
      <xdr:row>2</xdr:row>
      <xdr:rowOff>304801</xdr:rowOff>
    </xdr:to>
    <xdr:sp macro="" textlink="">
      <xdr:nvSpPr>
        <xdr:cNvPr id="2" name="Oval 1">
          <a:extLst>
            <a:ext uri="{FF2B5EF4-FFF2-40B4-BE49-F238E27FC236}">
              <a16:creationId xmlns="" xmlns:a16="http://schemas.microsoft.com/office/drawing/2014/main" id="{00000000-0008-0000-0500-000011000000}"/>
            </a:ext>
          </a:extLst>
        </xdr:cNvPr>
        <xdr:cNvSpPr/>
      </xdr:nvSpPr>
      <xdr:spPr>
        <a:xfrm>
          <a:off x="86787" y="3800476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3</a:t>
          </a:r>
        </a:p>
      </xdr:txBody>
    </xdr:sp>
    <xdr:clientData/>
  </xdr:twoCellAnchor>
  <xdr:twoCellAnchor>
    <xdr:from>
      <xdr:col>0</xdr:col>
      <xdr:colOff>0</xdr:colOff>
      <xdr:row>11</xdr:row>
      <xdr:rowOff>19050</xdr:rowOff>
    </xdr:from>
    <xdr:to>
      <xdr:col>0</xdr:col>
      <xdr:colOff>328084</xdr:colOff>
      <xdr:row>12</xdr:row>
      <xdr:rowOff>114300</xdr:rowOff>
    </xdr:to>
    <xdr:sp macro="" textlink="">
      <xdr:nvSpPr>
        <xdr:cNvPr id="3" name="Oval 2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SpPr/>
      </xdr:nvSpPr>
      <xdr:spPr>
        <a:xfrm>
          <a:off x="171450" y="4191000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3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rget%20Bulanan/2.%20Target%20Februar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2 "/>
      <sheetName val="Sheet2"/>
    </sheetNames>
    <sheetDataSet>
      <sheetData sheetId="0" refreshError="1">
        <row r="12">
          <cell r="E12" t="str">
            <v>Andri Pristianto</v>
          </cell>
          <cell r="I12">
            <v>903500</v>
          </cell>
          <cell r="L12">
            <v>0</v>
          </cell>
          <cell r="M12">
            <v>903500</v>
          </cell>
        </row>
        <row r="13">
          <cell r="E13" t="str">
            <v>Benih Citra Asia, PT</v>
          </cell>
          <cell r="I13">
            <v>1920000</v>
          </cell>
          <cell r="L13">
            <v>0</v>
          </cell>
          <cell r="M13">
            <v>1920000</v>
          </cell>
        </row>
        <row r="14">
          <cell r="E14" t="str">
            <v>Benih Citra Asia, PT</v>
          </cell>
          <cell r="I14">
            <v>21000</v>
          </cell>
          <cell r="L14">
            <v>0</v>
          </cell>
          <cell r="M14">
            <v>21000</v>
          </cell>
        </row>
        <row r="15">
          <cell r="E15" t="str">
            <v>Han Cin</v>
          </cell>
          <cell r="I15">
            <v>8452500</v>
          </cell>
          <cell r="L15">
            <v>0</v>
          </cell>
          <cell r="M15">
            <v>8452500</v>
          </cell>
        </row>
        <row r="16">
          <cell r="E16" t="str">
            <v>Han Cin</v>
          </cell>
          <cell r="I16">
            <v>20845000</v>
          </cell>
          <cell r="L16">
            <v>0</v>
          </cell>
          <cell r="M16">
            <v>20845000</v>
          </cell>
        </row>
        <row r="17">
          <cell r="E17" t="str">
            <v>Helmi Sarwoko</v>
          </cell>
          <cell r="I17">
            <v>13480000</v>
          </cell>
          <cell r="L17">
            <v>0</v>
          </cell>
          <cell r="M17">
            <v>13480000</v>
          </cell>
        </row>
        <row r="18">
          <cell r="E18" t="str">
            <v>Helmi Sarwoko</v>
          </cell>
          <cell r="I18">
            <v>4650000</v>
          </cell>
          <cell r="L18">
            <v>0</v>
          </cell>
          <cell r="M18">
            <v>4650000</v>
          </cell>
        </row>
        <row r="19">
          <cell r="L19">
            <v>0</v>
          </cell>
          <cell r="M19">
            <v>0</v>
          </cell>
        </row>
        <row r="20">
          <cell r="L20">
            <v>0</v>
          </cell>
          <cell r="M20">
            <v>0</v>
          </cell>
        </row>
        <row r="21">
          <cell r="L21">
            <v>0</v>
          </cell>
          <cell r="M21">
            <v>0</v>
          </cell>
        </row>
        <row r="22">
          <cell r="L22">
            <v>0</v>
          </cell>
          <cell r="M22">
            <v>0</v>
          </cell>
        </row>
        <row r="23">
          <cell r="L23">
            <v>0</v>
          </cell>
          <cell r="M23">
            <v>0</v>
          </cell>
        </row>
        <row r="24">
          <cell r="L24">
            <v>0</v>
          </cell>
          <cell r="M24">
            <v>0</v>
          </cell>
        </row>
        <row r="25">
          <cell r="L25">
            <v>0</v>
          </cell>
          <cell r="M25">
            <v>0</v>
          </cell>
        </row>
        <row r="26">
          <cell r="L26">
            <v>0</v>
          </cell>
          <cell r="M26">
            <v>0</v>
          </cell>
        </row>
        <row r="27">
          <cell r="L27">
            <v>0</v>
          </cell>
          <cell r="M27">
            <v>0</v>
          </cell>
        </row>
        <row r="28">
          <cell r="L28">
            <v>0</v>
          </cell>
          <cell r="M28">
            <v>0</v>
          </cell>
        </row>
        <row r="29">
          <cell r="L29">
            <v>0</v>
          </cell>
          <cell r="M29">
            <v>0</v>
          </cell>
        </row>
        <row r="30">
          <cell r="L30">
            <v>0</v>
          </cell>
          <cell r="M30">
            <v>0</v>
          </cell>
        </row>
        <row r="31">
          <cell r="E31" t="str">
            <v>Kalatham, PT</v>
          </cell>
          <cell r="I31">
            <v>121297750</v>
          </cell>
          <cell r="L31">
            <v>0</v>
          </cell>
          <cell r="M31">
            <v>121297750</v>
          </cell>
        </row>
        <row r="32">
          <cell r="E32" t="str">
            <v>Kalatham, PT</v>
          </cell>
          <cell r="I32">
            <v>35564000</v>
          </cell>
          <cell r="L32">
            <v>0</v>
          </cell>
          <cell r="M32">
            <v>35564000</v>
          </cell>
        </row>
        <row r="33">
          <cell r="E33" t="str">
            <v>Nugroho Idi Sasetyo</v>
          </cell>
          <cell r="I33">
            <v>19755000</v>
          </cell>
          <cell r="L33">
            <v>0</v>
          </cell>
          <cell r="M33">
            <v>19755000</v>
          </cell>
        </row>
        <row r="34">
          <cell r="E34" t="str">
            <v>Nugroho Idi Sasetyo</v>
          </cell>
          <cell r="I34">
            <v>22350000</v>
          </cell>
          <cell r="L34">
            <v>0</v>
          </cell>
          <cell r="M34">
            <v>22350000</v>
          </cell>
        </row>
        <row r="35">
          <cell r="E35" t="str">
            <v>Nugroho Susilo/MSI</v>
          </cell>
          <cell r="I35">
            <v>15089000</v>
          </cell>
          <cell r="L35">
            <v>0</v>
          </cell>
          <cell r="M35">
            <v>15089000</v>
          </cell>
        </row>
        <row r="36">
          <cell r="E36" t="str">
            <v>Sumber Makmur/Agus Winoto</v>
          </cell>
          <cell r="I36">
            <v>5583000</v>
          </cell>
          <cell r="L36">
            <v>0</v>
          </cell>
          <cell r="M36">
            <v>5583000</v>
          </cell>
        </row>
        <row r="37">
          <cell r="E37" t="str">
            <v>Al Badar/Badar, H</v>
          </cell>
          <cell r="I37">
            <v>1680000</v>
          </cell>
          <cell r="L37">
            <v>0</v>
          </cell>
          <cell r="M37">
            <v>1680000</v>
          </cell>
        </row>
        <row r="38">
          <cell r="E38" t="str">
            <v>Al Badar/Badar, H</v>
          </cell>
          <cell r="I38">
            <v>540000</v>
          </cell>
          <cell r="L38">
            <v>0</v>
          </cell>
          <cell r="M38">
            <v>540000</v>
          </cell>
        </row>
        <row r="39">
          <cell r="E39" t="str">
            <v>Al Badar/Badar, H</v>
          </cell>
          <cell r="I39">
            <v>5260000</v>
          </cell>
          <cell r="L39">
            <v>0</v>
          </cell>
          <cell r="M39">
            <v>5260000</v>
          </cell>
        </row>
        <row r="40">
          <cell r="E40" t="str">
            <v>Aris/Tanindo</v>
          </cell>
          <cell r="I40">
            <v>18000000</v>
          </cell>
          <cell r="L40">
            <v>0</v>
          </cell>
          <cell r="M40">
            <v>18000000</v>
          </cell>
        </row>
        <row r="41">
          <cell r="E41" t="str">
            <v>Bima Tani Jaya/Kevin Pratama</v>
          </cell>
          <cell r="I41">
            <v>3800000</v>
          </cell>
          <cell r="L41">
            <v>0</v>
          </cell>
          <cell r="M41">
            <v>3800000</v>
          </cell>
        </row>
        <row r="42">
          <cell r="E42" t="str">
            <v>Bima Tani Jaya/Kevin Pratama</v>
          </cell>
          <cell r="I42">
            <v>9000000</v>
          </cell>
          <cell r="L42">
            <v>9000000</v>
          </cell>
          <cell r="M42">
            <v>0</v>
          </cell>
        </row>
        <row r="43">
          <cell r="E43" t="str">
            <v>Bima Tani Jaya/Kevin Pratama</v>
          </cell>
          <cell r="I43">
            <v>1950000</v>
          </cell>
          <cell r="L43">
            <v>0</v>
          </cell>
          <cell r="M43">
            <v>1950000</v>
          </cell>
        </row>
        <row r="44">
          <cell r="E44" t="str">
            <v>Bima Tani Jaya/Kevin Pratama</v>
          </cell>
          <cell r="I44">
            <v>10060000</v>
          </cell>
          <cell r="L44">
            <v>0</v>
          </cell>
          <cell r="M44">
            <v>10060000</v>
          </cell>
        </row>
        <row r="45">
          <cell r="E45" t="str">
            <v>Bima Tani Jaya/Kevin Pratama</v>
          </cell>
          <cell r="I45">
            <v>1365000</v>
          </cell>
          <cell r="L45">
            <v>0</v>
          </cell>
          <cell r="M45">
            <v>1365000</v>
          </cell>
        </row>
        <row r="46">
          <cell r="E46" t="str">
            <v>Bima Tani Jaya/Kevin Pratama</v>
          </cell>
          <cell r="I46">
            <v>6800000</v>
          </cell>
          <cell r="L46">
            <v>0</v>
          </cell>
          <cell r="M46">
            <v>6800000</v>
          </cell>
        </row>
        <row r="47">
          <cell r="E47" t="str">
            <v>Bima Tani Jaya/Kevin Pratama</v>
          </cell>
          <cell r="I47">
            <v>3780000</v>
          </cell>
          <cell r="L47">
            <v>0</v>
          </cell>
          <cell r="M47">
            <v>3780000</v>
          </cell>
        </row>
        <row r="48">
          <cell r="E48" t="str">
            <v>Bima Tani Jaya/Kevin Pratama</v>
          </cell>
          <cell r="I48">
            <v>3400000</v>
          </cell>
          <cell r="L48">
            <v>0</v>
          </cell>
          <cell r="M48">
            <v>3400000</v>
          </cell>
        </row>
        <row r="49">
          <cell r="E49" t="str">
            <v>Bima Tani Jaya/Kevin Pratama</v>
          </cell>
          <cell r="I49">
            <v>9500000</v>
          </cell>
          <cell r="L49">
            <v>0</v>
          </cell>
          <cell r="M49">
            <v>9500000</v>
          </cell>
        </row>
        <row r="50">
          <cell r="E50" t="str">
            <v>Bima Tani Jaya/Kevin Pratama</v>
          </cell>
          <cell r="I50">
            <v>225000</v>
          </cell>
          <cell r="L50">
            <v>0</v>
          </cell>
          <cell r="M50">
            <v>225000</v>
          </cell>
        </row>
        <row r="51">
          <cell r="E51" t="str">
            <v>Bima Tani Jaya/Kevin Pratama</v>
          </cell>
          <cell r="I51">
            <v>5700000</v>
          </cell>
          <cell r="L51">
            <v>0</v>
          </cell>
          <cell r="M51">
            <v>5700000</v>
          </cell>
        </row>
        <row r="52">
          <cell r="E52" t="str">
            <v>Bima Tani Jaya/Kevin Pratama</v>
          </cell>
          <cell r="I52">
            <v>9000000</v>
          </cell>
          <cell r="L52">
            <v>0</v>
          </cell>
          <cell r="M52">
            <v>9000000</v>
          </cell>
        </row>
        <row r="53">
          <cell r="E53" t="str">
            <v>Bima Tani Jaya/Kevin Pratama</v>
          </cell>
          <cell r="I53">
            <v>3800000</v>
          </cell>
          <cell r="L53">
            <v>0</v>
          </cell>
          <cell r="M53">
            <v>3800000</v>
          </cell>
        </row>
        <row r="54">
          <cell r="E54" t="str">
            <v>Bima Tani Jaya/Kevin Pratama</v>
          </cell>
          <cell r="I54">
            <v>2000000</v>
          </cell>
          <cell r="L54">
            <v>0</v>
          </cell>
          <cell r="M54">
            <v>2000000</v>
          </cell>
        </row>
        <row r="55">
          <cell r="E55" t="str">
            <v>Bima Tani Jaya/Kevin Pratama</v>
          </cell>
          <cell r="I55">
            <v>5100000</v>
          </cell>
          <cell r="L55">
            <v>0</v>
          </cell>
          <cell r="M55">
            <v>5100000</v>
          </cell>
        </row>
        <row r="56">
          <cell r="E56" t="str">
            <v>Bima Tani Jaya/Kevin Pratama</v>
          </cell>
          <cell r="I56">
            <v>11400000</v>
          </cell>
          <cell r="L56">
            <v>0</v>
          </cell>
          <cell r="M56">
            <v>11400000</v>
          </cell>
        </row>
        <row r="57">
          <cell r="E57" t="str">
            <v>Bima Tani Jaya/Kevin Pratama</v>
          </cell>
          <cell r="I57">
            <v>1150000</v>
          </cell>
          <cell r="L57">
            <v>0</v>
          </cell>
          <cell r="M57">
            <v>1150000</v>
          </cell>
        </row>
        <row r="58">
          <cell r="E58" t="str">
            <v>Bima Tani Jaya/Kevin Pratama</v>
          </cell>
          <cell r="I58">
            <v>9500000</v>
          </cell>
          <cell r="L58">
            <v>0</v>
          </cell>
          <cell r="M58">
            <v>9500000</v>
          </cell>
        </row>
        <row r="59">
          <cell r="E59" t="str">
            <v>Bima Tani Jaya/Kevin Pratama</v>
          </cell>
          <cell r="I59">
            <v>3400000</v>
          </cell>
          <cell r="L59">
            <v>0</v>
          </cell>
          <cell r="M59">
            <v>3400000</v>
          </cell>
        </row>
        <row r="60">
          <cell r="E60" t="str">
            <v>Bima Tani Jaya/Kevin Pratama</v>
          </cell>
          <cell r="I60">
            <v>1700000</v>
          </cell>
          <cell r="L60">
            <v>0</v>
          </cell>
          <cell r="M60">
            <v>1700000</v>
          </cell>
        </row>
        <row r="61">
          <cell r="E61" t="str">
            <v>Bumi Jaya, UD/Farida</v>
          </cell>
          <cell r="I61">
            <v>7031250</v>
          </cell>
          <cell r="L61">
            <v>0</v>
          </cell>
          <cell r="M61">
            <v>7031250</v>
          </cell>
        </row>
        <row r="62">
          <cell r="E62" t="str">
            <v>Cahaya Tani/Rudi</v>
          </cell>
          <cell r="I62">
            <v>1340000</v>
          </cell>
          <cell r="L62">
            <v>0</v>
          </cell>
          <cell r="M62">
            <v>1340000</v>
          </cell>
        </row>
        <row r="63">
          <cell r="E63" t="str">
            <v>Cahaya Tani/Rudi</v>
          </cell>
          <cell r="I63">
            <v>2300000</v>
          </cell>
          <cell r="L63">
            <v>0</v>
          </cell>
          <cell r="M63">
            <v>2300000</v>
          </cell>
        </row>
        <row r="64">
          <cell r="E64" t="str">
            <v>Damar Batur Nusantara</v>
          </cell>
          <cell r="I64">
            <v>46669500</v>
          </cell>
          <cell r="L64">
            <v>3500000</v>
          </cell>
          <cell r="M64">
            <v>43169500</v>
          </cell>
        </row>
        <row r="65">
          <cell r="E65" t="str">
            <v>Damar Batur Nusantara</v>
          </cell>
          <cell r="I65">
            <v>126000000</v>
          </cell>
          <cell r="L65">
            <v>0</v>
          </cell>
          <cell r="M65">
            <v>126000000</v>
          </cell>
        </row>
        <row r="66">
          <cell r="E66" t="str">
            <v>Damar Batur Nusantara</v>
          </cell>
          <cell r="I66">
            <v>2070000</v>
          </cell>
          <cell r="L66">
            <v>0</v>
          </cell>
          <cell r="M66">
            <v>2070000</v>
          </cell>
        </row>
        <row r="67">
          <cell r="E67" t="str">
            <v>Damar Batur Nusantara</v>
          </cell>
          <cell r="I67">
            <v>45000000</v>
          </cell>
          <cell r="L67">
            <v>0</v>
          </cell>
          <cell r="M67">
            <v>45000000</v>
          </cell>
        </row>
        <row r="68">
          <cell r="E68" t="str">
            <v>Damar Batur Nusantara</v>
          </cell>
          <cell r="I68">
            <v>3500000</v>
          </cell>
          <cell r="L68">
            <v>0</v>
          </cell>
          <cell r="M68">
            <v>3500000</v>
          </cell>
        </row>
        <row r="69">
          <cell r="E69" t="str">
            <v>Damar Batur Nusantara</v>
          </cell>
          <cell r="I69">
            <v>55500000</v>
          </cell>
          <cell r="L69">
            <v>0</v>
          </cell>
          <cell r="M69">
            <v>55500000</v>
          </cell>
        </row>
        <row r="70">
          <cell r="E70" t="str">
            <v>Damar Batur Nusantara</v>
          </cell>
          <cell r="I70">
            <v>76125000</v>
          </cell>
          <cell r="L70">
            <v>0</v>
          </cell>
          <cell r="M70">
            <v>76125000</v>
          </cell>
        </row>
        <row r="71">
          <cell r="E71" t="str">
            <v>Damar Batur Nusantara</v>
          </cell>
          <cell r="I71">
            <v>82605000</v>
          </cell>
          <cell r="L71">
            <v>0</v>
          </cell>
          <cell r="M71">
            <v>82605000</v>
          </cell>
        </row>
        <row r="72">
          <cell r="E72" t="str">
            <v>Damar Batur Nusantara</v>
          </cell>
          <cell r="I72">
            <v>49100000</v>
          </cell>
          <cell r="L72">
            <v>0</v>
          </cell>
          <cell r="M72">
            <v>49100000</v>
          </cell>
        </row>
        <row r="73">
          <cell r="E73" t="str">
            <v>Damar Batur Nusantara</v>
          </cell>
          <cell r="I73">
            <v>13300000</v>
          </cell>
          <cell r="L73">
            <v>0</v>
          </cell>
          <cell r="M73">
            <v>13300000</v>
          </cell>
        </row>
        <row r="74">
          <cell r="E74" t="str">
            <v>Damar Batur Nusantara</v>
          </cell>
          <cell r="I74">
            <v>15200000</v>
          </cell>
          <cell r="L74">
            <v>0</v>
          </cell>
          <cell r="M74">
            <v>15200000</v>
          </cell>
        </row>
        <row r="75">
          <cell r="E75" t="str">
            <v>Damar Batur Nusantara</v>
          </cell>
          <cell r="I75">
            <v>2700000</v>
          </cell>
          <cell r="L75">
            <v>0</v>
          </cell>
          <cell r="M75">
            <v>2700000</v>
          </cell>
        </row>
        <row r="76">
          <cell r="E76" t="str">
            <v>Damar Batur Nusantara</v>
          </cell>
          <cell r="I76">
            <v>5312500</v>
          </cell>
          <cell r="L76">
            <v>0</v>
          </cell>
          <cell r="M76">
            <v>5312500</v>
          </cell>
        </row>
        <row r="77">
          <cell r="E77" t="str">
            <v>Damar Batur Nusantara</v>
          </cell>
          <cell r="I77">
            <v>2880000</v>
          </cell>
          <cell r="L77">
            <v>0</v>
          </cell>
          <cell r="M77">
            <v>2880000</v>
          </cell>
        </row>
        <row r="78">
          <cell r="E78" t="str">
            <v>Damar Batur Nusantara</v>
          </cell>
          <cell r="I78">
            <v>13875000</v>
          </cell>
          <cell r="L78">
            <v>0</v>
          </cell>
          <cell r="M78">
            <v>13875000</v>
          </cell>
        </row>
        <row r="79">
          <cell r="E79" t="str">
            <v>Danu/Bayer</v>
          </cell>
          <cell r="I79">
            <v>1744750</v>
          </cell>
          <cell r="L79">
            <v>0</v>
          </cell>
          <cell r="M79">
            <v>1744750</v>
          </cell>
        </row>
        <row r="80">
          <cell r="E80" t="str">
            <v>Luhur Tani/M. Itqon</v>
          </cell>
          <cell r="I80">
            <v>5750000</v>
          </cell>
          <cell r="L80">
            <v>2500000</v>
          </cell>
          <cell r="M80">
            <v>3250000</v>
          </cell>
        </row>
        <row r="81">
          <cell r="E81" t="str">
            <v>Putra Tani/Muzaiyin</v>
          </cell>
          <cell r="I81">
            <v>960000</v>
          </cell>
          <cell r="L81">
            <v>0</v>
          </cell>
          <cell r="M81">
            <v>960000</v>
          </cell>
        </row>
        <row r="82">
          <cell r="E82" t="str">
            <v>Riski Tani/Hadi</v>
          </cell>
          <cell r="I82">
            <v>24100000</v>
          </cell>
          <cell r="L82">
            <v>0</v>
          </cell>
          <cell r="M82">
            <v>24100000</v>
          </cell>
        </row>
        <row r="83">
          <cell r="E83" t="str">
            <v>Al Badar/Badar, H</v>
          </cell>
          <cell r="I83">
            <v>1800000</v>
          </cell>
          <cell r="L83">
            <v>0</v>
          </cell>
          <cell r="M83">
            <v>1800000</v>
          </cell>
        </row>
        <row r="84">
          <cell r="E84" t="str">
            <v>Al Badar/Badar, H</v>
          </cell>
          <cell r="I84">
            <v>13416000</v>
          </cell>
          <cell r="L84">
            <v>0</v>
          </cell>
          <cell r="M84">
            <v>13416000</v>
          </cell>
        </row>
        <row r="85">
          <cell r="E85" t="str">
            <v>Al Badar/Badar, H</v>
          </cell>
          <cell r="I85">
            <v>2835000</v>
          </cell>
          <cell r="L85">
            <v>0</v>
          </cell>
          <cell r="M85">
            <v>2835000</v>
          </cell>
        </row>
        <row r="86">
          <cell r="E86" t="str">
            <v>Al Badar/Badar, H</v>
          </cell>
          <cell r="I86">
            <v>5540000</v>
          </cell>
          <cell r="L86">
            <v>0</v>
          </cell>
          <cell r="M86">
            <v>5540000</v>
          </cell>
        </row>
        <row r="87">
          <cell r="E87" t="str">
            <v>Al Badar/Badar, H</v>
          </cell>
          <cell r="I87">
            <v>8341000</v>
          </cell>
          <cell r="L87">
            <v>0</v>
          </cell>
          <cell r="M87">
            <v>8341000</v>
          </cell>
        </row>
        <row r="88">
          <cell r="E88" t="str">
            <v>Al Badar/Badar, H</v>
          </cell>
          <cell r="I88">
            <v>1720000</v>
          </cell>
          <cell r="L88">
            <v>0</v>
          </cell>
          <cell r="M88">
            <v>1720000</v>
          </cell>
        </row>
        <row r="89">
          <cell r="E89" t="str">
            <v>Al Badar/Badar, H</v>
          </cell>
          <cell r="I89">
            <v>1750000</v>
          </cell>
          <cell r="L89">
            <v>0</v>
          </cell>
          <cell r="M89">
            <v>1750000</v>
          </cell>
        </row>
        <row r="90">
          <cell r="E90" t="str">
            <v>Al Badar/Badar, H</v>
          </cell>
          <cell r="I90">
            <v>1800000</v>
          </cell>
          <cell r="L90">
            <v>0</v>
          </cell>
          <cell r="M90">
            <v>1800000</v>
          </cell>
        </row>
        <row r="91">
          <cell r="E91" t="str">
            <v>Al Badar/Badar, H</v>
          </cell>
          <cell r="I91">
            <v>1500000</v>
          </cell>
          <cell r="L91">
            <v>0</v>
          </cell>
          <cell r="M91">
            <v>1500000</v>
          </cell>
        </row>
        <row r="92">
          <cell r="E92" t="str">
            <v>Al Badar/Badar, H</v>
          </cell>
          <cell r="I92">
            <v>3360000</v>
          </cell>
          <cell r="L92">
            <v>0</v>
          </cell>
          <cell r="M92">
            <v>3360000</v>
          </cell>
        </row>
        <row r="93">
          <cell r="E93" t="str">
            <v>Al Badar/Badar, H</v>
          </cell>
          <cell r="I93">
            <v>4240000</v>
          </cell>
          <cell r="L93">
            <v>4240000</v>
          </cell>
          <cell r="M93">
            <v>0</v>
          </cell>
        </row>
        <row r="94">
          <cell r="E94" t="str">
            <v>Aminah Jaya Tani/Slamet</v>
          </cell>
          <cell r="I94">
            <v>1000000</v>
          </cell>
          <cell r="L94">
            <v>0</v>
          </cell>
          <cell r="M94">
            <v>1000000</v>
          </cell>
        </row>
        <row r="95">
          <cell r="E95" t="str">
            <v>Anggoro Makmur/Yayuk</v>
          </cell>
          <cell r="I95">
            <v>1480000</v>
          </cell>
          <cell r="L95">
            <v>1480000</v>
          </cell>
          <cell r="M95">
            <v>0</v>
          </cell>
        </row>
        <row r="96">
          <cell r="E96" t="str">
            <v>Bang Jali/Achmad Gozali</v>
          </cell>
          <cell r="I96">
            <v>5000000</v>
          </cell>
          <cell r="L96">
            <v>5000000</v>
          </cell>
          <cell r="M96">
            <v>0</v>
          </cell>
        </row>
        <row r="97">
          <cell r="E97" t="str">
            <v>Bang Jali/Achmad Gozali</v>
          </cell>
          <cell r="I97">
            <v>1926000</v>
          </cell>
          <cell r="L97">
            <v>0</v>
          </cell>
          <cell r="M97">
            <v>1926000</v>
          </cell>
        </row>
        <row r="98">
          <cell r="E98" t="str">
            <v>Bang Jali/Achmad Gozali</v>
          </cell>
          <cell r="I98">
            <v>5500000</v>
          </cell>
          <cell r="L98">
            <v>0</v>
          </cell>
          <cell r="M98">
            <v>5500000</v>
          </cell>
        </row>
        <row r="99">
          <cell r="E99" t="str">
            <v>Bang Jali/Achmad Gozali</v>
          </cell>
          <cell r="I99">
            <v>3720000</v>
          </cell>
          <cell r="L99">
            <v>0</v>
          </cell>
          <cell r="M99">
            <v>3720000</v>
          </cell>
        </row>
        <row r="100">
          <cell r="E100" t="str">
            <v>Bang Jali/Achmad Gozali</v>
          </cell>
          <cell r="I100">
            <v>25400000</v>
          </cell>
          <cell r="L100">
            <v>0</v>
          </cell>
          <cell r="M100">
            <v>25400000</v>
          </cell>
        </row>
        <row r="101">
          <cell r="E101" t="str">
            <v>Bejo Langgeng, Toko</v>
          </cell>
          <cell r="I101">
            <v>4600000</v>
          </cell>
          <cell r="L101">
            <v>2000000</v>
          </cell>
          <cell r="M101">
            <v>2600000</v>
          </cell>
        </row>
        <row r="102">
          <cell r="E102" t="str">
            <v>Berkah Kayra/Nuyun</v>
          </cell>
          <cell r="I102">
            <v>778500</v>
          </cell>
          <cell r="L102">
            <v>778500</v>
          </cell>
          <cell r="M102">
            <v>0</v>
          </cell>
        </row>
        <row r="103">
          <cell r="E103" t="str">
            <v>Berkah Kayra/Nuyun</v>
          </cell>
          <cell r="I103">
            <v>945000</v>
          </cell>
          <cell r="L103">
            <v>451500</v>
          </cell>
          <cell r="M103">
            <v>493500</v>
          </cell>
        </row>
        <row r="104">
          <cell r="E104" t="str">
            <v>Berkah Kayra/Nuyun</v>
          </cell>
          <cell r="I104">
            <v>520000</v>
          </cell>
          <cell r="L104">
            <v>0</v>
          </cell>
          <cell r="M104">
            <v>520000</v>
          </cell>
        </row>
        <row r="105">
          <cell r="E105" t="str">
            <v>Berkah Kayra/Nuyun</v>
          </cell>
          <cell r="I105">
            <v>560000</v>
          </cell>
          <cell r="L105">
            <v>0</v>
          </cell>
          <cell r="M105">
            <v>560000</v>
          </cell>
        </row>
        <row r="106">
          <cell r="E106" t="str">
            <v>Berkah Tani/Intan Sri</v>
          </cell>
          <cell r="I106">
            <v>2000000</v>
          </cell>
          <cell r="L106">
            <v>0</v>
          </cell>
          <cell r="M106">
            <v>2000000</v>
          </cell>
        </row>
        <row r="107">
          <cell r="E107" t="str">
            <v>Berkah Tani/Intan Sri</v>
          </cell>
          <cell r="I107">
            <v>4140000</v>
          </cell>
          <cell r="L107">
            <v>0</v>
          </cell>
          <cell r="M107">
            <v>4140000</v>
          </cell>
        </row>
        <row r="108">
          <cell r="E108" t="str">
            <v>Bima Tani Jaya/Kevin Pratama</v>
          </cell>
          <cell r="I108">
            <v>8620000</v>
          </cell>
          <cell r="L108">
            <v>0</v>
          </cell>
          <cell r="M108">
            <v>8620000</v>
          </cell>
        </row>
        <row r="109">
          <cell r="E109" t="str">
            <v>Bima Tani Jaya/Kevin Pratama</v>
          </cell>
          <cell r="I109">
            <v>13300000</v>
          </cell>
          <cell r="L109">
            <v>0</v>
          </cell>
          <cell r="M109">
            <v>13300000</v>
          </cell>
        </row>
        <row r="110">
          <cell r="E110" t="str">
            <v>Bima Tani Jaya/Kevin Pratama</v>
          </cell>
          <cell r="I110">
            <v>1717500</v>
          </cell>
          <cell r="L110">
            <v>0</v>
          </cell>
          <cell r="M110">
            <v>1717500</v>
          </cell>
        </row>
        <row r="111">
          <cell r="E111" t="str">
            <v>Bima Tani Jaya/Kevin Pratama</v>
          </cell>
          <cell r="I111">
            <v>674500</v>
          </cell>
          <cell r="L111">
            <v>0</v>
          </cell>
          <cell r="M111">
            <v>674500</v>
          </cell>
        </row>
        <row r="112">
          <cell r="E112" t="str">
            <v>Bima Tani Jaya/Kevin Pratama</v>
          </cell>
          <cell r="I112">
            <v>285000</v>
          </cell>
          <cell r="L112">
            <v>0</v>
          </cell>
          <cell r="M112">
            <v>285000</v>
          </cell>
        </row>
        <row r="113">
          <cell r="E113" t="str">
            <v>Bima Tani Jaya/Kevin Pratama</v>
          </cell>
          <cell r="I113">
            <v>462500</v>
          </cell>
          <cell r="L113">
            <v>0</v>
          </cell>
          <cell r="M113">
            <v>462500</v>
          </cell>
        </row>
        <row r="114">
          <cell r="E114" t="str">
            <v>Bima Tani Jaya/Kevin Pratama</v>
          </cell>
          <cell r="I114">
            <v>1950000</v>
          </cell>
          <cell r="L114">
            <v>0</v>
          </cell>
          <cell r="M114">
            <v>1950000</v>
          </cell>
        </row>
        <row r="115">
          <cell r="E115" t="str">
            <v>Bima Tani Jaya/Kevin Pratama</v>
          </cell>
          <cell r="I115">
            <v>1720000</v>
          </cell>
          <cell r="L115">
            <v>0</v>
          </cell>
          <cell r="M115">
            <v>1720000</v>
          </cell>
        </row>
        <row r="116">
          <cell r="E116" t="str">
            <v>Bima Tani Jaya/Kevin Pratama</v>
          </cell>
          <cell r="I116">
            <v>852000</v>
          </cell>
          <cell r="L116">
            <v>0</v>
          </cell>
          <cell r="M116">
            <v>852000</v>
          </cell>
        </row>
        <row r="117">
          <cell r="E117" t="str">
            <v>Bima Tani Jaya/Kevin Pratama</v>
          </cell>
          <cell r="I117">
            <v>1395000</v>
          </cell>
          <cell r="L117">
            <v>0</v>
          </cell>
          <cell r="M117">
            <v>1395000</v>
          </cell>
        </row>
        <row r="118">
          <cell r="E118" t="str">
            <v>Bima Tani Jaya/Kevin Pratama</v>
          </cell>
          <cell r="I118">
            <v>540000</v>
          </cell>
          <cell r="L118">
            <v>0</v>
          </cell>
          <cell r="M118">
            <v>540000</v>
          </cell>
        </row>
        <row r="119">
          <cell r="E119" t="str">
            <v>Bima Tani Jaya/Kevin Pratama</v>
          </cell>
          <cell r="I119">
            <v>2000000</v>
          </cell>
          <cell r="L119">
            <v>0</v>
          </cell>
          <cell r="M119">
            <v>2000000</v>
          </cell>
        </row>
        <row r="120">
          <cell r="E120" t="str">
            <v>Bima Tani Jaya/Kevin Pratama</v>
          </cell>
          <cell r="I120">
            <v>1900000</v>
          </cell>
          <cell r="L120">
            <v>0</v>
          </cell>
          <cell r="M120">
            <v>1900000</v>
          </cell>
        </row>
        <row r="121">
          <cell r="E121" t="str">
            <v>Bima Tani Jaya/Kevin Pratama</v>
          </cell>
          <cell r="I121">
            <v>1836000</v>
          </cell>
          <cell r="L121">
            <v>0</v>
          </cell>
          <cell r="M121">
            <v>1836000</v>
          </cell>
        </row>
        <row r="122">
          <cell r="E122" t="str">
            <v>Bima Tani Jaya/Kevin Pratama</v>
          </cell>
          <cell r="I122">
            <v>5700000</v>
          </cell>
          <cell r="L122">
            <v>0</v>
          </cell>
          <cell r="M122">
            <v>5700000</v>
          </cell>
        </row>
        <row r="123">
          <cell r="E123" t="str">
            <v>Bima Tani Jaya/Kevin Pratama</v>
          </cell>
          <cell r="I123">
            <v>955000</v>
          </cell>
          <cell r="L123">
            <v>0</v>
          </cell>
          <cell r="M123">
            <v>955000</v>
          </cell>
        </row>
        <row r="124">
          <cell r="E124" t="str">
            <v>Bima Tani Jaya/Kevin Pratama</v>
          </cell>
          <cell r="I124">
            <v>3960000</v>
          </cell>
          <cell r="L124">
            <v>0</v>
          </cell>
          <cell r="M124">
            <v>3960000</v>
          </cell>
        </row>
        <row r="125">
          <cell r="E125" t="str">
            <v>Bima Tani Jaya/Kevin Pratama</v>
          </cell>
          <cell r="I125">
            <v>20800000</v>
          </cell>
          <cell r="L125">
            <v>0</v>
          </cell>
          <cell r="M125">
            <v>20800000</v>
          </cell>
        </row>
        <row r="126">
          <cell r="E126" t="str">
            <v>Bima Tani Jaya/Kevin Pratama</v>
          </cell>
          <cell r="I126">
            <v>1260000</v>
          </cell>
          <cell r="L126">
            <v>0</v>
          </cell>
          <cell r="M126">
            <v>1260000</v>
          </cell>
        </row>
        <row r="127">
          <cell r="E127" t="str">
            <v>Bima Tani Jaya/Kevin Pratama</v>
          </cell>
          <cell r="I127">
            <v>4000000</v>
          </cell>
          <cell r="L127">
            <v>4000000</v>
          </cell>
          <cell r="M127">
            <v>0</v>
          </cell>
        </row>
        <row r="128">
          <cell r="E128" t="str">
            <v>Bima Tani Jaya/Kevin Pratama</v>
          </cell>
          <cell r="I128">
            <v>718000</v>
          </cell>
          <cell r="L128">
            <v>0</v>
          </cell>
          <cell r="M128">
            <v>718000</v>
          </cell>
        </row>
        <row r="129">
          <cell r="E129" t="str">
            <v>Bima Tani Jaya/Kevin Pratama</v>
          </cell>
          <cell r="I129">
            <v>1635000</v>
          </cell>
          <cell r="L129">
            <v>0</v>
          </cell>
          <cell r="M129">
            <v>1635000</v>
          </cell>
        </row>
        <row r="130">
          <cell r="E130" t="str">
            <v>Bima Tani Jaya/Kevin Pratama</v>
          </cell>
          <cell r="I130">
            <v>415000</v>
          </cell>
          <cell r="L130">
            <v>0</v>
          </cell>
          <cell r="M130">
            <v>415000</v>
          </cell>
        </row>
        <row r="131">
          <cell r="E131" t="str">
            <v>Bima Tani Jaya/Kevin Pratama</v>
          </cell>
          <cell r="I131">
            <v>2060000</v>
          </cell>
          <cell r="L131">
            <v>0</v>
          </cell>
          <cell r="M131">
            <v>2060000</v>
          </cell>
        </row>
        <row r="132">
          <cell r="E132" t="str">
            <v>Bima Tani Jaya/Kevin Pratama</v>
          </cell>
          <cell r="I132">
            <v>8400000</v>
          </cell>
          <cell r="L132">
            <v>0</v>
          </cell>
          <cell r="M132">
            <v>8400000</v>
          </cell>
        </row>
        <row r="133">
          <cell r="E133" t="str">
            <v>Bima Tani Jaya/Kevin Pratama</v>
          </cell>
          <cell r="I133">
            <v>1347500</v>
          </cell>
          <cell r="L133">
            <v>0</v>
          </cell>
          <cell r="M133">
            <v>1347500</v>
          </cell>
        </row>
        <row r="134">
          <cell r="E134" t="str">
            <v>Bima Tani Jaya/Kevin Pratama</v>
          </cell>
          <cell r="I134">
            <v>3720000</v>
          </cell>
          <cell r="L134">
            <v>0</v>
          </cell>
          <cell r="M134">
            <v>3720000</v>
          </cell>
        </row>
        <row r="135">
          <cell r="E135" t="str">
            <v>Bina Mandiri, UD/Nurul</v>
          </cell>
          <cell r="I135">
            <v>4300000</v>
          </cell>
          <cell r="L135">
            <v>2000000</v>
          </cell>
          <cell r="M135">
            <v>2300000</v>
          </cell>
        </row>
        <row r="136">
          <cell r="E136" t="str">
            <v>Bintang Sejahtera</v>
          </cell>
          <cell r="I136">
            <v>3840000</v>
          </cell>
          <cell r="L136">
            <v>3840000</v>
          </cell>
          <cell r="M136">
            <v>0</v>
          </cell>
        </row>
        <row r="137">
          <cell r="E137" t="str">
            <v>Bintang Sejahtera</v>
          </cell>
          <cell r="I137">
            <v>3870000</v>
          </cell>
          <cell r="L137">
            <v>3870000</v>
          </cell>
          <cell r="M137">
            <v>0</v>
          </cell>
        </row>
        <row r="138">
          <cell r="E138" t="str">
            <v>Bumi Jaya, UD/Farida</v>
          </cell>
          <cell r="I138">
            <v>28356000</v>
          </cell>
          <cell r="L138">
            <v>20000000</v>
          </cell>
          <cell r="M138">
            <v>8356000</v>
          </cell>
        </row>
        <row r="139">
          <cell r="E139" t="str">
            <v>Bumi Jaya, UD/Farida</v>
          </cell>
          <cell r="I139">
            <v>12940000</v>
          </cell>
          <cell r="L139">
            <v>12940000</v>
          </cell>
          <cell r="M139">
            <v>0</v>
          </cell>
        </row>
        <row r="140">
          <cell r="E140" t="str">
            <v>Bumi Jaya, UD/Farida</v>
          </cell>
          <cell r="I140">
            <v>2860000</v>
          </cell>
          <cell r="L140">
            <v>0</v>
          </cell>
          <cell r="M140">
            <v>2860000</v>
          </cell>
        </row>
        <row r="141">
          <cell r="E141" t="str">
            <v>Bumi Jaya, UD/Farida</v>
          </cell>
          <cell r="I141">
            <v>1540000</v>
          </cell>
          <cell r="L141">
            <v>0</v>
          </cell>
          <cell r="M141">
            <v>1540000</v>
          </cell>
        </row>
        <row r="142">
          <cell r="E142" t="str">
            <v>Bumi Jaya, UD/Farida</v>
          </cell>
          <cell r="I142">
            <v>21200000</v>
          </cell>
          <cell r="L142">
            <v>0</v>
          </cell>
          <cell r="M142">
            <v>21200000</v>
          </cell>
        </row>
        <row r="143">
          <cell r="E143" t="str">
            <v>Bumi Jaya, UD/Farida</v>
          </cell>
          <cell r="I143">
            <v>11000000</v>
          </cell>
          <cell r="L143">
            <v>0</v>
          </cell>
          <cell r="M143">
            <v>11000000</v>
          </cell>
        </row>
        <row r="144">
          <cell r="E144" t="str">
            <v>Bumi Jaya, UD/Farida</v>
          </cell>
          <cell r="I144">
            <v>3650000</v>
          </cell>
          <cell r="L144">
            <v>0</v>
          </cell>
          <cell r="M144">
            <v>3650000</v>
          </cell>
        </row>
        <row r="145">
          <cell r="E145" t="str">
            <v>Bumi Jaya, UD/Farida</v>
          </cell>
          <cell r="I145">
            <v>11640000</v>
          </cell>
          <cell r="L145">
            <v>0</v>
          </cell>
          <cell r="M145">
            <v>11640000</v>
          </cell>
        </row>
        <row r="146">
          <cell r="E146" t="str">
            <v>Bumi Jaya, UD/Farida</v>
          </cell>
          <cell r="I146">
            <v>11000000</v>
          </cell>
          <cell r="L146">
            <v>0</v>
          </cell>
          <cell r="M146">
            <v>11000000</v>
          </cell>
        </row>
        <row r="147">
          <cell r="E147" t="str">
            <v>Bumi Jaya, UD/Farida</v>
          </cell>
          <cell r="I147">
            <v>7000000</v>
          </cell>
          <cell r="L147">
            <v>0</v>
          </cell>
          <cell r="M147">
            <v>7000000</v>
          </cell>
        </row>
        <row r="148">
          <cell r="E148" t="str">
            <v>Bumi Jaya, UD/Farida</v>
          </cell>
          <cell r="I148">
            <v>3500000</v>
          </cell>
          <cell r="L148">
            <v>0</v>
          </cell>
          <cell r="M148">
            <v>3500000</v>
          </cell>
        </row>
        <row r="149">
          <cell r="E149" t="str">
            <v>Bumi Jaya, UD/Farida</v>
          </cell>
          <cell r="I149">
            <v>24720000</v>
          </cell>
          <cell r="L149">
            <v>0</v>
          </cell>
          <cell r="M149">
            <v>24720000</v>
          </cell>
        </row>
        <row r="150">
          <cell r="E150" t="str">
            <v>Bumi Jaya, UD/Farida</v>
          </cell>
          <cell r="I150">
            <v>10412500</v>
          </cell>
          <cell r="L150">
            <v>0</v>
          </cell>
          <cell r="M150">
            <v>10412500</v>
          </cell>
        </row>
        <row r="151">
          <cell r="E151" t="str">
            <v>Bumi Jaya, UD/Farida</v>
          </cell>
          <cell r="I151">
            <v>700000</v>
          </cell>
          <cell r="L151">
            <v>0</v>
          </cell>
          <cell r="M151">
            <v>700000</v>
          </cell>
        </row>
        <row r="152">
          <cell r="E152" t="str">
            <v>Bumi Jaya, UD/Farida</v>
          </cell>
          <cell r="I152">
            <v>1430000</v>
          </cell>
          <cell r="L152">
            <v>0</v>
          </cell>
          <cell r="M152">
            <v>1430000</v>
          </cell>
        </row>
        <row r="153">
          <cell r="E153" t="str">
            <v>Bursa Tani/Brian</v>
          </cell>
          <cell r="I153">
            <v>12360000</v>
          </cell>
          <cell r="L153">
            <v>12360000</v>
          </cell>
          <cell r="M153">
            <v>0</v>
          </cell>
        </row>
        <row r="154">
          <cell r="E154" t="str">
            <v>Cahaya Tani/Rudi</v>
          </cell>
          <cell r="I154">
            <v>6657500</v>
          </cell>
          <cell r="L154">
            <v>0</v>
          </cell>
          <cell r="M154">
            <v>6657500</v>
          </cell>
        </row>
        <row r="155">
          <cell r="E155" t="str">
            <v>Cahaya Tani/Rudi</v>
          </cell>
          <cell r="I155">
            <v>470000</v>
          </cell>
          <cell r="L155">
            <v>0</v>
          </cell>
          <cell r="M155">
            <v>470000</v>
          </cell>
        </row>
        <row r="156">
          <cell r="E156" t="str">
            <v>Culture Agritech Interzona, CV</v>
          </cell>
          <cell r="I156">
            <v>433000000</v>
          </cell>
          <cell r="L156">
            <v>433000000</v>
          </cell>
          <cell r="M156">
            <v>0</v>
          </cell>
        </row>
        <row r="157">
          <cell r="E157" t="str">
            <v>Culture Agritech Interzona, CV</v>
          </cell>
          <cell r="I157">
            <v>1900000</v>
          </cell>
          <cell r="L157">
            <v>1900000</v>
          </cell>
          <cell r="M157">
            <v>0</v>
          </cell>
        </row>
        <row r="158">
          <cell r="E158" t="str">
            <v>Damar Batur Nusantara</v>
          </cell>
          <cell r="I158">
            <v>3060000</v>
          </cell>
          <cell r="L158">
            <v>0</v>
          </cell>
          <cell r="M158">
            <v>3060000</v>
          </cell>
        </row>
        <row r="159">
          <cell r="E159" t="str">
            <v>Damar Batur Nusantara</v>
          </cell>
          <cell r="I159">
            <v>2250000</v>
          </cell>
          <cell r="L159">
            <v>0</v>
          </cell>
          <cell r="M159">
            <v>2250000</v>
          </cell>
        </row>
        <row r="160">
          <cell r="E160" t="str">
            <v>Damar Batur Nusantara</v>
          </cell>
          <cell r="I160">
            <v>27750000</v>
          </cell>
          <cell r="L160">
            <v>0</v>
          </cell>
          <cell r="M160">
            <v>27750000</v>
          </cell>
        </row>
        <row r="161">
          <cell r="E161" t="str">
            <v>Damar Batur Nusantara</v>
          </cell>
          <cell r="I161">
            <v>47500000</v>
          </cell>
          <cell r="L161">
            <v>0</v>
          </cell>
          <cell r="M161">
            <v>47500000</v>
          </cell>
        </row>
        <row r="162">
          <cell r="E162" t="str">
            <v>Damar Batur Nusantara</v>
          </cell>
          <cell r="I162">
            <v>5400000</v>
          </cell>
          <cell r="L162">
            <v>0</v>
          </cell>
          <cell r="M162">
            <v>5400000</v>
          </cell>
        </row>
        <row r="163">
          <cell r="E163" t="str">
            <v>Damar Batur Nusantara</v>
          </cell>
          <cell r="I163">
            <v>27750000</v>
          </cell>
          <cell r="L163">
            <v>0</v>
          </cell>
          <cell r="M163">
            <v>27750000</v>
          </cell>
        </row>
        <row r="164">
          <cell r="E164" t="str">
            <v>Damar Batur Nusantara</v>
          </cell>
          <cell r="I164">
            <v>14200000</v>
          </cell>
          <cell r="L164">
            <v>0</v>
          </cell>
          <cell r="M164">
            <v>14200000</v>
          </cell>
        </row>
        <row r="165">
          <cell r="E165" t="str">
            <v>Damar Batur Nusantara</v>
          </cell>
          <cell r="I165">
            <v>9450000</v>
          </cell>
          <cell r="L165">
            <v>0</v>
          </cell>
          <cell r="M165">
            <v>9450000</v>
          </cell>
        </row>
        <row r="166">
          <cell r="E166" t="str">
            <v>Damar Batur Nusantara</v>
          </cell>
          <cell r="I166">
            <v>96000000</v>
          </cell>
          <cell r="L166">
            <v>0</v>
          </cell>
          <cell r="M166">
            <v>96000000</v>
          </cell>
        </row>
        <row r="167">
          <cell r="E167" t="str">
            <v>Damar Batur Nusantara</v>
          </cell>
          <cell r="I167">
            <v>8180000</v>
          </cell>
          <cell r="L167">
            <v>0</v>
          </cell>
          <cell r="M167">
            <v>8180000</v>
          </cell>
        </row>
        <row r="168">
          <cell r="E168" t="str">
            <v>Damar Batur Nusantara</v>
          </cell>
          <cell r="I168">
            <v>5700000</v>
          </cell>
          <cell r="L168">
            <v>0</v>
          </cell>
          <cell r="M168">
            <v>5700000</v>
          </cell>
        </row>
        <row r="169">
          <cell r="E169" t="str">
            <v>Damar Batur Nusantara</v>
          </cell>
          <cell r="I169">
            <v>7200000</v>
          </cell>
          <cell r="L169">
            <v>0</v>
          </cell>
          <cell r="M169">
            <v>7200000</v>
          </cell>
        </row>
        <row r="170">
          <cell r="E170" t="str">
            <v>Damar Batur Nusantara</v>
          </cell>
          <cell r="I170">
            <v>2700000</v>
          </cell>
          <cell r="L170">
            <v>0</v>
          </cell>
          <cell r="M170">
            <v>2700000</v>
          </cell>
        </row>
        <row r="171">
          <cell r="E171" t="str">
            <v>Damar Batur Nusantara</v>
          </cell>
          <cell r="I171">
            <v>33000000</v>
          </cell>
          <cell r="L171">
            <v>0</v>
          </cell>
          <cell r="M171">
            <v>33000000</v>
          </cell>
        </row>
        <row r="172">
          <cell r="E172" t="str">
            <v>Damar Batur Nusantara</v>
          </cell>
          <cell r="I172">
            <v>17707500</v>
          </cell>
          <cell r="L172">
            <v>0</v>
          </cell>
          <cell r="M172">
            <v>17707500</v>
          </cell>
        </row>
        <row r="173">
          <cell r="E173" t="str">
            <v>Damar Batur Nusantara</v>
          </cell>
          <cell r="I173">
            <v>517500</v>
          </cell>
          <cell r="L173">
            <v>0</v>
          </cell>
          <cell r="M173">
            <v>517500</v>
          </cell>
        </row>
        <row r="174">
          <cell r="E174" t="str">
            <v>Damar Batur Nusantara</v>
          </cell>
          <cell r="I174">
            <v>5200000</v>
          </cell>
          <cell r="L174">
            <v>0</v>
          </cell>
          <cell r="M174">
            <v>5200000</v>
          </cell>
        </row>
        <row r="175">
          <cell r="E175" t="str">
            <v>Damar Batur Nusantara</v>
          </cell>
          <cell r="I175">
            <v>47500000</v>
          </cell>
          <cell r="L175">
            <v>0</v>
          </cell>
          <cell r="M175">
            <v>47500000</v>
          </cell>
        </row>
        <row r="176">
          <cell r="E176" t="str">
            <v>Damar Batur Nusantara</v>
          </cell>
          <cell r="I176">
            <v>2650000</v>
          </cell>
          <cell r="L176">
            <v>0</v>
          </cell>
          <cell r="M176">
            <v>2650000</v>
          </cell>
        </row>
        <row r="177">
          <cell r="E177" t="str">
            <v>Damar Batur Nusantara</v>
          </cell>
          <cell r="I177">
            <v>4980000</v>
          </cell>
          <cell r="L177">
            <v>0</v>
          </cell>
          <cell r="M177">
            <v>4980000</v>
          </cell>
        </row>
        <row r="178">
          <cell r="E178" t="str">
            <v>Damar Batur Nusantara</v>
          </cell>
          <cell r="I178">
            <v>155040000</v>
          </cell>
          <cell r="L178">
            <v>0</v>
          </cell>
          <cell r="M178">
            <v>155040000</v>
          </cell>
        </row>
        <row r="179">
          <cell r="E179" t="str">
            <v>Damar Batur Nusantara</v>
          </cell>
          <cell r="I179">
            <v>92500000</v>
          </cell>
          <cell r="L179">
            <v>92500000</v>
          </cell>
          <cell r="M179">
            <v>0</v>
          </cell>
        </row>
        <row r="180">
          <cell r="E180" t="str">
            <v>Damar Batur Nusantara</v>
          </cell>
          <cell r="I180">
            <v>9450000</v>
          </cell>
          <cell r="L180">
            <v>0</v>
          </cell>
          <cell r="M180">
            <v>9450000</v>
          </cell>
        </row>
        <row r="181">
          <cell r="E181" t="str">
            <v>Damar Batur Nusantara</v>
          </cell>
          <cell r="I181">
            <v>36000000</v>
          </cell>
          <cell r="L181">
            <v>0</v>
          </cell>
          <cell r="M181">
            <v>36000000</v>
          </cell>
        </row>
        <row r="182">
          <cell r="E182" t="str">
            <v>Damar Batur Nusantara</v>
          </cell>
          <cell r="I182">
            <v>5400000</v>
          </cell>
          <cell r="L182">
            <v>0</v>
          </cell>
          <cell r="M182">
            <v>5400000</v>
          </cell>
        </row>
        <row r="183">
          <cell r="E183" t="str">
            <v>Damar Batur Nusantara</v>
          </cell>
          <cell r="I183">
            <v>14000000</v>
          </cell>
          <cell r="L183">
            <v>14000000</v>
          </cell>
          <cell r="M183">
            <v>0</v>
          </cell>
        </row>
        <row r="184">
          <cell r="E184" t="str">
            <v>Dodik/Asiana</v>
          </cell>
          <cell r="I184">
            <v>9000000</v>
          </cell>
          <cell r="L184">
            <v>0</v>
          </cell>
          <cell r="M184">
            <v>9000000</v>
          </cell>
        </row>
        <row r="185">
          <cell r="E185" t="str">
            <v>Era Tani/Abdul Wakik</v>
          </cell>
          <cell r="I185">
            <v>2580000</v>
          </cell>
          <cell r="L185">
            <v>2580000</v>
          </cell>
          <cell r="M185">
            <v>0</v>
          </cell>
        </row>
        <row r="186">
          <cell r="E186" t="str">
            <v>Era Tani/Abdul Wakik</v>
          </cell>
          <cell r="I186">
            <v>4782500</v>
          </cell>
          <cell r="L186">
            <v>4782500</v>
          </cell>
          <cell r="M186">
            <v>0</v>
          </cell>
        </row>
        <row r="187">
          <cell r="E187" t="str">
            <v>Era Tani/Abdul Wakik</v>
          </cell>
          <cell r="I187">
            <v>1497500</v>
          </cell>
          <cell r="L187">
            <v>1497500</v>
          </cell>
          <cell r="M187">
            <v>0</v>
          </cell>
        </row>
        <row r="188">
          <cell r="E188" t="str">
            <v>Era Tani/Abdul Wakik</v>
          </cell>
          <cell r="I188">
            <v>1440000</v>
          </cell>
          <cell r="L188">
            <v>1440000</v>
          </cell>
          <cell r="M188">
            <v>0</v>
          </cell>
        </row>
        <row r="189">
          <cell r="E189" t="str">
            <v>Era Tani/Abdul Wakik</v>
          </cell>
          <cell r="I189">
            <v>5120000</v>
          </cell>
          <cell r="L189">
            <v>5120000</v>
          </cell>
          <cell r="M189">
            <v>0</v>
          </cell>
        </row>
        <row r="190">
          <cell r="E190" t="str">
            <v>F Nganjuk</v>
          </cell>
          <cell r="I190">
            <v>6000000</v>
          </cell>
          <cell r="L190">
            <v>6000000</v>
          </cell>
          <cell r="M190">
            <v>0</v>
          </cell>
        </row>
        <row r="191">
          <cell r="E191" t="str">
            <v>Fortuna Tani/Heru</v>
          </cell>
          <cell r="I191">
            <v>2025000</v>
          </cell>
          <cell r="L191">
            <v>0</v>
          </cell>
          <cell r="M191">
            <v>2025000</v>
          </cell>
        </row>
        <row r="192">
          <cell r="E192" t="str">
            <v>Griya Tani/Sri</v>
          </cell>
          <cell r="I192">
            <v>3862500</v>
          </cell>
          <cell r="L192">
            <v>0</v>
          </cell>
          <cell r="M192">
            <v>3862500</v>
          </cell>
        </row>
        <row r="193">
          <cell r="E193" t="str">
            <v>Harry Santoso</v>
          </cell>
          <cell r="I193">
            <v>4500000</v>
          </cell>
          <cell r="L193">
            <v>4500000</v>
          </cell>
          <cell r="M193">
            <v>0</v>
          </cell>
        </row>
        <row r="194">
          <cell r="E194" t="str">
            <v>Harry Santoso</v>
          </cell>
          <cell r="I194">
            <v>114250000</v>
          </cell>
          <cell r="L194">
            <v>114250000</v>
          </cell>
          <cell r="M194">
            <v>0</v>
          </cell>
        </row>
        <row r="195">
          <cell r="E195" t="str">
            <v>Harry Santoso</v>
          </cell>
          <cell r="I195">
            <v>124980500</v>
          </cell>
          <cell r="L195">
            <v>124980500</v>
          </cell>
          <cell r="M195">
            <v>0</v>
          </cell>
        </row>
        <row r="196">
          <cell r="E196" t="str">
            <v>Harry Santoso</v>
          </cell>
          <cell r="I196">
            <v>17305000</v>
          </cell>
          <cell r="L196">
            <v>17305000</v>
          </cell>
          <cell r="M196">
            <v>0</v>
          </cell>
        </row>
        <row r="197">
          <cell r="E197" t="str">
            <v>Harry Santoso</v>
          </cell>
          <cell r="I197">
            <v>88800000</v>
          </cell>
          <cell r="L197">
            <v>88800000</v>
          </cell>
          <cell r="M197">
            <v>0</v>
          </cell>
        </row>
        <row r="198">
          <cell r="E198" t="str">
            <v>Harry Santoso</v>
          </cell>
          <cell r="I198">
            <v>3840000</v>
          </cell>
          <cell r="L198">
            <v>3840000</v>
          </cell>
          <cell r="M198">
            <v>0</v>
          </cell>
        </row>
        <row r="199">
          <cell r="E199" t="str">
            <v>Harry Santoso</v>
          </cell>
          <cell r="I199">
            <v>46250000</v>
          </cell>
          <cell r="L199">
            <v>46250000</v>
          </cell>
          <cell r="M199">
            <v>0</v>
          </cell>
        </row>
        <row r="200">
          <cell r="E200" t="str">
            <v>Harry Santoso</v>
          </cell>
          <cell r="I200">
            <v>6750000</v>
          </cell>
          <cell r="L200">
            <v>6750000</v>
          </cell>
          <cell r="M200">
            <v>0</v>
          </cell>
        </row>
        <row r="201">
          <cell r="E201" t="str">
            <v>Harry Santoso</v>
          </cell>
          <cell r="I201">
            <v>6850000</v>
          </cell>
          <cell r="L201">
            <v>6850000</v>
          </cell>
          <cell r="M201">
            <v>0</v>
          </cell>
        </row>
        <row r="202">
          <cell r="E202" t="str">
            <v>Harry Santoso</v>
          </cell>
          <cell r="I202">
            <v>19905000</v>
          </cell>
          <cell r="L202">
            <v>19905000</v>
          </cell>
          <cell r="M202">
            <v>0</v>
          </cell>
        </row>
        <row r="203">
          <cell r="E203" t="str">
            <v>Harry Santoso</v>
          </cell>
          <cell r="I203">
            <v>25025000</v>
          </cell>
          <cell r="L203">
            <v>25025000</v>
          </cell>
          <cell r="M203">
            <v>0</v>
          </cell>
        </row>
        <row r="204">
          <cell r="E204" t="str">
            <v>Harry Santoso</v>
          </cell>
          <cell r="I204">
            <v>150000000</v>
          </cell>
          <cell r="L204">
            <v>150000000</v>
          </cell>
          <cell r="M204">
            <v>0</v>
          </cell>
        </row>
        <row r="205">
          <cell r="E205" t="str">
            <v>Harry Santoso</v>
          </cell>
          <cell r="I205">
            <v>670000</v>
          </cell>
          <cell r="L205">
            <v>670000</v>
          </cell>
          <cell r="M205">
            <v>0</v>
          </cell>
        </row>
        <row r="206">
          <cell r="E206" t="str">
            <v>Harry Santoso</v>
          </cell>
          <cell r="I206">
            <v>915000</v>
          </cell>
          <cell r="L206">
            <v>915000</v>
          </cell>
          <cell r="M206">
            <v>0</v>
          </cell>
        </row>
        <row r="207">
          <cell r="E207" t="str">
            <v>Harry Santoso</v>
          </cell>
          <cell r="I207">
            <v>190000</v>
          </cell>
          <cell r="L207">
            <v>190000</v>
          </cell>
          <cell r="M207">
            <v>0</v>
          </cell>
        </row>
        <row r="208">
          <cell r="E208" t="str">
            <v>Harry Santoso</v>
          </cell>
          <cell r="I208">
            <v>6750000</v>
          </cell>
          <cell r="L208">
            <v>6750000</v>
          </cell>
          <cell r="M208">
            <v>0</v>
          </cell>
        </row>
        <row r="209">
          <cell r="E209" t="str">
            <v>Harry Santoso</v>
          </cell>
          <cell r="I209">
            <v>114250000</v>
          </cell>
          <cell r="L209">
            <v>114250000</v>
          </cell>
          <cell r="M209">
            <v>0</v>
          </cell>
        </row>
        <row r="210">
          <cell r="E210" t="str">
            <v>Harry Santoso</v>
          </cell>
          <cell r="I210">
            <v>16080000</v>
          </cell>
          <cell r="L210">
            <v>16080000</v>
          </cell>
          <cell r="M210">
            <v>0</v>
          </cell>
        </row>
        <row r="211">
          <cell r="E211" t="str">
            <v>Harry Santoso</v>
          </cell>
          <cell r="I211">
            <v>12000000</v>
          </cell>
          <cell r="L211">
            <v>12000000</v>
          </cell>
          <cell r="M211">
            <v>0</v>
          </cell>
        </row>
        <row r="212">
          <cell r="E212" t="str">
            <v>Harry Santoso</v>
          </cell>
          <cell r="I212">
            <v>7830000</v>
          </cell>
          <cell r="L212">
            <v>7830000</v>
          </cell>
          <cell r="M212">
            <v>0</v>
          </cell>
        </row>
        <row r="213">
          <cell r="E213" t="str">
            <v>Harry Santoso</v>
          </cell>
          <cell r="I213">
            <v>24800000</v>
          </cell>
          <cell r="L213">
            <v>24800000</v>
          </cell>
          <cell r="M213">
            <v>0</v>
          </cell>
        </row>
        <row r="214">
          <cell r="E214" t="str">
            <v>Harry Santoso</v>
          </cell>
          <cell r="I214">
            <v>420000</v>
          </cell>
          <cell r="L214">
            <v>420000</v>
          </cell>
          <cell r="M214">
            <v>0</v>
          </cell>
        </row>
        <row r="215">
          <cell r="E215" t="str">
            <v>Harry Santoso</v>
          </cell>
          <cell r="I215">
            <v>190000</v>
          </cell>
          <cell r="L215">
            <v>190000</v>
          </cell>
          <cell r="M215">
            <v>0</v>
          </cell>
        </row>
        <row r="216">
          <cell r="E216" t="str">
            <v>Harry Santoso</v>
          </cell>
          <cell r="I216">
            <v>42000000</v>
          </cell>
          <cell r="L216">
            <v>42000000</v>
          </cell>
          <cell r="M216">
            <v>0</v>
          </cell>
        </row>
        <row r="217">
          <cell r="E217" t="str">
            <v>Harry Santoso</v>
          </cell>
          <cell r="I217">
            <v>80950000</v>
          </cell>
          <cell r="L217">
            <v>80950000</v>
          </cell>
          <cell r="M217">
            <v>0</v>
          </cell>
        </row>
        <row r="218">
          <cell r="E218" t="str">
            <v>Harry Santoso</v>
          </cell>
          <cell r="I218">
            <v>15000000</v>
          </cell>
          <cell r="L218">
            <v>15000000</v>
          </cell>
          <cell r="M218">
            <v>0</v>
          </cell>
        </row>
        <row r="219">
          <cell r="E219" t="str">
            <v>Harry Santoso</v>
          </cell>
          <cell r="I219">
            <v>46706000</v>
          </cell>
          <cell r="L219">
            <v>46706000</v>
          </cell>
          <cell r="M219">
            <v>0</v>
          </cell>
        </row>
        <row r="220">
          <cell r="E220" t="str">
            <v>Harry Santoso</v>
          </cell>
          <cell r="I220">
            <v>6940000</v>
          </cell>
          <cell r="L220">
            <v>6940000</v>
          </cell>
          <cell r="M220">
            <v>0</v>
          </cell>
        </row>
        <row r="221">
          <cell r="E221" t="str">
            <v>Harry Santoso</v>
          </cell>
          <cell r="I221">
            <v>15000000</v>
          </cell>
          <cell r="L221">
            <v>15000000</v>
          </cell>
          <cell r="M221">
            <v>0</v>
          </cell>
        </row>
        <row r="222">
          <cell r="E222" t="str">
            <v>Harry Santoso</v>
          </cell>
          <cell r="I222">
            <v>2925000</v>
          </cell>
          <cell r="L222">
            <v>2925000</v>
          </cell>
          <cell r="M222">
            <v>0</v>
          </cell>
        </row>
        <row r="223">
          <cell r="E223" t="str">
            <v>Harry Santoso</v>
          </cell>
          <cell r="I223">
            <v>95287500</v>
          </cell>
          <cell r="L223">
            <v>95287500</v>
          </cell>
          <cell r="M223">
            <v>0</v>
          </cell>
        </row>
        <row r="224">
          <cell r="E224" t="str">
            <v>Harry Santoso</v>
          </cell>
          <cell r="I224">
            <v>7800000</v>
          </cell>
          <cell r="L224">
            <v>7800000</v>
          </cell>
          <cell r="M224">
            <v>0</v>
          </cell>
        </row>
        <row r="225">
          <cell r="E225" t="str">
            <v>Harry Santoso</v>
          </cell>
          <cell r="I225">
            <v>12000000</v>
          </cell>
          <cell r="L225">
            <v>12000000</v>
          </cell>
          <cell r="M225">
            <v>0</v>
          </cell>
        </row>
        <row r="226">
          <cell r="E226" t="str">
            <v>Harry Santoso</v>
          </cell>
          <cell r="I226">
            <v>14770000</v>
          </cell>
          <cell r="L226">
            <v>14770000</v>
          </cell>
          <cell r="M226">
            <v>0</v>
          </cell>
        </row>
        <row r="227">
          <cell r="E227" t="str">
            <v>Harry Santoso</v>
          </cell>
          <cell r="I227">
            <v>3920000</v>
          </cell>
          <cell r="L227">
            <v>3920000</v>
          </cell>
          <cell r="M227">
            <v>0</v>
          </cell>
        </row>
        <row r="228">
          <cell r="E228" t="str">
            <v>Harry Santoso</v>
          </cell>
          <cell r="I228">
            <v>19800000</v>
          </cell>
          <cell r="L228">
            <v>19800000</v>
          </cell>
          <cell r="M228">
            <v>0</v>
          </cell>
        </row>
        <row r="229">
          <cell r="E229" t="str">
            <v>Harry Santoso</v>
          </cell>
          <cell r="I229">
            <v>4980000</v>
          </cell>
          <cell r="L229">
            <v>4980000</v>
          </cell>
          <cell r="M229">
            <v>0</v>
          </cell>
        </row>
        <row r="230">
          <cell r="E230" t="str">
            <v>Harry Santoso</v>
          </cell>
          <cell r="I230">
            <v>44675000</v>
          </cell>
          <cell r="L230">
            <v>44675000</v>
          </cell>
          <cell r="M230">
            <v>0</v>
          </cell>
        </row>
        <row r="231">
          <cell r="E231" t="str">
            <v>Harry Santoso</v>
          </cell>
          <cell r="I231">
            <v>7000000</v>
          </cell>
          <cell r="L231">
            <v>1361000</v>
          </cell>
          <cell r="M231">
            <v>5639000</v>
          </cell>
        </row>
        <row r="232">
          <cell r="E232" t="str">
            <v>Harry Santoso</v>
          </cell>
          <cell r="I232">
            <v>4200000</v>
          </cell>
          <cell r="L232">
            <v>0</v>
          </cell>
          <cell r="M232">
            <v>4200000</v>
          </cell>
        </row>
        <row r="233">
          <cell r="E233" t="str">
            <v>Harry Santoso</v>
          </cell>
          <cell r="I233">
            <v>8775000</v>
          </cell>
          <cell r="L233">
            <v>0</v>
          </cell>
          <cell r="M233">
            <v>8775000</v>
          </cell>
        </row>
        <row r="234">
          <cell r="E234" t="str">
            <v>Harry Santoso</v>
          </cell>
          <cell r="I234">
            <v>15000000</v>
          </cell>
          <cell r="L234">
            <v>0</v>
          </cell>
          <cell r="M234">
            <v>15000000</v>
          </cell>
        </row>
        <row r="235">
          <cell r="E235" t="str">
            <v>Harry Santoso</v>
          </cell>
          <cell r="I235">
            <v>14625000</v>
          </cell>
          <cell r="L235">
            <v>0</v>
          </cell>
          <cell r="M235">
            <v>14625000</v>
          </cell>
        </row>
        <row r="236">
          <cell r="E236" t="str">
            <v>Harry Santoso</v>
          </cell>
          <cell r="I236">
            <v>60125000</v>
          </cell>
          <cell r="L236">
            <v>0</v>
          </cell>
          <cell r="M236">
            <v>60125000</v>
          </cell>
        </row>
        <row r="237">
          <cell r="E237" t="str">
            <v>Harry Santoso</v>
          </cell>
          <cell r="I237">
            <v>32250000</v>
          </cell>
          <cell r="L237">
            <v>32250000</v>
          </cell>
          <cell r="M237">
            <v>0</v>
          </cell>
        </row>
        <row r="238">
          <cell r="E238" t="str">
            <v>Hasil Usaha, UD</v>
          </cell>
          <cell r="I238">
            <v>8500000</v>
          </cell>
          <cell r="L238">
            <v>8500000</v>
          </cell>
          <cell r="M238">
            <v>0</v>
          </cell>
        </row>
        <row r="239">
          <cell r="E239" t="str">
            <v>Hasil Usaha, UD</v>
          </cell>
          <cell r="I239">
            <v>13600000</v>
          </cell>
          <cell r="L239">
            <v>13600000</v>
          </cell>
          <cell r="M239">
            <v>0</v>
          </cell>
        </row>
        <row r="240">
          <cell r="E240" t="str">
            <v>Hasil Usaha, UD</v>
          </cell>
          <cell r="I240">
            <v>19500000</v>
          </cell>
          <cell r="L240">
            <v>19500000</v>
          </cell>
          <cell r="M240">
            <v>0</v>
          </cell>
        </row>
        <row r="241">
          <cell r="E241" t="str">
            <v>Hasil Usaha, UD</v>
          </cell>
          <cell r="I241">
            <v>13400000</v>
          </cell>
          <cell r="L241">
            <v>13400000</v>
          </cell>
          <cell r="M241">
            <v>0</v>
          </cell>
        </row>
        <row r="242">
          <cell r="E242" t="str">
            <v>Imam/Tanindo</v>
          </cell>
          <cell r="I242">
            <v>18000000</v>
          </cell>
          <cell r="L242">
            <v>0</v>
          </cell>
          <cell r="M242">
            <v>18000000</v>
          </cell>
        </row>
        <row r="243">
          <cell r="E243" t="str">
            <v>Ira Tani/Dani, H</v>
          </cell>
          <cell r="I243">
            <v>1680000</v>
          </cell>
          <cell r="L243">
            <v>0</v>
          </cell>
          <cell r="M243">
            <v>1680000</v>
          </cell>
        </row>
        <row r="244">
          <cell r="E244" t="str">
            <v>Ira Tani/Dani, H</v>
          </cell>
          <cell r="I244">
            <v>1500000</v>
          </cell>
          <cell r="L244">
            <v>0</v>
          </cell>
          <cell r="M244">
            <v>1500000</v>
          </cell>
        </row>
        <row r="245">
          <cell r="E245" t="str">
            <v>Lancar Barokah Tani/Abd Rosit</v>
          </cell>
          <cell r="I245">
            <v>3120000</v>
          </cell>
          <cell r="L245">
            <v>0</v>
          </cell>
          <cell r="M245">
            <v>3120000</v>
          </cell>
        </row>
        <row r="246">
          <cell r="E246" t="str">
            <v>Luhur Tani/M. Itqon</v>
          </cell>
          <cell r="I246">
            <v>2300000</v>
          </cell>
          <cell r="L246">
            <v>0</v>
          </cell>
          <cell r="M246">
            <v>2300000</v>
          </cell>
        </row>
        <row r="247">
          <cell r="E247" t="str">
            <v>Luhur Tani/M. Itqon</v>
          </cell>
          <cell r="I247">
            <v>6000000</v>
          </cell>
          <cell r="L247">
            <v>0</v>
          </cell>
          <cell r="M247">
            <v>6000000</v>
          </cell>
        </row>
        <row r="248">
          <cell r="E248" t="str">
            <v>Luhur Tani/M. Itqon</v>
          </cell>
          <cell r="I248">
            <v>3800000</v>
          </cell>
          <cell r="L248">
            <v>0</v>
          </cell>
          <cell r="M248">
            <v>3800000</v>
          </cell>
        </row>
        <row r="249">
          <cell r="E249" t="str">
            <v>Madya Tani/Halimatus</v>
          </cell>
          <cell r="I249">
            <v>53040000</v>
          </cell>
          <cell r="L249">
            <v>0</v>
          </cell>
          <cell r="M249">
            <v>53040000</v>
          </cell>
        </row>
        <row r="250">
          <cell r="E250" t="str">
            <v>Mahkota/Cik Cuan</v>
          </cell>
          <cell r="I250">
            <v>1700000</v>
          </cell>
          <cell r="L250">
            <v>1700000</v>
          </cell>
          <cell r="M250">
            <v>0</v>
          </cell>
        </row>
        <row r="251">
          <cell r="E251" t="str">
            <v>Mahkota/Cik Cuan</v>
          </cell>
          <cell r="I251">
            <v>2700000</v>
          </cell>
          <cell r="L251">
            <v>2700000</v>
          </cell>
          <cell r="M251">
            <v>0</v>
          </cell>
        </row>
        <row r="252">
          <cell r="E252" t="str">
            <v>Mahkota/Cik Cuan</v>
          </cell>
          <cell r="I252">
            <v>1900000</v>
          </cell>
          <cell r="L252">
            <v>1900000</v>
          </cell>
          <cell r="M252">
            <v>0</v>
          </cell>
        </row>
        <row r="253">
          <cell r="E253" t="str">
            <v>Mahkota/Cik Cuan</v>
          </cell>
          <cell r="I253">
            <v>9800000</v>
          </cell>
          <cell r="L253">
            <v>9800000</v>
          </cell>
          <cell r="M253">
            <v>0</v>
          </cell>
        </row>
        <row r="254">
          <cell r="E254" t="str">
            <v>Mahkota/Cik Cuan</v>
          </cell>
          <cell r="I254">
            <v>5925000</v>
          </cell>
          <cell r="L254">
            <v>5925000</v>
          </cell>
          <cell r="M254">
            <v>0</v>
          </cell>
        </row>
        <row r="255">
          <cell r="E255" t="str">
            <v>Mahkota/Cik Cuan</v>
          </cell>
          <cell r="I255">
            <v>5400000</v>
          </cell>
          <cell r="L255">
            <v>5400000</v>
          </cell>
          <cell r="M255">
            <v>0</v>
          </cell>
        </row>
        <row r="256">
          <cell r="E256" t="str">
            <v>Maju Tani/Dedi Kurniawan</v>
          </cell>
          <cell r="I256">
            <v>980000</v>
          </cell>
          <cell r="L256">
            <v>0</v>
          </cell>
          <cell r="M256">
            <v>980000</v>
          </cell>
        </row>
        <row r="257">
          <cell r="E257" t="str">
            <v>Merdeka Tani/Sugiono</v>
          </cell>
          <cell r="I257">
            <v>3520000</v>
          </cell>
          <cell r="L257">
            <v>0</v>
          </cell>
          <cell r="M257">
            <v>3520000</v>
          </cell>
        </row>
        <row r="258">
          <cell r="E258" t="str">
            <v>Merdeka Tani/Sugiono</v>
          </cell>
          <cell r="I258">
            <v>204000000</v>
          </cell>
          <cell r="L258">
            <v>0</v>
          </cell>
          <cell r="M258">
            <v>204000000</v>
          </cell>
        </row>
        <row r="259">
          <cell r="E259" t="str">
            <v>Merdeka Tani/Sugiono</v>
          </cell>
          <cell r="I259">
            <v>23662000</v>
          </cell>
          <cell r="L259">
            <v>0</v>
          </cell>
          <cell r="M259">
            <v>23662000</v>
          </cell>
        </row>
        <row r="260">
          <cell r="E260" t="str">
            <v>Merdeka Tani/Sugiono</v>
          </cell>
          <cell r="I260">
            <v>5400000</v>
          </cell>
          <cell r="L260">
            <v>0</v>
          </cell>
          <cell r="M260">
            <v>5400000</v>
          </cell>
        </row>
        <row r="261">
          <cell r="E261" t="str">
            <v>Merdeka Tani/Sugiono</v>
          </cell>
          <cell r="I261">
            <v>25600000</v>
          </cell>
          <cell r="L261">
            <v>0</v>
          </cell>
          <cell r="M261">
            <v>25600000</v>
          </cell>
        </row>
        <row r="262">
          <cell r="E262" t="str">
            <v>Permata, UD/Badar</v>
          </cell>
          <cell r="I262">
            <v>20640000</v>
          </cell>
          <cell r="L262">
            <v>0</v>
          </cell>
          <cell r="M262">
            <v>20640000</v>
          </cell>
        </row>
        <row r="263">
          <cell r="E263" t="str">
            <v>Permata, UD/Badar</v>
          </cell>
          <cell r="I263">
            <v>8690000</v>
          </cell>
          <cell r="L263">
            <v>8690000</v>
          </cell>
          <cell r="M263">
            <v>0</v>
          </cell>
        </row>
        <row r="264">
          <cell r="E264" t="str">
            <v>Permata, UD/Badar</v>
          </cell>
          <cell r="I264">
            <v>2760000</v>
          </cell>
          <cell r="L264">
            <v>2760000</v>
          </cell>
          <cell r="M264">
            <v>0</v>
          </cell>
        </row>
        <row r="265">
          <cell r="E265" t="str">
            <v>Permata, UD/Badar</v>
          </cell>
          <cell r="I265">
            <v>3400000</v>
          </cell>
          <cell r="L265">
            <v>3400000</v>
          </cell>
          <cell r="M265">
            <v>0</v>
          </cell>
        </row>
        <row r="266">
          <cell r="E266" t="str">
            <v>Permata, UD/Badar</v>
          </cell>
          <cell r="I266">
            <v>855000</v>
          </cell>
          <cell r="L266">
            <v>855000</v>
          </cell>
          <cell r="M266">
            <v>0</v>
          </cell>
        </row>
        <row r="267">
          <cell r="E267" t="str">
            <v>Permata, UD/Badar</v>
          </cell>
          <cell r="I267">
            <v>3300000</v>
          </cell>
          <cell r="L267">
            <v>3300000</v>
          </cell>
          <cell r="M267">
            <v>0</v>
          </cell>
        </row>
        <row r="268">
          <cell r="E268" t="str">
            <v>Permata, UD/Badar</v>
          </cell>
          <cell r="I268">
            <v>3500000</v>
          </cell>
          <cell r="L268">
            <v>3500000</v>
          </cell>
          <cell r="M268">
            <v>0</v>
          </cell>
        </row>
        <row r="269">
          <cell r="E269" t="str">
            <v>Permata, UD/Badar</v>
          </cell>
          <cell r="I269">
            <v>5535000</v>
          </cell>
          <cell r="L269">
            <v>5535000</v>
          </cell>
          <cell r="M269">
            <v>0</v>
          </cell>
        </row>
        <row r="270">
          <cell r="E270" t="str">
            <v>Puji Barokah Tani</v>
          </cell>
          <cell r="I270">
            <v>375000</v>
          </cell>
          <cell r="L270">
            <v>0</v>
          </cell>
          <cell r="M270">
            <v>375000</v>
          </cell>
        </row>
        <row r="271">
          <cell r="E271" t="str">
            <v>Puji Barokah Tani</v>
          </cell>
          <cell r="I271">
            <v>1700000</v>
          </cell>
          <cell r="L271">
            <v>0</v>
          </cell>
          <cell r="M271">
            <v>1700000</v>
          </cell>
        </row>
        <row r="272">
          <cell r="E272" t="str">
            <v>Putra Tani/Muzaiyin</v>
          </cell>
          <cell r="I272">
            <v>2200000</v>
          </cell>
          <cell r="L272">
            <v>0</v>
          </cell>
          <cell r="M272">
            <v>2200000</v>
          </cell>
        </row>
        <row r="273">
          <cell r="E273" t="str">
            <v>Raska, UD</v>
          </cell>
          <cell r="I273">
            <v>2076000</v>
          </cell>
          <cell r="L273">
            <v>2076000</v>
          </cell>
          <cell r="M273">
            <v>0</v>
          </cell>
        </row>
        <row r="274">
          <cell r="E274" t="str">
            <v>Raska, UD</v>
          </cell>
          <cell r="I274">
            <v>6420000</v>
          </cell>
          <cell r="L274">
            <v>0</v>
          </cell>
          <cell r="M274">
            <v>6420000</v>
          </cell>
        </row>
        <row r="275">
          <cell r="E275" t="str">
            <v>Rindi Tani</v>
          </cell>
          <cell r="I275">
            <v>2597800</v>
          </cell>
          <cell r="L275">
            <v>2597800</v>
          </cell>
          <cell r="M275">
            <v>0</v>
          </cell>
        </row>
        <row r="276">
          <cell r="E276" t="str">
            <v>Rindi Tani</v>
          </cell>
          <cell r="I276">
            <v>4542000</v>
          </cell>
          <cell r="L276">
            <v>0</v>
          </cell>
          <cell r="M276">
            <v>4542000</v>
          </cell>
        </row>
        <row r="277">
          <cell r="E277" t="str">
            <v>Riski Tani/Hadi</v>
          </cell>
          <cell r="I277">
            <v>19200000</v>
          </cell>
          <cell r="L277">
            <v>0</v>
          </cell>
          <cell r="M277">
            <v>19200000</v>
          </cell>
        </row>
        <row r="278">
          <cell r="E278" t="str">
            <v>Riski Tani/Hadi</v>
          </cell>
          <cell r="I278">
            <v>6200000</v>
          </cell>
          <cell r="L278">
            <v>0</v>
          </cell>
          <cell r="M278">
            <v>6200000</v>
          </cell>
        </row>
        <row r="279">
          <cell r="E279" t="str">
            <v>Riski Tani/Hadi</v>
          </cell>
          <cell r="I279">
            <v>8100000</v>
          </cell>
          <cell r="L279">
            <v>0</v>
          </cell>
          <cell r="M279">
            <v>8100000</v>
          </cell>
        </row>
        <row r="280">
          <cell r="E280" t="str">
            <v>Riski Tani/Hadi</v>
          </cell>
          <cell r="I280">
            <v>2000000</v>
          </cell>
          <cell r="L280">
            <v>0</v>
          </cell>
          <cell r="M280">
            <v>2000000</v>
          </cell>
        </row>
        <row r="281">
          <cell r="E281" t="str">
            <v>Riski Tani/Hadi</v>
          </cell>
          <cell r="I281">
            <v>10400000</v>
          </cell>
          <cell r="L281">
            <v>0</v>
          </cell>
          <cell r="M281">
            <v>10400000</v>
          </cell>
        </row>
        <row r="282">
          <cell r="E282" t="str">
            <v>Riski Tani/Hadi</v>
          </cell>
          <cell r="I282">
            <v>920000</v>
          </cell>
          <cell r="L282">
            <v>0</v>
          </cell>
          <cell r="M282">
            <v>920000</v>
          </cell>
        </row>
        <row r="283">
          <cell r="E283" t="str">
            <v>Riski Tani/Hadi</v>
          </cell>
          <cell r="I283">
            <v>5200000</v>
          </cell>
          <cell r="L283">
            <v>0</v>
          </cell>
          <cell r="M283">
            <v>5200000</v>
          </cell>
        </row>
        <row r="284">
          <cell r="E284" t="str">
            <v>Riski Tani/Hadi</v>
          </cell>
          <cell r="I284">
            <v>3800000</v>
          </cell>
          <cell r="L284">
            <v>0</v>
          </cell>
          <cell r="M284">
            <v>3800000</v>
          </cell>
        </row>
        <row r="285">
          <cell r="E285" t="str">
            <v>Riski Tani/Hadi</v>
          </cell>
          <cell r="I285">
            <v>3500000</v>
          </cell>
          <cell r="L285">
            <v>0</v>
          </cell>
          <cell r="M285">
            <v>3500000</v>
          </cell>
        </row>
        <row r="286">
          <cell r="E286" t="str">
            <v>Riski Tani/Hadi</v>
          </cell>
          <cell r="I286">
            <v>2962500</v>
          </cell>
          <cell r="L286">
            <v>0</v>
          </cell>
          <cell r="M286">
            <v>2962500</v>
          </cell>
        </row>
        <row r="287">
          <cell r="E287" t="str">
            <v>Riski Tani/Hadi</v>
          </cell>
          <cell r="I287">
            <v>5700000</v>
          </cell>
          <cell r="L287">
            <v>0</v>
          </cell>
          <cell r="M287">
            <v>5700000</v>
          </cell>
        </row>
        <row r="288">
          <cell r="E288" t="str">
            <v>Riski Tani/Hadi</v>
          </cell>
          <cell r="I288">
            <v>5420000</v>
          </cell>
          <cell r="L288">
            <v>0</v>
          </cell>
          <cell r="M288">
            <v>5420000</v>
          </cell>
        </row>
        <row r="289">
          <cell r="E289" t="str">
            <v>Riski Tani/Hadi</v>
          </cell>
          <cell r="I289">
            <v>17640000</v>
          </cell>
          <cell r="L289">
            <v>0</v>
          </cell>
          <cell r="M289">
            <v>17640000</v>
          </cell>
        </row>
        <row r="290">
          <cell r="E290" t="str">
            <v>Riski Tani/Hadi</v>
          </cell>
          <cell r="I290">
            <v>3500000</v>
          </cell>
          <cell r="L290">
            <v>0</v>
          </cell>
          <cell r="M290">
            <v>3500000</v>
          </cell>
        </row>
        <row r="291">
          <cell r="E291" t="str">
            <v>Riski Tani/Hadi</v>
          </cell>
          <cell r="I291">
            <v>1840000</v>
          </cell>
          <cell r="L291">
            <v>0</v>
          </cell>
          <cell r="M291">
            <v>1840000</v>
          </cell>
        </row>
        <row r="292">
          <cell r="E292" t="str">
            <v>Rizki, UD/Kusnyoto</v>
          </cell>
          <cell r="I292">
            <v>10400000</v>
          </cell>
          <cell r="L292">
            <v>2900000</v>
          </cell>
          <cell r="M292">
            <v>7500000</v>
          </cell>
        </row>
        <row r="293">
          <cell r="E293" t="str">
            <v>Sekumpul Tani/Nofal</v>
          </cell>
          <cell r="I293">
            <v>7000000</v>
          </cell>
          <cell r="L293">
            <v>0</v>
          </cell>
          <cell r="M293">
            <v>7000000</v>
          </cell>
        </row>
        <row r="294">
          <cell r="E294" t="str">
            <v>Semar/Wasto</v>
          </cell>
          <cell r="I294">
            <v>490000</v>
          </cell>
          <cell r="L294">
            <v>490000</v>
          </cell>
          <cell r="M294">
            <v>0</v>
          </cell>
        </row>
        <row r="295">
          <cell r="E295" t="str">
            <v>Semar/Wasto</v>
          </cell>
          <cell r="I295">
            <v>5272000</v>
          </cell>
          <cell r="L295">
            <v>5272000</v>
          </cell>
          <cell r="M295">
            <v>0</v>
          </cell>
        </row>
        <row r="296">
          <cell r="E296" t="str">
            <v>Sumber Tani/Eko Wardono</v>
          </cell>
          <cell r="I296">
            <v>8200000</v>
          </cell>
          <cell r="L296">
            <v>8200000</v>
          </cell>
          <cell r="M296">
            <v>0</v>
          </cell>
        </row>
        <row r="297">
          <cell r="E297" t="str">
            <v>Sumber Tani/Eko Wardono</v>
          </cell>
          <cell r="I297">
            <v>2640000</v>
          </cell>
          <cell r="L297">
            <v>2640000</v>
          </cell>
          <cell r="M297">
            <v>0</v>
          </cell>
        </row>
        <row r="298">
          <cell r="E298" t="str">
            <v>Sumber Tani/Eko Wardono</v>
          </cell>
          <cell r="I298">
            <v>9500000</v>
          </cell>
          <cell r="L298">
            <v>9500000</v>
          </cell>
          <cell r="M298">
            <v>0</v>
          </cell>
        </row>
        <row r="299">
          <cell r="E299" t="str">
            <v>Sumber Tani/Eko Wardono</v>
          </cell>
          <cell r="I299">
            <v>8210000</v>
          </cell>
          <cell r="L299">
            <v>0</v>
          </cell>
          <cell r="M299">
            <v>8210000</v>
          </cell>
        </row>
        <row r="300">
          <cell r="E300" t="str">
            <v>Sumber Tani/Eko Wardono</v>
          </cell>
          <cell r="I300">
            <v>1410000</v>
          </cell>
          <cell r="L300">
            <v>0</v>
          </cell>
          <cell r="M300">
            <v>1410000</v>
          </cell>
        </row>
        <row r="301">
          <cell r="E301" t="str">
            <v>Sumber Tani/Eko Wardono</v>
          </cell>
          <cell r="I301">
            <v>7730000</v>
          </cell>
          <cell r="L301">
            <v>0</v>
          </cell>
          <cell r="M301">
            <v>7730000</v>
          </cell>
        </row>
        <row r="302">
          <cell r="E302" t="str">
            <v>Sumber Tani/Eko Wardono</v>
          </cell>
          <cell r="I302">
            <v>7480000</v>
          </cell>
          <cell r="L302">
            <v>0</v>
          </cell>
          <cell r="M302">
            <v>7480000</v>
          </cell>
        </row>
        <row r="303">
          <cell r="E303" t="str">
            <v>Tani Jaya/Mul</v>
          </cell>
          <cell r="I303">
            <v>4525000</v>
          </cell>
          <cell r="L303">
            <v>4525000</v>
          </cell>
          <cell r="M303">
            <v>0</v>
          </cell>
        </row>
        <row r="304">
          <cell r="E304" t="str">
            <v>Tani Joss</v>
          </cell>
          <cell r="I304">
            <v>5968000</v>
          </cell>
          <cell r="L304">
            <v>0</v>
          </cell>
          <cell r="M304">
            <v>5968000</v>
          </cell>
        </row>
        <row r="305">
          <cell r="E305" t="str">
            <v>Tani Joss</v>
          </cell>
          <cell r="I305">
            <v>1510000</v>
          </cell>
          <cell r="L305">
            <v>0</v>
          </cell>
          <cell r="M305">
            <v>1510000</v>
          </cell>
        </row>
        <row r="306">
          <cell r="E306" t="str">
            <v>Tani Joss</v>
          </cell>
          <cell r="I306">
            <v>10803000</v>
          </cell>
          <cell r="L306">
            <v>0</v>
          </cell>
          <cell r="M306">
            <v>10803000</v>
          </cell>
        </row>
        <row r="307">
          <cell r="E307" t="str">
            <v>Tani Mulyo, UD/Bastian</v>
          </cell>
          <cell r="I307">
            <v>5100000</v>
          </cell>
          <cell r="L307">
            <v>0</v>
          </cell>
          <cell r="M307">
            <v>5100000</v>
          </cell>
        </row>
        <row r="308">
          <cell r="E308" t="str">
            <v>Tani Mulyo, UD/Bastian</v>
          </cell>
          <cell r="I308">
            <v>1965000</v>
          </cell>
          <cell r="L308">
            <v>0</v>
          </cell>
          <cell r="M308">
            <v>1965000</v>
          </cell>
        </row>
        <row r="309">
          <cell r="E309" t="str">
            <v>Tani Mulyo, UD/Bastian</v>
          </cell>
          <cell r="I309">
            <v>3090000</v>
          </cell>
          <cell r="L309">
            <v>0</v>
          </cell>
          <cell r="M309">
            <v>3090000</v>
          </cell>
        </row>
        <row r="310">
          <cell r="E310" t="str">
            <v>Tani Mulyo, UD/Bastian</v>
          </cell>
          <cell r="I310">
            <v>1960000</v>
          </cell>
          <cell r="L310">
            <v>0</v>
          </cell>
          <cell r="M310">
            <v>1960000</v>
          </cell>
        </row>
        <row r="311">
          <cell r="E311" t="str">
            <v>Tretan Tani/Anam</v>
          </cell>
          <cell r="I311">
            <v>6030000</v>
          </cell>
          <cell r="L311">
            <v>6030000</v>
          </cell>
          <cell r="M311">
            <v>0</v>
          </cell>
        </row>
        <row r="312">
          <cell r="E312" t="str">
            <v>Tretan Tani/Anam</v>
          </cell>
          <cell r="I312">
            <v>6030000</v>
          </cell>
          <cell r="L312">
            <v>6030000</v>
          </cell>
          <cell r="M312">
            <v>0</v>
          </cell>
        </row>
        <row r="313">
          <cell r="E313" t="str">
            <v>Usaha Tani/Maria (Rofiqi Asiana)</v>
          </cell>
          <cell r="I313">
            <v>3702000</v>
          </cell>
          <cell r="L313">
            <v>0</v>
          </cell>
          <cell r="M313">
            <v>3702000</v>
          </cell>
        </row>
        <row r="314">
          <cell r="E314" t="str">
            <v>Usaha Tani/Maria (Rofiqi Asiana)</v>
          </cell>
          <cell r="I314">
            <v>425000</v>
          </cell>
          <cell r="L314">
            <v>0</v>
          </cell>
          <cell r="M314">
            <v>425000</v>
          </cell>
        </row>
        <row r="315">
          <cell r="E315" t="str">
            <v>Wijaya/Retty</v>
          </cell>
          <cell r="I315">
            <v>3400000</v>
          </cell>
          <cell r="L315">
            <v>3400000</v>
          </cell>
          <cell r="M315">
            <v>0</v>
          </cell>
        </row>
        <row r="316">
          <cell r="E316" t="str">
            <v>Wira Tani, UD</v>
          </cell>
          <cell r="I316">
            <v>3885000</v>
          </cell>
          <cell r="L316">
            <v>0</v>
          </cell>
          <cell r="M316">
            <v>3885000</v>
          </cell>
        </row>
        <row r="317">
          <cell r="L317">
            <v>0</v>
          </cell>
          <cell r="M317">
            <v>0</v>
          </cell>
        </row>
        <row r="318">
          <cell r="L318">
            <v>0</v>
          </cell>
          <cell r="M318">
            <v>0</v>
          </cell>
        </row>
        <row r="319">
          <cell r="L319">
            <v>0</v>
          </cell>
          <cell r="M319">
            <v>0</v>
          </cell>
        </row>
        <row r="320">
          <cell r="L320">
            <v>0</v>
          </cell>
          <cell r="M320">
            <v>0</v>
          </cell>
        </row>
        <row r="321">
          <cell r="L321">
            <v>0</v>
          </cell>
          <cell r="M321">
            <v>0</v>
          </cell>
        </row>
        <row r="322">
          <cell r="L322">
            <v>0</v>
          </cell>
          <cell r="M322">
            <v>0</v>
          </cell>
        </row>
        <row r="323">
          <cell r="L323">
            <v>0</v>
          </cell>
          <cell r="M323">
            <v>0</v>
          </cell>
        </row>
        <row r="324">
          <cell r="L324">
            <v>0</v>
          </cell>
          <cell r="M324">
            <v>0</v>
          </cell>
        </row>
        <row r="325">
          <cell r="L325">
            <v>0</v>
          </cell>
          <cell r="M325">
            <v>0</v>
          </cell>
        </row>
        <row r="326">
          <cell r="L326">
            <v>0</v>
          </cell>
          <cell r="M326">
            <v>0</v>
          </cell>
        </row>
        <row r="327">
          <cell r="L327">
            <v>0</v>
          </cell>
          <cell r="M327">
            <v>0</v>
          </cell>
        </row>
        <row r="328">
          <cell r="L328">
            <v>0</v>
          </cell>
          <cell r="M328">
            <v>0</v>
          </cell>
        </row>
        <row r="329">
          <cell r="L329">
            <v>0</v>
          </cell>
          <cell r="M329">
            <v>0</v>
          </cell>
        </row>
        <row r="330">
          <cell r="L330">
            <v>0</v>
          </cell>
          <cell r="M330">
            <v>0</v>
          </cell>
        </row>
        <row r="331">
          <cell r="L331">
            <v>0</v>
          </cell>
          <cell r="M331">
            <v>0</v>
          </cell>
        </row>
        <row r="332">
          <cell r="L332">
            <v>0</v>
          </cell>
          <cell r="M332">
            <v>0</v>
          </cell>
        </row>
        <row r="333">
          <cell r="L333">
            <v>0</v>
          </cell>
          <cell r="M333">
            <v>0</v>
          </cell>
        </row>
        <row r="334">
          <cell r="L334">
            <v>0</v>
          </cell>
          <cell r="M334">
            <v>0</v>
          </cell>
        </row>
        <row r="335">
          <cell r="L335">
            <v>0</v>
          </cell>
          <cell r="M335">
            <v>0</v>
          </cell>
        </row>
        <row r="336">
          <cell r="L336">
            <v>0</v>
          </cell>
          <cell r="M336">
            <v>0</v>
          </cell>
        </row>
        <row r="337">
          <cell r="L337">
            <v>0</v>
          </cell>
          <cell r="M337">
            <v>0</v>
          </cell>
        </row>
        <row r="338">
          <cell r="L338">
            <v>0</v>
          </cell>
          <cell r="M338">
            <v>0</v>
          </cell>
        </row>
        <row r="339">
          <cell r="L339">
            <v>0</v>
          </cell>
          <cell r="M339">
            <v>0</v>
          </cell>
        </row>
        <row r="340">
          <cell r="L340">
            <v>0</v>
          </cell>
          <cell r="M340">
            <v>0</v>
          </cell>
        </row>
        <row r="341">
          <cell r="L341">
            <v>0</v>
          </cell>
          <cell r="M341">
            <v>0</v>
          </cell>
        </row>
        <row r="342">
          <cell r="L342">
            <v>0</v>
          </cell>
          <cell r="M342">
            <v>0</v>
          </cell>
        </row>
        <row r="343">
          <cell r="L343">
            <v>0</v>
          </cell>
          <cell r="M343">
            <v>0</v>
          </cell>
        </row>
        <row r="344">
          <cell r="L344">
            <v>0</v>
          </cell>
          <cell r="M344">
            <v>0</v>
          </cell>
        </row>
        <row r="345">
          <cell r="L345">
            <v>0</v>
          </cell>
          <cell r="M345">
            <v>0</v>
          </cell>
        </row>
        <row r="346">
          <cell r="L346">
            <v>0</v>
          </cell>
          <cell r="M346">
            <v>0</v>
          </cell>
        </row>
        <row r="347">
          <cell r="L347">
            <v>0</v>
          </cell>
          <cell r="M347">
            <v>0</v>
          </cell>
        </row>
        <row r="348">
          <cell r="L348">
            <v>0</v>
          </cell>
          <cell r="M348">
            <v>0</v>
          </cell>
        </row>
        <row r="349">
          <cell r="L349">
            <v>0</v>
          </cell>
          <cell r="M349">
            <v>0</v>
          </cell>
        </row>
        <row r="350">
          <cell r="L350">
            <v>0</v>
          </cell>
          <cell r="M350">
            <v>0</v>
          </cell>
        </row>
        <row r="351">
          <cell r="L351">
            <v>0</v>
          </cell>
          <cell r="M351">
            <v>0</v>
          </cell>
        </row>
        <row r="352">
          <cell r="L352">
            <v>0</v>
          </cell>
          <cell r="M352">
            <v>0</v>
          </cell>
        </row>
        <row r="353">
          <cell r="L353">
            <v>0</v>
          </cell>
          <cell r="M353">
            <v>0</v>
          </cell>
        </row>
        <row r="354">
          <cell r="L354">
            <v>0</v>
          </cell>
          <cell r="M354">
            <v>0</v>
          </cell>
        </row>
        <row r="355">
          <cell r="L355">
            <v>0</v>
          </cell>
          <cell r="M355">
            <v>0</v>
          </cell>
        </row>
        <row r="356">
          <cell r="L356">
            <v>0</v>
          </cell>
          <cell r="M356">
            <v>0</v>
          </cell>
        </row>
        <row r="357">
          <cell r="L357">
            <v>0</v>
          </cell>
          <cell r="M357">
            <v>0</v>
          </cell>
        </row>
        <row r="358">
          <cell r="L358">
            <v>0</v>
          </cell>
          <cell r="M358">
            <v>0</v>
          </cell>
        </row>
        <row r="359">
          <cell r="L359">
            <v>0</v>
          </cell>
          <cell r="M359">
            <v>0</v>
          </cell>
        </row>
        <row r="360">
          <cell r="L360">
            <v>0</v>
          </cell>
          <cell r="M360">
            <v>0</v>
          </cell>
        </row>
        <row r="361">
          <cell r="L361">
            <v>0</v>
          </cell>
          <cell r="M361">
            <v>0</v>
          </cell>
        </row>
        <row r="362">
          <cell r="L362">
            <v>0</v>
          </cell>
          <cell r="M362">
            <v>0</v>
          </cell>
        </row>
        <row r="363">
          <cell r="L363">
            <v>0</v>
          </cell>
          <cell r="M363">
            <v>0</v>
          </cell>
        </row>
        <row r="364">
          <cell r="L364">
            <v>0</v>
          </cell>
          <cell r="M364">
            <v>0</v>
          </cell>
        </row>
        <row r="365">
          <cell r="L365">
            <v>0</v>
          </cell>
          <cell r="M365">
            <v>0</v>
          </cell>
        </row>
        <row r="366">
          <cell r="L366">
            <v>0</v>
          </cell>
          <cell r="M366">
            <v>0</v>
          </cell>
        </row>
        <row r="367">
          <cell r="L367">
            <v>0</v>
          </cell>
          <cell r="M367">
            <v>0</v>
          </cell>
        </row>
        <row r="368">
          <cell r="L368">
            <v>0</v>
          </cell>
          <cell r="M368">
            <v>0</v>
          </cell>
        </row>
        <row r="369">
          <cell r="L369">
            <v>0</v>
          </cell>
          <cell r="M369">
            <v>0</v>
          </cell>
        </row>
        <row r="370">
          <cell r="L370">
            <v>0</v>
          </cell>
          <cell r="M370">
            <v>0</v>
          </cell>
        </row>
        <row r="371">
          <cell r="L371">
            <v>0</v>
          </cell>
          <cell r="M371">
            <v>0</v>
          </cell>
        </row>
        <row r="372">
          <cell r="L372">
            <v>0</v>
          </cell>
          <cell r="M372">
            <v>0</v>
          </cell>
        </row>
        <row r="373">
          <cell r="L373">
            <v>0</v>
          </cell>
          <cell r="M373">
            <v>0</v>
          </cell>
        </row>
        <row r="374">
          <cell r="L374">
            <v>0</v>
          </cell>
          <cell r="M374">
            <v>0</v>
          </cell>
        </row>
        <row r="375">
          <cell r="L375">
            <v>0</v>
          </cell>
          <cell r="M375">
            <v>0</v>
          </cell>
        </row>
        <row r="376">
          <cell r="L376">
            <v>0</v>
          </cell>
          <cell r="M376">
            <v>0</v>
          </cell>
        </row>
        <row r="377">
          <cell r="L377">
            <v>0</v>
          </cell>
          <cell r="M377">
            <v>0</v>
          </cell>
        </row>
        <row r="378">
          <cell r="L378">
            <v>0</v>
          </cell>
          <cell r="M378">
            <v>0</v>
          </cell>
        </row>
        <row r="379">
          <cell r="L379">
            <v>0</v>
          </cell>
          <cell r="M379">
            <v>0</v>
          </cell>
        </row>
        <row r="380">
          <cell r="L380">
            <v>0</v>
          </cell>
          <cell r="M380">
            <v>0</v>
          </cell>
        </row>
        <row r="381">
          <cell r="L381">
            <v>0</v>
          </cell>
          <cell r="M381">
            <v>0</v>
          </cell>
        </row>
        <row r="382">
          <cell r="L382">
            <v>0</v>
          </cell>
          <cell r="M382">
            <v>0</v>
          </cell>
        </row>
        <row r="383">
          <cell r="L383">
            <v>0</v>
          </cell>
          <cell r="M383">
            <v>0</v>
          </cell>
        </row>
        <row r="384">
          <cell r="L384">
            <v>0</v>
          </cell>
          <cell r="M384">
            <v>0</v>
          </cell>
        </row>
        <row r="385">
          <cell r="L385">
            <v>0</v>
          </cell>
          <cell r="M385">
            <v>0</v>
          </cell>
        </row>
        <row r="386">
          <cell r="L386">
            <v>0</v>
          </cell>
          <cell r="M386">
            <v>0</v>
          </cell>
        </row>
        <row r="387">
          <cell r="L387">
            <v>0</v>
          </cell>
          <cell r="M387">
            <v>0</v>
          </cell>
        </row>
        <row r="388">
          <cell r="L388">
            <v>0</v>
          </cell>
          <cell r="M388">
            <v>0</v>
          </cell>
        </row>
        <row r="389">
          <cell r="L389">
            <v>0</v>
          </cell>
          <cell r="M389">
            <v>0</v>
          </cell>
        </row>
        <row r="390">
          <cell r="L390">
            <v>0</v>
          </cell>
          <cell r="M390">
            <v>0</v>
          </cell>
        </row>
        <row r="391">
          <cell r="L391">
            <v>0</v>
          </cell>
          <cell r="M391">
            <v>0</v>
          </cell>
        </row>
        <row r="392">
          <cell r="L392">
            <v>0</v>
          </cell>
          <cell r="M392">
            <v>0</v>
          </cell>
        </row>
        <row r="393">
          <cell r="L393">
            <v>0</v>
          </cell>
          <cell r="M393">
            <v>0</v>
          </cell>
        </row>
        <row r="394">
          <cell r="L394">
            <v>0</v>
          </cell>
          <cell r="M394">
            <v>0</v>
          </cell>
        </row>
        <row r="395">
          <cell r="L395">
            <v>0</v>
          </cell>
          <cell r="M395">
            <v>0</v>
          </cell>
        </row>
        <row r="396">
          <cell r="L396">
            <v>0</v>
          </cell>
          <cell r="M396">
            <v>0</v>
          </cell>
        </row>
        <row r="397">
          <cell r="L397">
            <v>0</v>
          </cell>
          <cell r="M397">
            <v>0</v>
          </cell>
        </row>
        <row r="398">
          <cell r="L398">
            <v>0</v>
          </cell>
          <cell r="M398">
            <v>0</v>
          </cell>
        </row>
        <row r="399">
          <cell r="L399">
            <v>0</v>
          </cell>
          <cell r="M399">
            <v>0</v>
          </cell>
        </row>
        <row r="400">
          <cell r="L400">
            <v>0</v>
          </cell>
          <cell r="M400">
            <v>0</v>
          </cell>
        </row>
        <row r="401">
          <cell r="L401">
            <v>0</v>
          </cell>
          <cell r="M401">
            <v>0</v>
          </cell>
        </row>
        <row r="402">
          <cell r="L402">
            <v>0</v>
          </cell>
          <cell r="M402">
            <v>0</v>
          </cell>
        </row>
        <row r="403">
          <cell r="L403">
            <v>0</v>
          </cell>
          <cell r="M403">
            <v>0</v>
          </cell>
        </row>
        <row r="404">
          <cell r="L404">
            <v>0</v>
          </cell>
          <cell r="M404">
            <v>0</v>
          </cell>
        </row>
        <row r="405">
          <cell r="L405">
            <v>0</v>
          </cell>
          <cell r="M405">
            <v>0</v>
          </cell>
        </row>
        <row r="406">
          <cell r="L406">
            <v>0</v>
          </cell>
          <cell r="M406">
            <v>0</v>
          </cell>
        </row>
        <row r="407">
          <cell r="L407">
            <v>0</v>
          </cell>
          <cell r="M407">
            <v>0</v>
          </cell>
        </row>
        <row r="408">
          <cell r="L408">
            <v>0</v>
          </cell>
          <cell r="M408">
            <v>0</v>
          </cell>
        </row>
        <row r="409">
          <cell r="L409">
            <v>0</v>
          </cell>
          <cell r="M409">
            <v>0</v>
          </cell>
        </row>
        <row r="410">
          <cell r="L410">
            <v>0</v>
          </cell>
          <cell r="M410">
            <v>0</v>
          </cell>
        </row>
        <row r="411">
          <cell r="L411">
            <v>0</v>
          </cell>
          <cell r="M411">
            <v>0</v>
          </cell>
        </row>
        <row r="412">
          <cell r="L412">
            <v>0</v>
          </cell>
          <cell r="M412">
            <v>0</v>
          </cell>
        </row>
        <row r="413">
          <cell r="L413">
            <v>0</v>
          </cell>
          <cell r="M413">
            <v>0</v>
          </cell>
        </row>
        <row r="414">
          <cell r="L414">
            <v>0</v>
          </cell>
          <cell r="M414">
            <v>0</v>
          </cell>
        </row>
        <row r="415">
          <cell r="L415">
            <v>0</v>
          </cell>
          <cell r="M415">
            <v>0</v>
          </cell>
        </row>
        <row r="416">
          <cell r="L416">
            <v>0</v>
          </cell>
          <cell r="M416">
            <v>0</v>
          </cell>
        </row>
        <row r="417">
          <cell r="L417">
            <v>0</v>
          </cell>
          <cell r="M417">
            <v>0</v>
          </cell>
        </row>
        <row r="418">
          <cell r="L418">
            <v>0</v>
          </cell>
          <cell r="M418">
            <v>0</v>
          </cell>
        </row>
        <row r="419">
          <cell r="L419">
            <v>0</v>
          </cell>
          <cell r="M419">
            <v>0</v>
          </cell>
        </row>
        <row r="420">
          <cell r="L420">
            <v>0</v>
          </cell>
          <cell r="M420">
            <v>0</v>
          </cell>
        </row>
        <row r="421">
          <cell r="L421">
            <v>0</v>
          </cell>
          <cell r="M421">
            <v>0</v>
          </cell>
        </row>
        <row r="422">
          <cell r="L422">
            <v>0</v>
          </cell>
          <cell r="M422">
            <v>0</v>
          </cell>
        </row>
        <row r="423">
          <cell r="L423">
            <v>0</v>
          </cell>
          <cell r="M423">
            <v>0</v>
          </cell>
        </row>
        <row r="424">
          <cell r="L424">
            <v>0</v>
          </cell>
          <cell r="M424">
            <v>0</v>
          </cell>
        </row>
        <row r="425">
          <cell r="L425">
            <v>0</v>
          </cell>
          <cell r="M425">
            <v>0</v>
          </cell>
        </row>
        <row r="426">
          <cell r="L426">
            <v>0</v>
          </cell>
          <cell r="M426">
            <v>0</v>
          </cell>
        </row>
        <row r="427">
          <cell r="L427">
            <v>0</v>
          </cell>
          <cell r="M427">
            <v>0</v>
          </cell>
        </row>
        <row r="428">
          <cell r="L428">
            <v>0</v>
          </cell>
          <cell r="M428">
            <v>0</v>
          </cell>
        </row>
        <row r="429">
          <cell r="L429">
            <v>0</v>
          </cell>
          <cell r="M429">
            <v>0</v>
          </cell>
        </row>
        <row r="430">
          <cell r="L430">
            <v>0</v>
          </cell>
          <cell r="M430">
            <v>0</v>
          </cell>
        </row>
        <row r="431">
          <cell r="L431">
            <v>0</v>
          </cell>
          <cell r="M431">
            <v>0</v>
          </cell>
        </row>
        <row r="432">
          <cell r="L432">
            <v>0</v>
          </cell>
          <cell r="M432">
            <v>0</v>
          </cell>
        </row>
        <row r="433">
          <cell r="L433">
            <v>0</v>
          </cell>
          <cell r="M433">
            <v>0</v>
          </cell>
        </row>
        <row r="434">
          <cell r="L434">
            <v>0</v>
          </cell>
          <cell r="M434">
            <v>0</v>
          </cell>
        </row>
        <row r="435">
          <cell r="L435">
            <v>0</v>
          </cell>
          <cell r="M435">
            <v>0</v>
          </cell>
        </row>
        <row r="436">
          <cell r="L436">
            <v>0</v>
          </cell>
          <cell r="M436">
            <v>0</v>
          </cell>
        </row>
        <row r="437">
          <cell r="L437">
            <v>0</v>
          </cell>
          <cell r="M437">
            <v>0</v>
          </cell>
        </row>
        <row r="438">
          <cell r="L438">
            <v>0</v>
          </cell>
          <cell r="M438">
            <v>0</v>
          </cell>
        </row>
        <row r="439">
          <cell r="L439">
            <v>0</v>
          </cell>
          <cell r="M439">
            <v>0</v>
          </cell>
        </row>
        <row r="440">
          <cell r="L440">
            <v>0</v>
          </cell>
          <cell r="M440">
            <v>0</v>
          </cell>
        </row>
        <row r="441">
          <cell r="L441">
            <v>0</v>
          </cell>
          <cell r="M441">
            <v>0</v>
          </cell>
        </row>
        <row r="442">
          <cell r="L442">
            <v>0</v>
          </cell>
          <cell r="M442">
            <v>0</v>
          </cell>
        </row>
        <row r="443">
          <cell r="L443">
            <v>0</v>
          </cell>
          <cell r="M443">
            <v>0</v>
          </cell>
        </row>
        <row r="444">
          <cell r="L444">
            <v>0</v>
          </cell>
          <cell r="M444">
            <v>0</v>
          </cell>
        </row>
        <row r="445">
          <cell r="L445">
            <v>0</v>
          </cell>
          <cell r="M445">
            <v>0</v>
          </cell>
        </row>
        <row r="446">
          <cell r="L446">
            <v>0</v>
          </cell>
          <cell r="M446">
            <v>0</v>
          </cell>
        </row>
        <row r="447">
          <cell r="L447">
            <v>0</v>
          </cell>
          <cell r="M447">
            <v>0</v>
          </cell>
        </row>
        <row r="448">
          <cell r="L448">
            <v>0</v>
          </cell>
          <cell r="M448">
            <v>0</v>
          </cell>
        </row>
        <row r="449">
          <cell r="L449">
            <v>0</v>
          </cell>
          <cell r="M449">
            <v>0</v>
          </cell>
        </row>
        <row r="450">
          <cell r="L450">
            <v>0</v>
          </cell>
          <cell r="M450">
            <v>0</v>
          </cell>
        </row>
        <row r="451">
          <cell r="L451">
            <v>0</v>
          </cell>
          <cell r="M451">
            <v>0</v>
          </cell>
        </row>
        <row r="452">
          <cell r="L452">
            <v>0</v>
          </cell>
          <cell r="M452">
            <v>0</v>
          </cell>
        </row>
        <row r="453">
          <cell r="L453">
            <v>0</v>
          </cell>
          <cell r="M453">
            <v>0</v>
          </cell>
        </row>
        <row r="454">
          <cell r="L454">
            <v>0</v>
          </cell>
          <cell r="M454">
            <v>0</v>
          </cell>
        </row>
        <row r="455">
          <cell r="L455">
            <v>0</v>
          </cell>
          <cell r="M455">
            <v>0</v>
          </cell>
        </row>
        <row r="456">
          <cell r="L456">
            <v>0</v>
          </cell>
          <cell r="M456">
            <v>0</v>
          </cell>
        </row>
        <row r="457">
          <cell r="L457">
            <v>0</v>
          </cell>
          <cell r="M457">
            <v>0</v>
          </cell>
        </row>
        <row r="458">
          <cell r="L458">
            <v>0</v>
          </cell>
          <cell r="M458">
            <v>0</v>
          </cell>
        </row>
        <row r="459">
          <cell r="L459">
            <v>0</v>
          </cell>
          <cell r="M459">
            <v>0</v>
          </cell>
        </row>
        <row r="460">
          <cell r="L460">
            <v>0</v>
          </cell>
          <cell r="M460">
            <v>0</v>
          </cell>
        </row>
        <row r="461">
          <cell r="L461">
            <v>0</v>
          </cell>
          <cell r="M461">
            <v>0</v>
          </cell>
        </row>
        <row r="462">
          <cell r="L462">
            <v>0</v>
          </cell>
          <cell r="M462">
            <v>0</v>
          </cell>
        </row>
        <row r="463">
          <cell r="L463">
            <v>0</v>
          </cell>
          <cell r="M463">
            <v>0</v>
          </cell>
        </row>
        <row r="464">
          <cell r="L464">
            <v>0</v>
          </cell>
          <cell r="M464">
            <v>0</v>
          </cell>
        </row>
        <row r="465">
          <cell r="L465">
            <v>0</v>
          </cell>
          <cell r="M465">
            <v>0</v>
          </cell>
        </row>
        <row r="466">
          <cell r="L466">
            <v>0</v>
          </cell>
          <cell r="M466">
            <v>0</v>
          </cell>
        </row>
        <row r="467">
          <cell r="L467">
            <v>0</v>
          </cell>
          <cell r="M467">
            <v>0</v>
          </cell>
        </row>
        <row r="468">
          <cell r="L468">
            <v>0</v>
          </cell>
          <cell r="M468">
            <v>0</v>
          </cell>
        </row>
        <row r="469">
          <cell r="L469">
            <v>0</v>
          </cell>
          <cell r="M469">
            <v>0</v>
          </cell>
        </row>
        <row r="470">
          <cell r="L470">
            <v>0</v>
          </cell>
          <cell r="M470">
            <v>0</v>
          </cell>
        </row>
        <row r="471">
          <cell r="L471">
            <v>0</v>
          </cell>
          <cell r="M471">
            <v>0</v>
          </cell>
        </row>
        <row r="472">
          <cell r="L472">
            <v>0</v>
          </cell>
          <cell r="M472">
            <v>0</v>
          </cell>
        </row>
        <row r="473">
          <cell r="L473">
            <v>0</v>
          </cell>
          <cell r="M473">
            <v>0</v>
          </cell>
        </row>
        <row r="474">
          <cell r="L474">
            <v>0</v>
          </cell>
          <cell r="M474">
            <v>0</v>
          </cell>
        </row>
        <row r="475">
          <cell r="L475">
            <v>0</v>
          </cell>
          <cell r="M475">
            <v>0</v>
          </cell>
        </row>
        <row r="476">
          <cell r="L476">
            <v>0</v>
          </cell>
          <cell r="M476">
            <v>0</v>
          </cell>
        </row>
        <row r="477">
          <cell r="L477">
            <v>0</v>
          </cell>
          <cell r="M477">
            <v>0</v>
          </cell>
        </row>
        <row r="478">
          <cell r="L478">
            <v>0</v>
          </cell>
          <cell r="M478">
            <v>0</v>
          </cell>
        </row>
        <row r="479">
          <cell r="L479">
            <v>0</v>
          </cell>
          <cell r="M479">
            <v>0</v>
          </cell>
        </row>
        <row r="480">
          <cell r="L480">
            <v>0</v>
          </cell>
          <cell r="M480">
            <v>0</v>
          </cell>
        </row>
        <row r="481">
          <cell r="L481">
            <v>0</v>
          </cell>
          <cell r="M481">
            <v>0</v>
          </cell>
        </row>
        <row r="482">
          <cell r="L482">
            <v>0</v>
          </cell>
          <cell r="M482">
            <v>0</v>
          </cell>
        </row>
        <row r="483">
          <cell r="L483">
            <v>0</v>
          </cell>
          <cell r="M483">
            <v>0</v>
          </cell>
        </row>
        <row r="484">
          <cell r="L484">
            <v>0</v>
          </cell>
          <cell r="M484">
            <v>0</v>
          </cell>
        </row>
        <row r="485">
          <cell r="L485">
            <v>0</v>
          </cell>
          <cell r="M485">
            <v>0</v>
          </cell>
        </row>
        <row r="486">
          <cell r="L486">
            <v>0</v>
          </cell>
          <cell r="M486">
            <v>0</v>
          </cell>
        </row>
        <row r="487">
          <cell r="L487">
            <v>0</v>
          </cell>
          <cell r="M487">
            <v>0</v>
          </cell>
        </row>
        <row r="488">
          <cell r="L488">
            <v>0</v>
          </cell>
          <cell r="M488">
            <v>0</v>
          </cell>
        </row>
        <row r="489">
          <cell r="L489">
            <v>0</v>
          </cell>
          <cell r="M489">
            <v>0</v>
          </cell>
        </row>
        <row r="490">
          <cell r="L490">
            <v>0</v>
          </cell>
          <cell r="M490">
            <v>0</v>
          </cell>
        </row>
        <row r="491">
          <cell r="L491">
            <v>0</v>
          </cell>
          <cell r="M491">
            <v>0</v>
          </cell>
        </row>
        <row r="492">
          <cell r="L492">
            <v>0</v>
          </cell>
          <cell r="M492">
            <v>0</v>
          </cell>
        </row>
        <row r="493">
          <cell r="L493">
            <v>0</v>
          </cell>
          <cell r="M493">
            <v>0</v>
          </cell>
        </row>
        <row r="494">
          <cell r="L494">
            <v>0</v>
          </cell>
          <cell r="M494">
            <v>0</v>
          </cell>
        </row>
        <row r="495">
          <cell r="L495">
            <v>0</v>
          </cell>
          <cell r="M495">
            <v>0</v>
          </cell>
        </row>
        <row r="496">
          <cell r="L496">
            <v>0</v>
          </cell>
          <cell r="M496">
            <v>0</v>
          </cell>
        </row>
        <row r="497">
          <cell r="L497">
            <v>0</v>
          </cell>
          <cell r="M497">
            <v>0</v>
          </cell>
        </row>
        <row r="498">
          <cell r="L498">
            <v>0</v>
          </cell>
          <cell r="M498">
            <v>0</v>
          </cell>
        </row>
        <row r="499">
          <cell r="L499">
            <v>0</v>
          </cell>
          <cell r="M499">
            <v>0</v>
          </cell>
        </row>
        <row r="500">
          <cell r="L500">
            <v>0</v>
          </cell>
          <cell r="M500">
            <v>0</v>
          </cell>
        </row>
        <row r="501">
          <cell r="L501">
            <v>0</v>
          </cell>
          <cell r="M501">
            <v>0</v>
          </cell>
        </row>
        <row r="502">
          <cell r="L502">
            <v>0</v>
          </cell>
          <cell r="M502">
            <v>0</v>
          </cell>
        </row>
        <row r="503">
          <cell r="L503">
            <v>0</v>
          </cell>
          <cell r="M503">
            <v>0</v>
          </cell>
        </row>
        <row r="504">
          <cell r="L504">
            <v>0</v>
          </cell>
          <cell r="M504">
            <v>0</v>
          </cell>
        </row>
        <row r="505">
          <cell r="L505">
            <v>0</v>
          </cell>
          <cell r="M505">
            <v>0</v>
          </cell>
        </row>
        <row r="506">
          <cell r="L506">
            <v>0</v>
          </cell>
          <cell r="M506">
            <v>0</v>
          </cell>
        </row>
        <row r="507">
          <cell r="L507">
            <v>0</v>
          </cell>
          <cell r="M507">
            <v>0</v>
          </cell>
        </row>
        <row r="508">
          <cell r="L508">
            <v>0</v>
          </cell>
          <cell r="M508">
            <v>0</v>
          </cell>
        </row>
        <row r="509">
          <cell r="L509">
            <v>0</v>
          </cell>
          <cell r="M509">
            <v>0</v>
          </cell>
        </row>
        <row r="510">
          <cell r="L510">
            <v>0</v>
          </cell>
          <cell r="M510">
            <v>0</v>
          </cell>
        </row>
        <row r="511">
          <cell r="L511">
            <v>0</v>
          </cell>
          <cell r="M511">
            <v>0</v>
          </cell>
        </row>
        <row r="512">
          <cell r="L512">
            <v>0</v>
          </cell>
          <cell r="M512">
            <v>0</v>
          </cell>
        </row>
        <row r="513">
          <cell r="L513">
            <v>0</v>
          </cell>
          <cell r="M513">
            <v>0</v>
          </cell>
        </row>
        <row r="514">
          <cell r="L514">
            <v>0</v>
          </cell>
          <cell r="M514">
            <v>0</v>
          </cell>
        </row>
        <row r="515">
          <cell r="L515">
            <v>0</v>
          </cell>
          <cell r="M515">
            <v>0</v>
          </cell>
        </row>
        <row r="516">
          <cell r="L516">
            <v>0</v>
          </cell>
          <cell r="M516">
            <v>0</v>
          </cell>
        </row>
        <row r="517">
          <cell r="L517">
            <v>0</v>
          </cell>
          <cell r="M517">
            <v>0</v>
          </cell>
        </row>
        <row r="518">
          <cell r="L518">
            <v>0</v>
          </cell>
          <cell r="M518">
            <v>0</v>
          </cell>
        </row>
        <row r="519">
          <cell r="L519">
            <v>0</v>
          </cell>
          <cell r="M519">
            <v>0</v>
          </cell>
        </row>
        <row r="520">
          <cell r="L520">
            <v>0</v>
          </cell>
          <cell r="M520">
            <v>0</v>
          </cell>
        </row>
        <row r="521">
          <cell r="L521">
            <v>0</v>
          </cell>
          <cell r="M521">
            <v>0</v>
          </cell>
        </row>
        <row r="522">
          <cell r="L522">
            <v>0</v>
          </cell>
          <cell r="M522">
            <v>0</v>
          </cell>
        </row>
        <row r="523">
          <cell r="L523">
            <v>0</v>
          </cell>
          <cell r="M523">
            <v>0</v>
          </cell>
        </row>
        <row r="524">
          <cell r="L524">
            <v>0</v>
          </cell>
          <cell r="M524">
            <v>0</v>
          </cell>
        </row>
        <row r="525">
          <cell r="L525">
            <v>0</v>
          </cell>
          <cell r="M525">
            <v>0</v>
          </cell>
        </row>
        <row r="526">
          <cell r="L526">
            <v>0</v>
          </cell>
          <cell r="M526">
            <v>0</v>
          </cell>
        </row>
        <row r="527">
          <cell r="L527">
            <v>0</v>
          </cell>
          <cell r="M527">
            <v>0</v>
          </cell>
        </row>
        <row r="528">
          <cell r="L528">
            <v>0</v>
          </cell>
          <cell r="M528">
            <v>0</v>
          </cell>
        </row>
        <row r="529">
          <cell r="L529">
            <v>0</v>
          </cell>
          <cell r="M529">
            <v>0</v>
          </cell>
        </row>
        <row r="530">
          <cell r="L530">
            <v>0</v>
          </cell>
          <cell r="M530">
            <v>0</v>
          </cell>
        </row>
        <row r="531">
          <cell r="L531">
            <v>0</v>
          </cell>
          <cell r="M531">
            <v>0</v>
          </cell>
        </row>
        <row r="532">
          <cell r="L532">
            <v>0</v>
          </cell>
          <cell r="M532">
            <v>0</v>
          </cell>
        </row>
        <row r="533">
          <cell r="L533">
            <v>0</v>
          </cell>
          <cell r="M533">
            <v>0</v>
          </cell>
        </row>
        <row r="534">
          <cell r="L534">
            <v>0</v>
          </cell>
          <cell r="M534">
            <v>0</v>
          </cell>
        </row>
        <row r="535">
          <cell r="L535">
            <v>0</v>
          </cell>
          <cell r="M535">
            <v>0</v>
          </cell>
        </row>
        <row r="536">
          <cell r="L536">
            <v>0</v>
          </cell>
          <cell r="M536">
            <v>0</v>
          </cell>
        </row>
        <row r="537">
          <cell r="L537">
            <v>0</v>
          </cell>
          <cell r="M537">
            <v>0</v>
          </cell>
        </row>
        <row r="538">
          <cell r="L538">
            <v>0</v>
          </cell>
          <cell r="M538">
            <v>0</v>
          </cell>
        </row>
        <row r="539">
          <cell r="L539">
            <v>0</v>
          </cell>
          <cell r="M539">
            <v>0</v>
          </cell>
        </row>
        <row r="540">
          <cell r="L540">
            <v>0</v>
          </cell>
          <cell r="M540">
            <v>0</v>
          </cell>
        </row>
        <row r="541">
          <cell r="L541">
            <v>0</v>
          </cell>
          <cell r="M541">
            <v>0</v>
          </cell>
        </row>
        <row r="542">
          <cell r="L542">
            <v>0</v>
          </cell>
          <cell r="M542">
            <v>0</v>
          </cell>
        </row>
        <row r="543">
          <cell r="L543">
            <v>0</v>
          </cell>
          <cell r="M543">
            <v>0</v>
          </cell>
        </row>
        <row r="544">
          <cell r="L544">
            <v>0</v>
          </cell>
          <cell r="M544">
            <v>0</v>
          </cell>
        </row>
        <row r="545">
          <cell r="L545">
            <v>0</v>
          </cell>
          <cell r="M545">
            <v>0</v>
          </cell>
        </row>
        <row r="546">
          <cell r="L546">
            <v>0</v>
          </cell>
          <cell r="M546">
            <v>0</v>
          </cell>
        </row>
        <row r="547">
          <cell r="L547">
            <v>0</v>
          </cell>
          <cell r="M547">
            <v>0</v>
          </cell>
        </row>
        <row r="548">
          <cell r="L548">
            <v>0</v>
          </cell>
          <cell r="M548">
            <v>0</v>
          </cell>
        </row>
        <row r="549">
          <cell r="L549">
            <v>0</v>
          </cell>
          <cell r="M549">
            <v>0</v>
          </cell>
        </row>
        <row r="550">
          <cell r="L550">
            <v>0</v>
          </cell>
          <cell r="M550">
            <v>0</v>
          </cell>
        </row>
        <row r="551">
          <cell r="L551">
            <v>0</v>
          </cell>
          <cell r="M551">
            <v>0</v>
          </cell>
        </row>
        <row r="552">
          <cell r="L552">
            <v>0</v>
          </cell>
          <cell r="M552">
            <v>0</v>
          </cell>
        </row>
        <row r="553">
          <cell r="L553">
            <v>0</v>
          </cell>
          <cell r="M553">
            <v>0</v>
          </cell>
        </row>
        <row r="554">
          <cell r="L554">
            <v>0</v>
          </cell>
          <cell r="M554">
            <v>0</v>
          </cell>
        </row>
        <row r="555">
          <cell r="L555">
            <v>0</v>
          </cell>
          <cell r="M555">
            <v>0</v>
          </cell>
        </row>
        <row r="556">
          <cell r="L556">
            <v>0</v>
          </cell>
          <cell r="M556">
            <v>0</v>
          </cell>
        </row>
        <row r="557">
          <cell r="L557">
            <v>0</v>
          </cell>
          <cell r="M557">
            <v>0</v>
          </cell>
        </row>
        <row r="558">
          <cell r="L558">
            <v>0</v>
          </cell>
          <cell r="M558">
            <v>0</v>
          </cell>
        </row>
        <row r="559">
          <cell r="L559">
            <v>0</v>
          </cell>
          <cell r="M559">
            <v>0</v>
          </cell>
        </row>
        <row r="560">
          <cell r="L560">
            <v>0</v>
          </cell>
          <cell r="M560">
            <v>0</v>
          </cell>
        </row>
        <row r="561">
          <cell r="L561">
            <v>0</v>
          </cell>
          <cell r="M561">
            <v>0</v>
          </cell>
        </row>
        <row r="562">
          <cell r="L562">
            <v>0</v>
          </cell>
          <cell r="M562">
            <v>0</v>
          </cell>
        </row>
        <row r="563">
          <cell r="L563">
            <v>0</v>
          </cell>
          <cell r="M563">
            <v>0</v>
          </cell>
        </row>
        <row r="564">
          <cell r="L564">
            <v>0</v>
          </cell>
          <cell r="M564">
            <v>0</v>
          </cell>
        </row>
        <row r="565">
          <cell r="L565">
            <v>0</v>
          </cell>
          <cell r="M565">
            <v>0</v>
          </cell>
        </row>
        <row r="566">
          <cell r="L566">
            <v>0</v>
          </cell>
          <cell r="M566">
            <v>0</v>
          </cell>
        </row>
        <row r="567">
          <cell r="L567">
            <v>0</v>
          </cell>
          <cell r="M567">
            <v>0</v>
          </cell>
        </row>
        <row r="568">
          <cell r="L568">
            <v>0</v>
          </cell>
          <cell r="M568">
            <v>0</v>
          </cell>
        </row>
        <row r="569">
          <cell r="L569">
            <v>0</v>
          </cell>
          <cell r="M569">
            <v>0</v>
          </cell>
        </row>
        <row r="570">
          <cell r="L570">
            <v>0</v>
          </cell>
          <cell r="M570">
            <v>0</v>
          </cell>
        </row>
        <row r="571">
          <cell r="L571">
            <v>0</v>
          </cell>
          <cell r="M571">
            <v>0</v>
          </cell>
        </row>
        <row r="572">
          <cell r="L572">
            <v>0</v>
          </cell>
          <cell r="M572">
            <v>0</v>
          </cell>
        </row>
        <row r="573">
          <cell r="L573">
            <v>0</v>
          </cell>
          <cell r="M573">
            <v>0</v>
          </cell>
        </row>
        <row r="574">
          <cell r="L574">
            <v>0</v>
          </cell>
          <cell r="M574">
            <v>0</v>
          </cell>
        </row>
        <row r="575">
          <cell r="L575">
            <v>0</v>
          </cell>
          <cell r="M575">
            <v>0</v>
          </cell>
        </row>
        <row r="576">
          <cell r="L576">
            <v>0</v>
          </cell>
          <cell r="M576">
            <v>0</v>
          </cell>
        </row>
        <row r="577">
          <cell r="L577">
            <v>0</v>
          </cell>
          <cell r="M577">
            <v>0</v>
          </cell>
        </row>
        <row r="578">
          <cell r="L578">
            <v>0</v>
          </cell>
          <cell r="M578">
            <v>0</v>
          </cell>
        </row>
        <row r="579">
          <cell r="L579">
            <v>0</v>
          </cell>
          <cell r="M579">
            <v>0</v>
          </cell>
        </row>
        <row r="580">
          <cell r="L580">
            <v>0</v>
          </cell>
          <cell r="M580">
            <v>0</v>
          </cell>
        </row>
        <row r="581">
          <cell r="L581">
            <v>0</v>
          </cell>
          <cell r="M581">
            <v>0</v>
          </cell>
        </row>
        <row r="582">
          <cell r="L582">
            <v>0</v>
          </cell>
          <cell r="M582">
            <v>0</v>
          </cell>
        </row>
        <row r="583">
          <cell r="L583">
            <v>0</v>
          </cell>
          <cell r="M583">
            <v>0</v>
          </cell>
        </row>
        <row r="584">
          <cell r="L584">
            <v>0</v>
          </cell>
          <cell r="M584">
            <v>0</v>
          </cell>
        </row>
        <row r="585">
          <cell r="L585">
            <v>0</v>
          </cell>
          <cell r="M585">
            <v>0</v>
          </cell>
        </row>
        <row r="586">
          <cell r="L586">
            <v>0</v>
          </cell>
          <cell r="M586">
            <v>0</v>
          </cell>
        </row>
        <row r="587">
          <cell r="L587">
            <v>0</v>
          </cell>
          <cell r="M587">
            <v>0</v>
          </cell>
        </row>
        <row r="588">
          <cell r="L588">
            <v>0</v>
          </cell>
          <cell r="M588">
            <v>0</v>
          </cell>
        </row>
        <row r="589">
          <cell r="L589">
            <v>0</v>
          </cell>
          <cell r="M589">
            <v>0</v>
          </cell>
        </row>
        <row r="590">
          <cell r="L590">
            <v>0</v>
          </cell>
          <cell r="M590">
            <v>0</v>
          </cell>
        </row>
        <row r="591">
          <cell r="L591">
            <v>0</v>
          </cell>
          <cell r="M591">
            <v>0</v>
          </cell>
        </row>
        <row r="592">
          <cell r="L592">
            <v>0</v>
          </cell>
          <cell r="M592">
            <v>0</v>
          </cell>
        </row>
        <row r="593">
          <cell r="L593">
            <v>0</v>
          </cell>
          <cell r="M593">
            <v>0</v>
          </cell>
        </row>
        <row r="594">
          <cell r="L594">
            <v>0</v>
          </cell>
          <cell r="M594">
            <v>0</v>
          </cell>
        </row>
        <row r="595">
          <cell r="L595">
            <v>0</v>
          </cell>
          <cell r="M595">
            <v>0</v>
          </cell>
        </row>
        <row r="596">
          <cell r="L596">
            <v>0</v>
          </cell>
          <cell r="M596">
            <v>0</v>
          </cell>
        </row>
        <row r="597">
          <cell r="L597">
            <v>0</v>
          </cell>
          <cell r="M597">
            <v>0</v>
          </cell>
        </row>
        <row r="598">
          <cell r="L598">
            <v>0</v>
          </cell>
          <cell r="M598">
            <v>0</v>
          </cell>
        </row>
        <row r="599">
          <cell r="L599">
            <v>0</v>
          </cell>
          <cell r="M599">
            <v>0</v>
          </cell>
        </row>
        <row r="600">
          <cell r="L600">
            <v>0</v>
          </cell>
          <cell r="M600">
            <v>0</v>
          </cell>
        </row>
        <row r="601">
          <cell r="L601">
            <v>0</v>
          </cell>
          <cell r="M601">
            <v>0</v>
          </cell>
        </row>
        <row r="602">
          <cell r="L602">
            <v>0</v>
          </cell>
          <cell r="M602">
            <v>0</v>
          </cell>
        </row>
        <row r="603">
          <cell r="L603">
            <v>0</v>
          </cell>
          <cell r="M603">
            <v>0</v>
          </cell>
        </row>
        <row r="604">
          <cell r="L604">
            <v>0</v>
          </cell>
          <cell r="M604">
            <v>0</v>
          </cell>
        </row>
        <row r="605">
          <cell r="L605">
            <v>0</v>
          </cell>
          <cell r="M605">
            <v>0</v>
          </cell>
        </row>
        <row r="606">
          <cell r="L606">
            <v>0</v>
          </cell>
          <cell r="M606">
            <v>0</v>
          </cell>
        </row>
        <row r="607">
          <cell r="L607">
            <v>0</v>
          </cell>
          <cell r="M607">
            <v>0</v>
          </cell>
        </row>
        <row r="608">
          <cell r="L608">
            <v>0</v>
          </cell>
          <cell r="M608">
            <v>0</v>
          </cell>
        </row>
        <row r="609">
          <cell r="L609">
            <v>0</v>
          </cell>
          <cell r="M609">
            <v>0</v>
          </cell>
        </row>
        <row r="610">
          <cell r="L610">
            <v>0</v>
          </cell>
          <cell r="M610">
            <v>0</v>
          </cell>
        </row>
        <row r="611">
          <cell r="L611">
            <v>0</v>
          </cell>
          <cell r="M611">
            <v>0</v>
          </cell>
        </row>
        <row r="612">
          <cell r="L612">
            <v>0</v>
          </cell>
          <cell r="M612">
            <v>0</v>
          </cell>
        </row>
        <row r="613">
          <cell r="L613">
            <v>0</v>
          </cell>
          <cell r="M613">
            <v>0</v>
          </cell>
        </row>
        <row r="614">
          <cell r="L614">
            <v>0</v>
          </cell>
          <cell r="M614">
            <v>0</v>
          </cell>
        </row>
        <row r="615">
          <cell r="L615">
            <v>0</v>
          </cell>
          <cell r="M615">
            <v>0</v>
          </cell>
        </row>
        <row r="616">
          <cell r="L616">
            <v>0</v>
          </cell>
          <cell r="M616">
            <v>0</v>
          </cell>
        </row>
        <row r="617">
          <cell r="L617">
            <v>0</v>
          </cell>
          <cell r="M617">
            <v>0</v>
          </cell>
        </row>
        <row r="618">
          <cell r="L618">
            <v>0</v>
          </cell>
          <cell r="M618">
            <v>0</v>
          </cell>
        </row>
        <row r="619">
          <cell r="L619">
            <v>0</v>
          </cell>
          <cell r="M619">
            <v>0</v>
          </cell>
        </row>
        <row r="620">
          <cell r="L620">
            <v>0</v>
          </cell>
          <cell r="M620">
            <v>0</v>
          </cell>
        </row>
        <row r="621">
          <cell r="L621">
            <v>0</v>
          </cell>
          <cell r="M621">
            <v>0</v>
          </cell>
        </row>
        <row r="622">
          <cell r="L622">
            <v>0</v>
          </cell>
          <cell r="M622">
            <v>0</v>
          </cell>
        </row>
        <row r="623">
          <cell r="L623">
            <v>0</v>
          </cell>
          <cell r="M623">
            <v>0</v>
          </cell>
        </row>
        <row r="624">
          <cell r="L624">
            <v>0</v>
          </cell>
          <cell r="M624">
            <v>0</v>
          </cell>
        </row>
        <row r="625">
          <cell r="L625">
            <v>0</v>
          </cell>
          <cell r="M625">
            <v>0</v>
          </cell>
        </row>
        <row r="626">
          <cell r="L626">
            <v>0</v>
          </cell>
          <cell r="M626">
            <v>0</v>
          </cell>
        </row>
        <row r="627">
          <cell r="L627">
            <v>0</v>
          </cell>
          <cell r="M627">
            <v>0</v>
          </cell>
        </row>
        <row r="628">
          <cell r="L628">
            <v>0</v>
          </cell>
          <cell r="M628">
            <v>0</v>
          </cell>
        </row>
        <row r="629">
          <cell r="L629">
            <v>0</v>
          </cell>
          <cell r="M629">
            <v>0</v>
          </cell>
        </row>
        <row r="630">
          <cell r="L630">
            <v>0</v>
          </cell>
          <cell r="M630">
            <v>0</v>
          </cell>
        </row>
        <row r="631">
          <cell r="L631">
            <v>0</v>
          </cell>
          <cell r="M631">
            <v>0</v>
          </cell>
        </row>
        <row r="632">
          <cell r="L632">
            <v>0</v>
          </cell>
          <cell r="M632">
            <v>0</v>
          </cell>
        </row>
        <row r="633">
          <cell r="L633">
            <v>0</v>
          </cell>
          <cell r="M633">
            <v>0</v>
          </cell>
        </row>
        <row r="634">
          <cell r="L634">
            <v>0</v>
          </cell>
          <cell r="M634">
            <v>0</v>
          </cell>
        </row>
        <row r="635">
          <cell r="L635">
            <v>0</v>
          </cell>
          <cell r="M635">
            <v>0</v>
          </cell>
        </row>
        <row r="636">
          <cell r="L636">
            <v>0</v>
          </cell>
          <cell r="M636">
            <v>0</v>
          </cell>
        </row>
        <row r="637">
          <cell r="L637">
            <v>0</v>
          </cell>
          <cell r="M637">
            <v>0</v>
          </cell>
        </row>
        <row r="638">
          <cell r="L638">
            <v>0</v>
          </cell>
          <cell r="M638">
            <v>0</v>
          </cell>
        </row>
        <row r="639">
          <cell r="L639">
            <v>0</v>
          </cell>
          <cell r="M639">
            <v>0</v>
          </cell>
        </row>
        <row r="640">
          <cell r="L640">
            <v>0</v>
          </cell>
          <cell r="M640">
            <v>0</v>
          </cell>
        </row>
        <row r="641">
          <cell r="L641">
            <v>0</v>
          </cell>
          <cell r="M641">
            <v>0</v>
          </cell>
        </row>
        <row r="642">
          <cell r="L642">
            <v>0</v>
          </cell>
          <cell r="M642">
            <v>0</v>
          </cell>
        </row>
        <row r="643">
          <cell r="L643">
            <v>0</v>
          </cell>
          <cell r="M643">
            <v>0</v>
          </cell>
        </row>
        <row r="644">
          <cell r="L644">
            <v>0</v>
          </cell>
          <cell r="M644">
            <v>0</v>
          </cell>
        </row>
        <row r="645">
          <cell r="L645">
            <v>0</v>
          </cell>
          <cell r="M645">
            <v>0</v>
          </cell>
        </row>
        <row r="646">
          <cell r="L646">
            <v>0</v>
          </cell>
          <cell r="M646">
            <v>0</v>
          </cell>
        </row>
        <row r="647">
          <cell r="L647">
            <v>0</v>
          </cell>
          <cell r="M647">
            <v>0</v>
          </cell>
        </row>
        <row r="648">
          <cell r="L648">
            <v>0</v>
          </cell>
          <cell r="M648">
            <v>0</v>
          </cell>
        </row>
        <row r="649">
          <cell r="L649">
            <v>0</v>
          </cell>
          <cell r="M649">
            <v>0</v>
          </cell>
        </row>
        <row r="650">
          <cell r="L650">
            <v>0</v>
          </cell>
          <cell r="M650">
            <v>0</v>
          </cell>
        </row>
        <row r="651">
          <cell r="L651">
            <v>0</v>
          </cell>
          <cell r="M651">
            <v>0</v>
          </cell>
        </row>
        <row r="652">
          <cell r="L652">
            <v>0</v>
          </cell>
          <cell r="M652">
            <v>0</v>
          </cell>
        </row>
        <row r="653">
          <cell r="L653">
            <v>0</v>
          </cell>
          <cell r="M653">
            <v>0</v>
          </cell>
        </row>
        <row r="654">
          <cell r="L654">
            <v>0</v>
          </cell>
          <cell r="M654">
            <v>0</v>
          </cell>
        </row>
        <row r="655">
          <cell r="L655">
            <v>0</v>
          </cell>
          <cell r="M655">
            <v>0</v>
          </cell>
        </row>
        <row r="656">
          <cell r="L656">
            <v>0</v>
          </cell>
          <cell r="M656">
            <v>0</v>
          </cell>
        </row>
        <row r="657">
          <cell r="L657">
            <v>0</v>
          </cell>
          <cell r="M657">
            <v>0</v>
          </cell>
        </row>
        <row r="658">
          <cell r="L658">
            <v>0</v>
          </cell>
          <cell r="M658">
            <v>0</v>
          </cell>
        </row>
        <row r="659">
          <cell r="L659">
            <v>0</v>
          </cell>
          <cell r="M659">
            <v>0</v>
          </cell>
        </row>
        <row r="660">
          <cell r="L660">
            <v>0</v>
          </cell>
          <cell r="M660">
            <v>0</v>
          </cell>
        </row>
        <row r="661">
          <cell r="L661">
            <v>0</v>
          </cell>
          <cell r="M661">
            <v>0</v>
          </cell>
        </row>
        <row r="662">
          <cell r="L662">
            <v>0</v>
          </cell>
          <cell r="M662">
            <v>0</v>
          </cell>
        </row>
        <row r="663">
          <cell r="L663">
            <v>0</v>
          </cell>
          <cell r="M663">
            <v>0</v>
          </cell>
        </row>
        <row r="664">
          <cell r="L664">
            <v>0</v>
          </cell>
          <cell r="M664">
            <v>0</v>
          </cell>
        </row>
        <row r="665">
          <cell r="L665">
            <v>0</v>
          </cell>
          <cell r="M665">
            <v>0</v>
          </cell>
        </row>
        <row r="666">
          <cell r="L666">
            <v>0</v>
          </cell>
          <cell r="M666">
            <v>0</v>
          </cell>
        </row>
        <row r="667">
          <cell r="L667">
            <v>0</v>
          </cell>
          <cell r="M667">
            <v>0</v>
          </cell>
        </row>
        <row r="668">
          <cell r="L668">
            <v>0</v>
          </cell>
          <cell r="M668">
            <v>0</v>
          </cell>
        </row>
        <row r="669">
          <cell r="L669">
            <v>0</v>
          </cell>
          <cell r="M669">
            <v>0</v>
          </cell>
        </row>
        <row r="670">
          <cell r="L670">
            <v>0</v>
          </cell>
          <cell r="M670">
            <v>0</v>
          </cell>
        </row>
        <row r="671">
          <cell r="L671">
            <v>0</v>
          </cell>
          <cell r="M671">
            <v>0</v>
          </cell>
        </row>
        <row r="672">
          <cell r="L672">
            <v>0</v>
          </cell>
          <cell r="M672">
            <v>0</v>
          </cell>
        </row>
        <row r="673">
          <cell r="L673">
            <v>0</v>
          </cell>
          <cell r="M673">
            <v>0</v>
          </cell>
        </row>
        <row r="674">
          <cell r="L674">
            <v>0</v>
          </cell>
          <cell r="M674">
            <v>0</v>
          </cell>
        </row>
        <row r="675">
          <cell r="L675">
            <v>0</v>
          </cell>
          <cell r="M675">
            <v>0</v>
          </cell>
        </row>
        <row r="676">
          <cell r="L676">
            <v>0</v>
          </cell>
          <cell r="M676">
            <v>0</v>
          </cell>
        </row>
        <row r="677">
          <cell r="L677">
            <v>0</v>
          </cell>
          <cell r="M677">
            <v>0</v>
          </cell>
        </row>
        <row r="678">
          <cell r="L678">
            <v>0</v>
          </cell>
          <cell r="M678">
            <v>0</v>
          </cell>
        </row>
        <row r="679">
          <cell r="L679">
            <v>0</v>
          </cell>
          <cell r="M679">
            <v>0</v>
          </cell>
        </row>
        <row r="680">
          <cell r="L680">
            <v>0</v>
          </cell>
          <cell r="M680">
            <v>0</v>
          </cell>
        </row>
        <row r="681">
          <cell r="L681">
            <v>0</v>
          </cell>
          <cell r="M681">
            <v>0</v>
          </cell>
        </row>
        <row r="682">
          <cell r="L682">
            <v>0</v>
          </cell>
          <cell r="M682">
            <v>0</v>
          </cell>
        </row>
        <row r="683">
          <cell r="L683">
            <v>0</v>
          </cell>
          <cell r="M683">
            <v>0</v>
          </cell>
        </row>
        <row r="684">
          <cell r="L684">
            <v>0</v>
          </cell>
          <cell r="M684">
            <v>0</v>
          </cell>
        </row>
        <row r="685">
          <cell r="L685">
            <v>0</v>
          </cell>
          <cell r="M685">
            <v>0</v>
          </cell>
        </row>
        <row r="686">
          <cell r="L686">
            <v>0</v>
          </cell>
          <cell r="M686">
            <v>0</v>
          </cell>
        </row>
        <row r="687">
          <cell r="L687">
            <v>0</v>
          </cell>
          <cell r="M687">
            <v>0</v>
          </cell>
        </row>
        <row r="688">
          <cell r="L688">
            <v>0</v>
          </cell>
          <cell r="M688">
            <v>0</v>
          </cell>
        </row>
        <row r="689">
          <cell r="L689">
            <v>0</v>
          </cell>
          <cell r="M689">
            <v>0</v>
          </cell>
        </row>
        <row r="690">
          <cell r="L690">
            <v>0</v>
          </cell>
          <cell r="M690">
            <v>0</v>
          </cell>
        </row>
        <row r="691">
          <cell r="L691">
            <v>0</v>
          </cell>
          <cell r="M691">
            <v>0</v>
          </cell>
        </row>
        <row r="692">
          <cell r="L692">
            <v>0</v>
          </cell>
          <cell r="M692">
            <v>0</v>
          </cell>
        </row>
        <row r="693">
          <cell r="L693">
            <v>0</v>
          </cell>
          <cell r="M693">
            <v>0</v>
          </cell>
        </row>
        <row r="694">
          <cell r="L694">
            <v>0</v>
          </cell>
          <cell r="M694">
            <v>0</v>
          </cell>
        </row>
        <row r="695">
          <cell r="L695">
            <v>0</v>
          </cell>
          <cell r="M695">
            <v>0</v>
          </cell>
        </row>
        <row r="696">
          <cell r="L696">
            <v>0</v>
          </cell>
          <cell r="M696">
            <v>0</v>
          </cell>
        </row>
        <row r="697">
          <cell r="L697">
            <v>0</v>
          </cell>
          <cell r="M697">
            <v>0</v>
          </cell>
        </row>
        <row r="698">
          <cell r="L698">
            <v>0</v>
          </cell>
          <cell r="M698">
            <v>0</v>
          </cell>
        </row>
        <row r="699">
          <cell r="L699">
            <v>0</v>
          </cell>
          <cell r="M699">
            <v>0</v>
          </cell>
        </row>
        <row r="700">
          <cell r="L700">
            <v>0</v>
          </cell>
          <cell r="M700">
            <v>0</v>
          </cell>
        </row>
        <row r="701">
          <cell r="L701">
            <v>0</v>
          </cell>
          <cell r="M701">
            <v>0</v>
          </cell>
        </row>
        <row r="702">
          <cell r="L702">
            <v>0</v>
          </cell>
          <cell r="M702">
            <v>0</v>
          </cell>
        </row>
        <row r="703">
          <cell r="L703">
            <v>0</v>
          </cell>
          <cell r="M703">
            <v>0</v>
          </cell>
        </row>
        <row r="704">
          <cell r="L704">
            <v>0</v>
          </cell>
          <cell r="M704">
            <v>0</v>
          </cell>
        </row>
        <row r="705">
          <cell r="L705">
            <v>0</v>
          </cell>
          <cell r="M705">
            <v>0</v>
          </cell>
        </row>
        <row r="706">
          <cell r="L706">
            <v>0</v>
          </cell>
          <cell r="M706">
            <v>0</v>
          </cell>
        </row>
        <row r="707">
          <cell r="L707">
            <v>0</v>
          </cell>
          <cell r="M707">
            <v>0</v>
          </cell>
        </row>
        <row r="708">
          <cell r="L708">
            <v>0</v>
          </cell>
          <cell r="M708">
            <v>0</v>
          </cell>
        </row>
        <row r="709">
          <cell r="L709">
            <v>0</v>
          </cell>
          <cell r="M709">
            <v>0</v>
          </cell>
        </row>
        <row r="710">
          <cell r="L710">
            <v>0</v>
          </cell>
          <cell r="M710">
            <v>0</v>
          </cell>
        </row>
        <row r="711">
          <cell r="L711">
            <v>0</v>
          </cell>
          <cell r="M711">
            <v>0</v>
          </cell>
        </row>
        <row r="712">
          <cell r="L712">
            <v>0</v>
          </cell>
          <cell r="M712">
            <v>0</v>
          </cell>
        </row>
        <row r="713">
          <cell r="L713">
            <v>0</v>
          </cell>
          <cell r="M713">
            <v>0</v>
          </cell>
        </row>
        <row r="714">
          <cell r="L714">
            <v>0</v>
          </cell>
          <cell r="M714">
            <v>0</v>
          </cell>
        </row>
        <row r="715">
          <cell r="L715">
            <v>0</v>
          </cell>
          <cell r="M715">
            <v>0</v>
          </cell>
        </row>
        <row r="716">
          <cell r="L716">
            <v>0</v>
          </cell>
          <cell r="M716">
            <v>0</v>
          </cell>
        </row>
        <row r="717">
          <cell r="L717">
            <v>0</v>
          </cell>
          <cell r="M717">
            <v>0</v>
          </cell>
        </row>
        <row r="718">
          <cell r="L718">
            <v>0</v>
          </cell>
          <cell r="M718">
            <v>0</v>
          </cell>
        </row>
        <row r="719">
          <cell r="L719">
            <v>0</v>
          </cell>
          <cell r="M719">
            <v>0</v>
          </cell>
        </row>
        <row r="720">
          <cell r="L720">
            <v>0</v>
          </cell>
          <cell r="M720">
            <v>0</v>
          </cell>
        </row>
        <row r="721">
          <cell r="L721">
            <v>0</v>
          </cell>
          <cell r="M721">
            <v>0</v>
          </cell>
        </row>
        <row r="722">
          <cell r="L722">
            <v>0</v>
          </cell>
          <cell r="M722">
            <v>0</v>
          </cell>
        </row>
        <row r="723">
          <cell r="L723">
            <v>0</v>
          </cell>
          <cell r="M723">
            <v>0</v>
          </cell>
        </row>
        <row r="724">
          <cell r="L724">
            <v>0</v>
          </cell>
          <cell r="M724">
            <v>0</v>
          </cell>
        </row>
        <row r="725">
          <cell r="L725">
            <v>0</v>
          </cell>
          <cell r="M725">
            <v>0</v>
          </cell>
        </row>
        <row r="726">
          <cell r="L726">
            <v>0</v>
          </cell>
          <cell r="M726">
            <v>0</v>
          </cell>
        </row>
        <row r="727">
          <cell r="L727">
            <v>0</v>
          </cell>
          <cell r="M727">
            <v>0</v>
          </cell>
        </row>
        <row r="728">
          <cell r="L728">
            <v>0</v>
          </cell>
          <cell r="M728">
            <v>0</v>
          </cell>
        </row>
        <row r="729">
          <cell r="L729">
            <v>0</v>
          </cell>
          <cell r="M729">
            <v>0</v>
          </cell>
        </row>
        <row r="730">
          <cell r="L730">
            <v>0</v>
          </cell>
          <cell r="M730">
            <v>0</v>
          </cell>
        </row>
        <row r="731">
          <cell r="L731">
            <v>0</v>
          </cell>
          <cell r="M731">
            <v>0</v>
          </cell>
        </row>
        <row r="732">
          <cell r="L732">
            <v>0</v>
          </cell>
          <cell r="M732">
            <v>0</v>
          </cell>
        </row>
        <row r="733">
          <cell r="L733">
            <v>0</v>
          </cell>
          <cell r="M733">
            <v>0</v>
          </cell>
        </row>
        <row r="734">
          <cell r="L734">
            <v>0</v>
          </cell>
          <cell r="M734">
            <v>0</v>
          </cell>
        </row>
        <row r="735">
          <cell r="L735">
            <v>0</v>
          </cell>
          <cell r="M735">
            <v>0</v>
          </cell>
        </row>
        <row r="736">
          <cell r="L736">
            <v>0</v>
          </cell>
          <cell r="M736">
            <v>0</v>
          </cell>
        </row>
        <row r="737">
          <cell r="L737">
            <v>0</v>
          </cell>
          <cell r="M737">
            <v>0</v>
          </cell>
        </row>
        <row r="738">
          <cell r="L738">
            <v>0</v>
          </cell>
          <cell r="M738">
            <v>0</v>
          </cell>
        </row>
        <row r="739">
          <cell r="L739">
            <v>0</v>
          </cell>
          <cell r="M739">
            <v>0</v>
          </cell>
        </row>
        <row r="740">
          <cell r="L740">
            <v>0</v>
          </cell>
          <cell r="M740">
            <v>0</v>
          </cell>
        </row>
        <row r="741">
          <cell r="L741">
            <v>0</v>
          </cell>
          <cell r="M741">
            <v>0</v>
          </cell>
        </row>
        <row r="742">
          <cell r="L742">
            <v>0</v>
          </cell>
          <cell r="M742">
            <v>0</v>
          </cell>
        </row>
        <row r="743">
          <cell r="L743">
            <v>0</v>
          </cell>
          <cell r="M743">
            <v>0</v>
          </cell>
        </row>
        <row r="744">
          <cell r="L744">
            <v>0</v>
          </cell>
          <cell r="M744">
            <v>0</v>
          </cell>
        </row>
        <row r="745">
          <cell r="L745">
            <v>0</v>
          </cell>
          <cell r="M745">
            <v>0</v>
          </cell>
        </row>
        <row r="746">
          <cell r="L746">
            <v>0</v>
          </cell>
          <cell r="M746">
            <v>0</v>
          </cell>
        </row>
        <row r="747">
          <cell r="L747">
            <v>0</v>
          </cell>
          <cell r="M747">
            <v>0</v>
          </cell>
        </row>
        <row r="748">
          <cell r="L748">
            <v>0</v>
          </cell>
          <cell r="M748">
            <v>0</v>
          </cell>
        </row>
        <row r="749">
          <cell r="L749">
            <v>0</v>
          </cell>
          <cell r="M749">
            <v>0</v>
          </cell>
        </row>
        <row r="750">
          <cell r="L750">
            <v>0</v>
          </cell>
          <cell r="M750">
            <v>0</v>
          </cell>
        </row>
        <row r="751">
          <cell r="L751">
            <v>0</v>
          </cell>
          <cell r="M751">
            <v>0</v>
          </cell>
        </row>
        <row r="752">
          <cell r="L752">
            <v>0</v>
          </cell>
          <cell r="M752">
            <v>0</v>
          </cell>
        </row>
        <row r="753">
          <cell r="L753">
            <v>0</v>
          </cell>
          <cell r="M753">
            <v>0</v>
          </cell>
        </row>
        <row r="754">
          <cell r="L754">
            <v>0</v>
          </cell>
          <cell r="M754">
            <v>0</v>
          </cell>
        </row>
        <row r="755">
          <cell r="L755">
            <v>0</v>
          </cell>
          <cell r="M755">
            <v>0</v>
          </cell>
        </row>
        <row r="756">
          <cell r="L756">
            <v>0</v>
          </cell>
          <cell r="M756">
            <v>0</v>
          </cell>
        </row>
        <row r="757">
          <cell r="L757">
            <v>0</v>
          </cell>
          <cell r="M757">
            <v>0</v>
          </cell>
        </row>
        <row r="758">
          <cell r="L758">
            <v>0</v>
          </cell>
          <cell r="M758">
            <v>0</v>
          </cell>
        </row>
        <row r="759">
          <cell r="L759">
            <v>0</v>
          </cell>
          <cell r="M759">
            <v>0</v>
          </cell>
        </row>
        <row r="760">
          <cell r="L760">
            <v>0</v>
          </cell>
          <cell r="M760">
            <v>0</v>
          </cell>
        </row>
        <row r="761">
          <cell r="L761">
            <v>0</v>
          </cell>
          <cell r="M761">
            <v>0</v>
          </cell>
        </row>
        <row r="762">
          <cell r="L762">
            <v>0</v>
          </cell>
          <cell r="M762">
            <v>0</v>
          </cell>
        </row>
        <row r="763">
          <cell r="L763">
            <v>0</v>
          </cell>
          <cell r="M763">
            <v>0</v>
          </cell>
        </row>
        <row r="764">
          <cell r="L764">
            <v>0</v>
          </cell>
          <cell r="M764">
            <v>0</v>
          </cell>
        </row>
        <row r="765">
          <cell r="L765">
            <v>0</v>
          </cell>
          <cell r="M765">
            <v>0</v>
          </cell>
        </row>
        <row r="766">
          <cell r="L766">
            <v>0</v>
          </cell>
          <cell r="M766">
            <v>0</v>
          </cell>
        </row>
        <row r="767">
          <cell r="L767">
            <v>0</v>
          </cell>
          <cell r="M767">
            <v>0</v>
          </cell>
        </row>
        <row r="768">
          <cell r="L768">
            <v>0</v>
          </cell>
          <cell r="M768">
            <v>0</v>
          </cell>
        </row>
        <row r="769">
          <cell r="L769">
            <v>0</v>
          </cell>
          <cell r="M769">
            <v>0</v>
          </cell>
        </row>
        <row r="770">
          <cell r="L770">
            <v>0</v>
          </cell>
          <cell r="M770">
            <v>0</v>
          </cell>
        </row>
        <row r="771">
          <cell r="L771">
            <v>0</v>
          </cell>
          <cell r="M771">
            <v>0</v>
          </cell>
        </row>
        <row r="772">
          <cell r="L772">
            <v>0</v>
          </cell>
          <cell r="M772">
            <v>0</v>
          </cell>
        </row>
        <row r="773">
          <cell r="L773">
            <v>0</v>
          </cell>
          <cell r="M773">
            <v>0</v>
          </cell>
        </row>
        <row r="774">
          <cell r="L774">
            <v>0</v>
          </cell>
          <cell r="M774">
            <v>0</v>
          </cell>
        </row>
        <row r="775">
          <cell r="L775">
            <v>0</v>
          </cell>
          <cell r="M775">
            <v>0</v>
          </cell>
        </row>
        <row r="776">
          <cell r="L776">
            <v>0</v>
          </cell>
          <cell r="M776">
            <v>0</v>
          </cell>
        </row>
        <row r="777">
          <cell r="L777">
            <v>0</v>
          </cell>
          <cell r="M777">
            <v>0</v>
          </cell>
        </row>
        <row r="778">
          <cell r="L778">
            <v>0</v>
          </cell>
          <cell r="M778">
            <v>0</v>
          </cell>
        </row>
        <row r="779">
          <cell r="L779">
            <v>0</v>
          </cell>
          <cell r="M779">
            <v>0</v>
          </cell>
        </row>
        <row r="780">
          <cell r="L780">
            <v>0</v>
          </cell>
          <cell r="M780">
            <v>0</v>
          </cell>
        </row>
        <row r="781">
          <cell r="L781">
            <v>0</v>
          </cell>
          <cell r="M781">
            <v>0</v>
          </cell>
        </row>
        <row r="782">
          <cell r="L782">
            <v>0</v>
          </cell>
          <cell r="M782">
            <v>0</v>
          </cell>
        </row>
        <row r="783">
          <cell r="L783">
            <v>0</v>
          </cell>
          <cell r="M783">
            <v>0</v>
          </cell>
        </row>
        <row r="784">
          <cell r="L784">
            <v>0</v>
          </cell>
          <cell r="M784">
            <v>0</v>
          </cell>
        </row>
        <row r="785">
          <cell r="L785">
            <v>0</v>
          </cell>
          <cell r="M785">
            <v>0</v>
          </cell>
        </row>
        <row r="786">
          <cell r="L786">
            <v>0</v>
          </cell>
          <cell r="M786">
            <v>0</v>
          </cell>
        </row>
        <row r="787">
          <cell r="L787">
            <v>0</v>
          </cell>
          <cell r="M787">
            <v>0</v>
          </cell>
        </row>
        <row r="788">
          <cell r="L788">
            <v>0</v>
          </cell>
          <cell r="M788">
            <v>0</v>
          </cell>
        </row>
        <row r="789">
          <cell r="L789">
            <v>0</v>
          </cell>
          <cell r="M789">
            <v>0</v>
          </cell>
        </row>
        <row r="790">
          <cell r="L790">
            <v>0</v>
          </cell>
          <cell r="M790">
            <v>0</v>
          </cell>
        </row>
        <row r="791">
          <cell r="L791">
            <v>0</v>
          </cell>
          <cell r="M791">
            <v>0</v>
          </cell>
        </row>
        <row r="792">
          <cell r="L792">
            <v>0</v>
          </cell>
          <cell r="M792">
            <v>0</v>
          </cell>
        </row>
        <row r="793">
          <cell r="L793">
            <v>0</v>
          </cell>
          <cell r="M793">
            <v>0</v>
          </cell>
        </row>
        <row r="794">
          <cell r="L794">
            <v>0</v>
          </cell>
          <cell r="M794">
            <v>0</v>
          </cell>
        </row>
        <row r="795">
          <cell r="L795">
            <v>0</v>
          </cell>
          <cell r="M795">
            <v>0</v>
          </cell>
        </row>
        <row r="796">
          <cell r="L796">
            <v>0</v>
          </cell>
          <cell r="M796">
            <v>0</v>
          </cell>
        </row>
        <row r="797">
          <cell r="L797">
            <v>0</v>
          </cell>
          <cell r="M797">
            <v>0</v>
          </cell>
        </row>
        <row r="798">
          <cell r="L798">
            <v>0</v>
          </cell>
          <cell r="M798">
            <v>0</v>
          </cell>
        </row>
        <row r="799">
          <cell r="L799">
            <v>0</v>
          </cell>
          <cell r="M799">
            <v>0</v>
          </cell>
        </row>
        <row r="800">
          <cell r="L800">
            <v>0</v>
          </cell>
          <cell r="M800">
            <v>0</v>
          </cell>
        </row>
        <row r="801">
          <cell r="L801">
            <v>0</v>
          </cell>
          <cell r="M801">
            <v>0</v>
          </cell>
        </row>
        <row r="802">
          <cell r="L802">
            <v>0</v>
          </cell>
          <cell r="M802">
            <v>0</v>
          </cell>
        </row>
        <row r="803">
          <cell r="L803">
            <v>0</v>
          </cell>
          <cell r="M803">
            <v>0</v>
          </cell>
        </row>
        <row r="804">
          <cell r="L804">
            <v>0</v>
          </cell>
          <cell r="M804">
            <v>0</v>
          </cell>
        </row>
        <row r="805">
          <cell r="L805">
            <v>0</v>
          </cell>
          <cell r="M805">
            <v>0</v>
          </cell>
        </row>
        <row r="806">
          <cell r="L806">
            <v>0</v>
          </cell>
          <cell r="M806">
            <v>0</v>
          </cell>
        </row>
        <row r="807">
          <cell r="L807">
            <v>0</v>
          </cell>
          <cell r="M807">
            <v>0</v>
          </cell>
        </row>
        <row r="808">
          <cell r="L808">
            <v>0</v>
          </cell>
          <cell r="M808">
            <v>0</v>
          </cell>
        </row>
        <row r="809">
          <cell r="L809">
            <v>0</v>
          </cell>
          <cell r="M809">
            <v>0</v>
          </cell>
        </row>
        <row r="810">
          <cell r="L810">
            <v>0</v>
          </cell>
          <cell r="M810">
            <v>0</v>
          </cell>
        </row>
        <row r="811">
          <cell r="L811">
            <v>0</v>
          </cell>
          <cell r="M811">
            <v>0</v>
          </cell>
        </row>
        <row r="812">
          <cell r="L812">
            <v>0</v>
          </cell>
          <cell r="M812">
            <v>0</v>
          </cell>
        </row>
        <row r="813">
          <cell r="L813">
            <v>0</v>
          </cell>
          <cell r="M813">
            <v>0</v>
          </cell>
        </row>
        <row r="814">
          <cell r="L814">
            <v>0</v>
          </cell>
          <cell r="M814">
            <v>0</v>
          </cell>
        </row>
        <row r="815">
          <cell r="L815">
            <v>0</v>
          </cell>
          <cell r="M815">
            <v>0</v>
          </cell>
        </row>
        <row r="816">
          <cell r="L816">
            <v>0</v>
          </cell>
          <cell r="M816">
            <v>0</v>
          </cell>
        </row>
        <row r="817">
          <cell r="L817">
            <v>0</v>
          </cell>
          <cell r="M817">
            <v>0</v>
          </cell>
        </row>
        <row r="818">
          <cell r="L818">
            <v>0</v>
          </cell>
          <cell r="M818">
            <v>0</v>
          </cell>
        </row>
        <row r="819">
          <cell r="L819">
            <v>0</v>
          </cell>
          <cell r="M819">
            <v>0</v>
          </cell>
        </row>
        <row r="820">
          <cell r="L820">
            <v>0</v>
          </cell>
          <cell r="M820">
            <v>0</v>
          </cell>
        </row>
        <row r="821">
          <cell r="L821">
            <v>0</v>
          </cell>
          <cell r="M821">
            <v>0</v>
          </cell>
        </row>
        <row r="822">
          <cell r="L822">
            <v>0</v>
          </cell>
          <cell r="M822">
            <v>0</v>
          </cell>
        </row>
        <row r="823">
          <cell r="L823">
            <v>0</v>
          </cell>
          <cell r="M823">
            <v>0</v>
          </cell>
        </row>
        <row r="824">
          <cell r="L824">
            <v>0</v>
          </cell>
          <cell r="M824">
            <v>0</v>
          </cell>
        </row>
        <row r="825">
          <cell r="L825">
            <v>0</v>
          </cell>
          <cell r="M825">
            <v>0</v>
          </cell>
        </row>
        <row r="826">
          <cell r="L826">
            <v>0</v>
          </cell>
          <cell r="M826">
            <v>0</v>
          </cell>
        </row>
        <row r="827">
          <cell r="L827">
            <v>0</v>
          </cell>
          <cell r="M827">
            <v>0</v>
          </cell>
        </row>
        <row r="828">
          <cell r="L828">
            <v>0</v>
          </cell>
          <cell r="M828">
            <v>0</v>
          </cell>
        </row>
        <row r="829">
          <cell r="L829">
            <v>0</v>
          </cell>
          <cell r="M829">
            <v>0</v>
          </cell>
        </row>
        <row r="830">
          <cell r="L830">
            <v>0</v>
          </cell>
          <cell r="M830">
            <v>0</v>
          </cell>
        </row>
        <row r="831">
          <cell r="L831">
            <v>0</v>
          </cell>
          <cell r="M831">
            <v>0</v>
          </cell>
        </row>
        <row r="832">
          <cell r="L832">
            <v>0</v>
          </cell>
          <cell r="M832">
            <v>0</v>
          </cell>
        </row>
        <row r="833">
          <cell r="L833">
            <v>0</v>
          </cell>
          <cell r="M833">
            <v>0</v>
          </cell>
        </row>
        <row r="834">
          <cell r="L834">
            <v>0</v>
          </cell>
          <cell r="M834">
            <v>0</v>
          </cell>
        </row>
        <row r="835">
          <cell r="L835">
            <v>0</v>
          </cell>
          <cell r="M835">
            <v>0</v>
          </cell>
        </row>
        <row r="836">
          <cell r="L836">
            <v>0</v>
          </cell>
          <cell r="M836">
            <v>0</v>
          </cell>
        </row>
        <row r="837">
          <cell r="L837">
            <v>0</v>
          </cell>
          <cell r="M837">
            <v>0</v>
          </cell>
        </row>
        <row r="838">
          <cell r="L838">
            <v>0</v>
          </cell>
          <cell r="M838">
            <v>0</v>
          </cell>
        </row>
        <row r="839">
          <cell r="L839">
            <v>0</v>
          </cell>
          <cell r="M839">
            <v>0</v>
          </cell>
        </row>
        <row r="840">
          <cell r="L840">
            <v>0</v>
          </cell>
          <cell r="M840">
            <v>0</v>
          </cell>
        </row>
        <row r="841">
          <cell r="L841">
            <v>0</v>
          </cell>
          <cell r="M841">
            <v>0</v>
          </cell>
        </row>
        <row r="842">
          <cell r="L842">
            <v>0</v>
          </cell>
          <cell r="M842">
            <v>0</v>
          </cell>
        </row>
        <row r="843">
          <cell r="L843">
            <v>0</v>
          </cell>
          <cell r="M843">
            <v>0</v>
          </cell>
        </row>
        <row r="844">
          <cell r="L844">
            <v>0</v>
          </cell>
          <cell r="M844">
            <v>0</v>
          </cell>
        </row>
        <row r="845">
          <cell r="L845">
            <v>0</v>
          </cell>
          <cell r="M845">
            <v>0</v>
          </cell>
        </row>
        <row r="846">
          <cell r="L846">
            <v>0</v>
          </cell>
          <cell r="M846">
            <v>0</v>
          </cell>
        </row>
        <row r="847">
          <cell r="L847">
            <v>0</v>
          </cell>
          <cell r="M847">
            <v>0</v>
          </cell>
        </row>
        <row r="848">
          <cell r="L848">
            <v>0</v>
          </cell>
          <cell r="M848">
            <v>0</v>
          </cell>
        </row>
        <row r="849">
          <cell r="L849">
            <v>0</v>
          </cell>
          <cell r="M849">
            <v>0</v>
          </cell>
        </row>
        <row r="850">
          <cell r="L850">
            <v>0</v>
          </cell>
          <cell r="M850">
            <v>0</v>
          </cell>
        </row>
        <row r="851">
          <cell r="L851">
            <v>0</v>
          </cell>
          <cell r="M851">
            <v>0</v>
          </cell>
        </row>
        <row r="852">
          <cell r="L852">
            <v>0</v>
          </cell>
          <cell r="M852">
            <v>0</v>
          </cell>
        </row>
        <row r="853">
          <cell r="L853">
            <v>0</v>
          </cell>
          <cell r="M853">
            <v>0</v>
          </cell>
        </row>
        <row r="854">
          <cell r="L854">
            <v>0</v>
          </cell>
          <cell r="M854">
            <v>0</v>
          </cell>
        </row>
        <row r="855">
          <cell r="L855">
            <v>0</v>
          </cell>
          <cell r="M855">
            <v>0</v>
          </cell>
        </row>
        <row r="856">
          <cell r="L856">
            <v>0</v>
          </cell>
          <cell r="M856">
            <v>0</v>
          </cell>
        </row>
        <row r="857">
          <cell r="L857">
            <v>0</v>
          </cell>
          <cell r="M857">
            <v>0</v>
          </cell>
        </row>
        <row r="858">
          <cell r="L858">
            <v>0</v>
          </cell>
          <cell r="M858">
            <v>0</v>
          </cell>
        </row>
        <row r="859">
          <cell r="L859">
            <v>0</v>
          </cell>
          <cell r="M859">
            <v>0</v>
          </cell>
        </row>
        <row r="860">
          <cell r="L860">
            <v>0</v>
          </cell>
          <cell r="M860">
            <v>0</v>
          </cell>
        </row>
        <row r="861">
          <cell r="L861">
            <v>0</v>
          </cell>
          <cell r="M861">
            <v>0</v>
          </cell>
        </row>
        <row r="862">
          <cell r="L862">
            <v>0</v>
          </cell>
          <cell r="M862">
            <v>0</v>
          </cell>
        </row>
        <row r="863">
          <cell r="L863">
            <v>0</v>
          </cell>
          <cell r="M863">
            <v>0</v>
          </cell>
        </row>
        <row r="864">
          <cell r="L864">
            <v>0</v>
          </cell>
          <cell r="M864">
            <v>0</v>
          </cell>
        </row>
        <row r="865">
          <cell r="L865">
            <v>0</v>
          </cell>
          <cell r="M865">
            <v>0</v>
          </cell>
        </row>
        <row r="866">
          <cell r="L866">
            <v>0</v>
          </cell>
          <cell r="M866">
            <v>0</v>
          </cell>
        </row>
        <row r="867">
          <cell r="L867">
            <v>0</v>
          </cell>
          <cell r="M867">
            <v>0</v>
          </cell>
        </row>
        <row r="868">
          <cell r="L868">
            <v>0</v>
          </cell>
          <cell r="M868">
            <v>0</v>
          </cell>
        </row>
        <row r="869">
          <cell r="L869">
            <v>0</v>
          </cell>
          <cell r="M869">
            <v>0</v>
          </cell>
        </row>
        <row r="870">
          <cell r="L870">
            <v>0</v>
          </cell>
          <cell r="M870">
            <v>0</v>
          </cell>
        </row>
        <row r="871">
          <cell r="L871">
            <v>0</v>
          </cell>
          <cell r="M871">
            <v>0</v>
          </cell>
        </row>
        <row r="872">
          <cell r="L872">
            <v>0</v>
          </cell>
          <cell r="M872">
            <v>0</v>
          </cell>
        </row>
        <row r="873">
          <cell r="L873">
            <v>0</v>
          </cell>
          <cell r="M873">
            <v>0</v>
          </cell>
        </row>
        <row r="874">
          <cell r="L874">
            <v>0</v>
          </cell>
          <cell r="M874">
            <v>0</v>
          </cell>
        </row>
        <row r="875">
          <cell r="L875">
            <v>0</v>
          </cell>
          <cell r="M875">
            <v>0</v>
          </cell>
        </row>
        <row r="876">
          <cell r="L876">
            <v>0</v>
          </cell>
          <cell r="M876">
            <v>0</v>
          </cell>
        </row>
        <row r="877">
          <cell r="L877">
            <v>0</v>
          </cell>
          <cell r="M877">
            <v>0</v>
          </cell>
        </row>
        <row r="878">
          <cell r="L878">
            <v>0</v>
          </cell>
          <cell r="M878">
            <v>0</v>
          </cell>
        </row>
        <row r="879">
          <cell r="L879">
            <v>0</v>
          </cell>
          <cell r="M879">
            <v>0</v>
          </cell>
        </row>
        <row r="880">
          <cell r="L880">
            <v>0</v>
          </cell>
          <cell r="M880">
            <v>0</v>
          </cell>
        </row>
        <row r="881">
          <cell r="L881">
            <v>0</v>
          </cell>
          <cell r="M881">
            <v>0</v>
          </cell>
        </row>
        <row r="882">
          <cell r="L882">
            <v>0</v>
          </cell>
          <cell r="M882">
            <v>0</v>
          </cell>
        </row>
        <row r="883">
          <cell r="L883">
            <v>0</v>
          </cell>
          <cell r="M883">
            <v>0</v>
          </cell>
        </row>
        <row r="884">
          <cell r="L884">
            <v>0</v>
          </cell>
          <cell r="M884">
            <v>0</v>
          </cell>
        </row>
        <row r="885">
          <cell r="L885">
            <v>0</v>
          </cell>
          <cell r="M885">
            <v>0</v>
          </cell>
        </row>
        <row r="886">
          <cell r="L886">
            <v>0</v>
          </cell>
          <cell r="M886">
            <v>0</v>
          </cell>
        </row>
        <row r="887">
          <cell r="L887">
            <v>0</v>
          </cell>
          <cell r="M887">
            <v>0</v>
          </cell>
        </row>
        <row r="888">
          <cell r="L888">
            <v>0</v>
          </cell>
          <cell r="M888">
            <v>0</v>
          </cell>
        </row>
        <row r="889">
          <cell r="L889">
            <v>0</v>
          </cell>
          <cell r="M889">
            <v>0</v>
          </cell>
        </row>
        <row r="890">
          <cell r="L890">
            <v>0</v>
          </cell>
          <cell r="M890">
            <v>0</v>
          </cell>
        </row>
        <row r="891">
          <cell r="L891">
            <v>0</v>
          </cell>
          <cell r="M891">
            <v>0</v>
          </cell>
        </row>
        <row r="892">
          <cell r="L892">
            <v>0</v>
          </cell>
          <cell r="M892">
            <v>0</v>
          </cell>
        </row>
        <row r="893">
          <cell r="L893">
            <v>0</v>
          </cell>
          <cell r="M893">
            <v>0</v>
          </cell>
        </row>
        <row r="894">
          <cell r="L894">
            <v>0</v>
          </cell>
          <cell r="M894">
            <v>0</v>
          </cell>
        </row>
        <row r="895">
          <cell r="L895">
            <v>0</v>
          </cell>
          <cell r="M895">
            <v>0</v>
          </cell>
        </row>
        <row r="896">
          <cell r="L896">
            <v>0</v>
          </cell>
          <cell r="M896">
            <v>0</v>
          </cell>
        </row>
        <row r="897">
          <cell r="L897">
            <v>0</v>
          </cell>
          <cell r="M897">
            <v>0</v>
          </cell>
        </row>
        <row r="898">
          <cell r="L898">
            <v>0</v>
          </cell>
          <cell r="M898">
            <v>0</v>
          </cell>
        </row>
        <row r="899">
          <cell r="L899">
            <v>0</v>
          </cell>
          <cell r="M899">
            <v>0</v>
          </cell>
        </row>
        <row r="900">
          <cell r="L900">
            <v>0</v>
          </cell>
          <cell r="M900">
            <v>0</v>
          </cell>
        </row>
        <row r="901">
          <cell r="L901">
            <v>0</v>
          </cell>
          <cell r="M901">
            <v>0</v>
          </cell>
        </row>
        <row r="902">
          <cell r="L902">
            <v>0</v>
          </cell>
          <cell r="M902">
            <v>0</v>
          </cell>
        </row>
        <row r="903">
          <cell r="L903">
            <v>0</v>
          </cell>
          <cell r="M903">
            <v>0</v>
          </cell>
        </row>
        <row r="904">
          <cell r="L904">
            <v>0</v>
          </cell>
          <cell r="M904">
            <v>0</v>
          </cell>
        </row>
        <row r="905">
          <cell r="L905">
            <v>0</v>
          </cell>
          <cell r="M905">
            <v>0</v>
          </cell>
        </row>
        <row r="906">
          <cell r="L906">
            <v>0</v>
          </cell>
          <cell r="M906">
            <v>0</v>
          </cell>
        </row>
        <row r="907">
          <cell r="L907">
            <v>0</v>
          </cell>
          <cell r="M907">
            <v>0</v>
          </cell>
        </row>
        <row r="908">
          <cell r="L908">
            <v>0</v>
          </cell>
          <cell r="M908">
            <v>0</v>
          </cell>
        </row>
        <row r="909">
          <cell r="L909">
            <v>0</v>
          </cell>
          <cell r="M909">
            <v>0</v>
          </cell>
        </row>
        <row r="910">
          <cell r="L910">
            <v>0</v>
          </cell>
          <cell r="M910">
            <v>0</v>
          </cell>
        </row>
        <row r="911">
          <cell r="L911">
            <v>0</v>
          </cell>
          <cell r="M911">
            <v>0</v>
          </cell>
        </row>
        <row r="912">
          <cell r="L912">
            <v>0</v>
          </cell>
          <cell r="M912">
            <v>0</v>
          </cell>
        </row>
        <row r="913">
          <cell r="L913">
            <v>0</v>
          </cell>
          <cell r="M913">
            <v>0</v>
          </cell>
        </row>
        <row r="914">
          <cell r="L914">
            <v>0</v>
          </cell>
          <cell r="M914">
            <v>0</v>
          </cell>
        </row>
        <row r="915">
          <cell r="L915">
            <v>0</v>
          </cell>
          <cell r="M915">
            <v>0</v>
          </cell>
        </row>
        <row r="916">
          <cell r="L916">
            <v>0</v>
          </cell>
          <cell r="M916">
            <v>0</v>
          </cell>
        </row>
        <row r="917">
          <cell r="L917">
            <v>0</v>
          </cell>
          <cell r="M917">
            <v>0</v>
          </cell>
        </row>
        <row r="918">
          <cell r="L918">
            <v>0</v>
          </cell>
          <cell r="M918">
            <v>0</v>
          </cell>
        </row>
        <row r="919">
          <cell r="L919">
            <v>0</v>
          </cell>
          <cell r="M919">
            <v>0</v>
          </cell>
        </row>
        <row r="920">
          <cell r="L920">
            <v>0</v>
          </cell>
          <cell r="M920">
            <v>0</v>
          </cell>
        </row>
        <row r="921">
          <cell r="L921">
            <v>0</v>
          </cell>
          <cell r="M921">
            <v>0</v>
          </cell>
        </row>
        <row r="922">
          <cell r="L922">
            <v>0</v>
          </cell>
          <cell r="M922">
            <v>0</v>
          </cell>
        </row>
        <row r="923">
          <cell r="L923">
            <v>0</v>
          </cell>
          <cell r="M923">
            <v>0</v>
          </cell>
        </row>
        <row r="924">
          <cell r="L924">
            <v>0</v>
          </cell>
          <cell r="M924">
            <v>0</v>
          </cell>
        </row>
        <row r="925">
          <cell r="L925">
            <v>0</v>
          </cell>
          <cell r="M925">
            <v>0</v>
          </cell>
        </row>
        <row r="926">
          <cell r="L926">
            <v>0</v>
          </cell>
          <cell r="M926">
            <v>0</v>
          </cell>
        </row>
        <row r="927">
          <cell r="L927">
            <v>0</v>
          </cell>
          <cell r="M927">
            <v>0</v>
          </cell>
        </row>
        <row r="928">
          <cell r="L928">
            <v>0</v>
          </cell>
          <cell r="M928">
            <v>0</v>
          </cell>
        </row>
        <row r="929">
          <cell r="L929">
            <v>0</v>
          </cell>
          <cell r="M929">
            <v>0</v>
          </cell>
        </row>
        <row r="930">
          <cell r="L930">
            <v>0</v>
          </cell>
          <cell r="M930">
            <v>0</v>
          </cell>
        </row>
        <row r="931">
          <cell r="L931">
            <v>0</v>
          </cell>
          <cell r="M931">
            <v>0</v>
          </cell>
        </row>
        <row r="932">
          <cell r="L932">
            <v>0</v>
          </cell>
          <cell r="M932">
            <v>0</v>
          </cell>
        </row>
        <row r="933">
          <cell r="L933">
            <v>0</v>
          </cell>
          <cell r="M933">
            <v>0</v>
          </cell>
        </row>
        <row r="934">
          <cell r="L934">
            <v>0</v>
          </cell>
          <cell r="M934">
            <v>0</v>
          </cell>
        </row>
        <row r="935">
          <cell r="L935">
            <v>0</v>
          </cell>
          <cell r="M935">
            <v>0</v>
          </cell>
        </row>
        <row r="936">
          <cell r="L936">
            <v>0</v>
          </cell>
          <cell r="M936">
            <v>0</v>
          </cell>
        </row>
        <row r="937">
          <cell r="L937">
            <v>0</v>
          </cell>
          <cell r="M937">
            <v>0</v>
          </cell>
        </row>
        <row r="938">
          <cell r="L938">
            <v>0</v>
          </cell>
          <cell r="M938">
            <v>0</v>
          </cell>
        </row>
        <row r="939">
          <cell r="L939">
            <v>0</v>
          </cell>
          <cell r="M939">
            <v>0</v>
          </cell>
        </row>
        <row r="940">
          <cell r="L940">
            <v>0</v>
          </cell>
          <cell r="M940">
            <v>0</v>
          </cell>
        </row>
        <row r="941">
          <cell r="L941">
            <v>0</v>
          </cell>
          <cell r="M941">
            <v>0</v>
          </cell>
        </row>
        <row r="942">
          <cell r="L942">
            <v>0</v>
          </cell>
          <cell r="M942">
            <v>0</v>
          </cell>
        </row>
        <row r="943">
          <cell r="L943">
            <v>0</v>
          </cell>
          <cell r="M943">
            <v>0</v>
          </cell>
        </row>
        <row r="944">
          <cell r="L944">
            <v>0</v>
          </cell>
          <cell r="M944">
            <v>0</v>
          </cell>
        </row>
        <row r="945">
          <cell r="L945">
            <v>0</v>
          </cell>
          <cell r="M945">
            <v>0</v>
          </cell>
        </row>
        <row r="946">
          <cell r="L946">
            <v>0</v>
          </cell>
          <cell r="M946">
            <v>0</v>
          </cell>
        </row>
        <row r="947">
          <cell r="L947">
            <v>0</v>
          </cell>
          <cell r="M947">
            <v>0</v>
          </cell>
        </row>
        <row r="948">
          <cell r="L948">
            <v>0</v>
          </cell>
          <cell r="M948">
            <v>0</v>
          </cell>
        </row>
        <row r="949">
          <cell r="L949">
            <v>0</v>
          </cell>
          <cell r="M949">
            <v>0</v>
          </cell>
        </row>
        <row r="950">
          <cell r="L950">
            <v>0</v>
          </cell>
          <cell r="M950">
            <v>0</v>
          </cell>
        </row>
        <row r="951">
          <cell r="L951">
            <v>0</v>
          </cell>
          <cell r="M951">
            <v>0</v>
          </cell>
        </row>
        <row r="952">
          <cell r="L952">
            <v>0</v>
          </cell>
          <cell r="M952">
            <v>0</v>
          </cell>
        </row>
        <row r="953">
          <cell r="L953">
            <v>0</v>
          </cell>
          <cell r="M953">
            <v>0</v>
          </cell>
        </row>
        <row r="954">
          <cell r="L954">
            <v>0</v>
          </cell>
          <cell r="M954">
            <v>0</v>
          </cell>
        </row>
        <row r="955">
          <cell r="L955">
            <v>0</v>
          </cell>
          <cell r="M955">
            <v>0</v>
          </cell>
        </row>
        <row r="956">
          <cell r="L956">
            <v>0</v>
          </cell>
          <cell r="M956">
            <v>0</v>
          </cell>
        </row>
        <row r="957">
          <cell r="L957">
            <v>0</v>
          </cell>
          <cell r="M957">
            <v>0</v>
          </cell>
        </row>
        <row r="958">
          <cell r="L958">
            <v>0</v>
          </cell>
          <cell r="M958">
            <v>0</v>
          </cell>
        </row>
        <row r="959">
          <cell r="L959">
            <v>0</v>
          </cell>
          <cell r="M959">
            <v>0</v>
          </cell>
        </row>
        <row r="960">
          <cell r="L960">
            <v>0</v>
          </cell>
          <cell r="M960">
            <v>0</v>
          </cell>
        </row>
        <row r="961">
          <cell r="L961">
            <v>0</v>
          </cell>
          <cell r="M961">
            <v>0</v>
          </cell>
        </row>
        <row r="962">
          <cell r="L962">
            <v>0</v>
          </cell>
          <cell r="M962">
            <v>0</v>
          </cell>
        </row>
        <row r="963">
          <cell r="L963">
            <v>0</v>
          </cell>
          <cell r="M963">
            <v>0</v>
          </cell>
        </row>
        <row r="964">
          <cell r="L964">
            <v>0</v>
          </cell>
          <cell r="M964">
            <v>0</v>
          </cell>
        </row>
        <row r="965">
          <cell r="L965">
            <v>0</v>
          </cell>
          <cell r="M965">
            <v>0</v>
          </cell>
        </row>
        <row r="966">
          <cell r="L966">
            <v>0</v>
          </cell>
          <cell r="M966">
            <v>0</v>
          </cell>
        </row>
        <row r="967">
          <cell r="L967">
            <v>0</v>
          </cell>
          <cell r="M967">
            <v>0</v>
          </cell>
        </row>
        <row r="968">
          <cell r="L968">
            <v>0</v>
          </cell>
          <cell r="M968">
            <v>0</v>
          </cell>
        </row>
        <row r="969">
          <cell r="L969">
            <v>0</v>
          </cell>
          <cell r="M969">
            <v>0</v>
          </cell>
        </row>
        <row r="970">
          <cell r="L970">
            <v>0</v>
          </cell>
          <cell r="M970">
            <v>0</v>
          </cell>
        </row>
        <row r="971">
          <cell r="L971">
            <v>0</v>
          </cell>
          <cell r="M971">
            <v>0</v>
          </cell>
        </row>
        <row r="972">
          <cell r="L972">
            <v>0</v>
          </cell>
          <cell r="M972">
            <v>0</v>
          </cell>
        </row>
        <row r="973">
          <cell r="L973">
            <v>0</v>
          </cell>
          <cell r="M973">
            <v>0</v>
          </cell>
        </row>
        <row r="974">
          <cell r="L974">
            <v>0</v>
          </cell>
          <cell r="M974">
            <v>0</v>
          </cell>
        </row>
        <row r="975">
          <cell r="L975">
            <v>0</v>
          </cell>
          <cell r="M975">
            <v>0</v>
          </cell>
        </row>
        <row r="976">
          <cell r="L976">
            <v>0</v>
          </cell>
          <cell r="M976">
            <v>0</v>
          </cell>
        </row>
        <row r="977">
          <cell r="L977">
            <v>0</v>
          </cell>
          <cell r="M977">
            <v>0</v>
          </cell>
        </row>
        <row r="978">
          <cell r="L978">
            <v>0</v>
          </cell>
          <cell r="M978">
            <v>0</v>
          </cell>
        </row>
      </sheetData>
      <sheetData sheetId="1" refreshError="1"/>
      <sheetData sheetId="2" refreshError="1"/>
      <sheetData sheetId="3" refreshError="1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D26001399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D26001405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B26001728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B26001887</v>
          </cell>
          <cell r="AP12">
            <v>0</v>
          </cell>
          <cell r="AQ12">
            <v>0</v>
          </cell>
          <cell r="AV12">
            <v>6557500</v>
          </cell>
        </row>
        <row r="13">
          <cell r="E13" t="str">
            <v>B26001888</v>
          </cell>
          <cell r="AP13">
            <v>0</v>
          </cell>
          <cell r="AQ13">
            <v>0</v>
          </cell>
          <cell r="AV13">
            <v>1092500</v>
          </cell>
        </row>
        <row r="14">
          <cell r="E14" t="str">
            <v>B26001402</v>
          </cell>
          <cell r="AP14">
            <v>0</v>
          </cell>
          <cell r="AQ14">
            <v>0</v>
          </cell>
          <cell r="AV14">
            <v>0</v>
          </cell>
        </row>
        <row r="15">
          <cell r="E15" t="str">
            <v>D26000442</v>
          </cell>
          <cell r="AP15">
            <v>0</v>
          </cell>
          <cell r="AQ15">
            <v>0</v>
          </cell>
          <cell r="AV15">
            <v>0</v>
          </cell>
        </row>
        <row r="16">
          <cell r="E16" t="str">
            <v>D26000735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D26000961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D26001043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D26001257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D26001258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B26001582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B26001651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D25013604</v>
          </cell>
          <cell r="AP23">
            <v>0</v>
          </cell>
          <cell r="AQ23">
            <v>0</v>
          </cell>
          <cell r="AV23">
            <v>10000000</v>
          </cell>
        </row>
        <row r="24">
          <cell r="E24" t="str">
            <v>B25015898</v>
          </cell>
          <cell r="AP24">
            <v>0</v>
          </cell>
          <cell r="AQ24">
            <v>0</v>
          </cell>
          <cell r="AV24">
            <v>28420000</v>
          </cell>
        </row>
        <row r="25">
          <cell r="E25" t="str">
            <v>D25019533</v>
          </cell>
          <cell r="AP25">
            <v>0</v>
          </cell>
          <cell r="AQ25">
            <v>0</v>
          </cell>
          <cell r="AV25">
            <v>0</v>
          </cell>
        </row>
        <row r="26">
          <cell r="E26" t="str">
            <v>B25017054</v>
          </cell>
          <cell r="AP26">
            <v>0</v>
          </cell>
          <cell r="AQ26">
            <v>0</v>
          </cell>
          <cell r="AV26">
            <v>0</v>
          </cell>
        </row>
        <row r="27">
          <cell r="E27" t="str">
            <v>B25017068</v>
          </cell>
          <cell r="AP27">
            <v>0</v>
          </cell>
          <cell r="AQ27">
            <v>0</v>
          </cell>
          <cell r="AV27">
            <v>0</v>
          </cell>
        </row>
        <row r="28">
          <cell r="E28" t="str">
            <v>B26000149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D26001878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B26001775</v>
          </cell>
          <cell r="AP30">
            <v>0</v>
          </cell>
          <cell r="AQ30">
            <v>0</v>
          </cell>
          <cell r="AV30">
            <v>0</v>
          </cell>
        </row>
        <row r="31">
          <cell r="E31" t="str">
            <v>D25018816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B26000698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T26000040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T25000266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B25013635</v>
          </cell>
          <cell r="AP35">
            <v>0</v>
          </cell>
          <cell r="AQ35">
            <v>0</v>
          </cell>
          <cell r="AV35">
            <v>2000000</v>
          </cell>
        </row>
        <row r="36">
          <cell r="E36" t="str">
            <v>B25013636</v>
          </cell>
          <cell r="AP36">
            <v>0</v>
          </cell>
          <cell r="AQ36">
            <v>0</v>
          </cell>
          <cell r="AV36">
            <v>1000000</v>
          </cell>
        </row>
        <row r="37">
          <cell r="E37" t="str">
            <v>D25016962</v>
          </cell>
          <cell r="AP37">
            <v>0</v>
          </cell>
          <cell r="AQ37">
            <v>0</v>
          </cell>
          <cell r="AV37">
            <v>0</v>
          </cell>
        </row>
        <row r="38">
          <cell r="E38" t="str">
            <v>B25016685</v>
          </cell>
          <cell r="AP38">
            <v>0</v>
          </cell>
          <cell r="AQ38">
            <v>0</v>
          </cell>
          <cell r="AV38">
            <v>0</v>
          </cell>
        </row>
        <row r="39">
          <cell r="E39" t="str">
            <v>B26000153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R25000092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D26001073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D26001074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D26001946</v>
          </cell>
          <cell r="AP43">
            <v>0</v>
          </cell>
          <cell r="AQ43">
            <v>0</v>
          </cell>
          <cell r="AV43">
            <v>46000000</v>
          </cell>
        </row>
        <row r="44">
          <cell r="E44" t="str">
            <v>B25016283</v>
          </cell>
          <cell r="AP44">
            <v>0</v>
          </cell>
          <cell r="AQ44">
            <v>0</v>
          </cell>
          <cell r="AV44">
            <v>0</v>
          </cell>
        </row>
        <row r="45">
          <cell r="E45" t="str">
            <v>B25016284</v>
          </cell>
          <cell r="AP45">
            <v>0</v>
          </cell>
          <cell r="AQ45">
            <v>0</v>
          </cell>
          <cell r="AV45">
            <v>0</v>
          </cell>
        </row>
        <row r="46">
          <cell r="E46" t="str">
            <v>D26001142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D26000437</v>
          </cell>
          <cell r="AP47">
            <v>0</v>
          </cell>
          <cell r="AQ47">
            <v>0</v>
          </cell>
          <cell r="AV47">
            <v>24920000</v>
          </cell>
        </row>
        <row r="48">
          <cell r="E48" t="str">
            <v>D26000449</v>
          </cell>
          <cell r="AP48">
            <v>0</v>
          </cell>
          <cell r="AQ48">
            <v>0</v>
          </cell>
          <cell r="AV48">
            <v>8700000</v>
          </cell>
        </row>
        <row r="49">
          <cell r="E49" t="str">
            <v>D26001017</v>
          </cell>
          <cell r="AP49">
            <v>0</v>
          </cell>
          <cell r="AQ49">
            <v>0</v>
          </cell>
          <cell r="AV49">
            <v>0</v>
          </cell>
        </row>
        <row r="50">
          <cell r="E50" t="str">
            <v>B26001350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D26002020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D26002074</v>
          </cell>
          <cell r="AP52">
            <v>0</v>
          </cell>
          <cell r="AQ52">
            <v>0</v>
          </cell>
          <cell r="AV52">
            <v>0</v>
          </cell>
        </row>
        <row r="53">
          <cell r="E53" t="str">
            <v>D25019438</v>
          </cell>
          <cell r="AP53">
            <v>0</v>
          </cell>
          <cell r="AQ53">
            <v>0</v>
          </cell>
          <cell r="AV53">
            <v>0</v>
          </cell>
        </row>
        <row r="54">
          <cell r="E54" t="str">
            <v>D26000375</v>
          </cell>
          <cell r="AP54">
            <v>0</v>
          </cell>
          <cell r="AQ54">
            <v>0</v>
          </cell>
          <cell r="AV54">
            <v>0</v>
          </cell>
        </row>
        <row r="55">
          <cell r="E55" t="str">
            <v>B26000515</v>
          </cell>
          <cell r="AP55">
            <v>0</v>
          </cell>
          <cell r="AQ55">
            <v>0</v>
          </cell>
          <cell r="AV55">
            <v>0</v>
          </cell>
        </row>
        <row r="56">
          <cell r="E56" t="str">
            <v>B26000670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B26001258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B26001259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B26001658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D26001772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B26001815</v>
          </cell>
          <cell r="AP61">
            <v>0</v>
          </cell>
          <cell r="AQ61">
            <v>0</v>
          </cell>
          <cell r="AV61">
            <v>0</v>
          </cell>
        </row>
        <row r="62">
          <cell r="E62" t="str">
            <v>D26001968</v>
          </cell>
          <cell r="AP62">
            <v>0</v>
          </cell>
          <cell r="AQ62">
            <v>0</v>
          </cell>
          <cell r="AV62">
            <v>0</v>
          </cell>
        </row>
        <row r="63">
          <cell r="E63" t="str">
            <v>B26001910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B25014427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B25015559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T25001844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D25016973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B25014356</v>
          </cell>
          <cell r="AP68">
            <v>0</v>
          </cell>
          <cell r="AQ68">
            <v>0</v>
          </cell>
          <cell r="AV68">
            <v>1695000</v>
          </cell>
        </row>
        <row r="69">
          <cell r="E69" t="str">
            <v>B25014813</v>
          </cell>
          <cell r="AP69">
            <v>0</v>
          </cell>
          <cell r="AQ69">
            <v>0</v>
          </cell>
          <cell r="AV69">
            <v>5000</v>
          </cell>
        </row>
        <row r="70">
          <cell r="E70" t="str">
            <v>B25015629</v>
          </cell>
          <cell r="AP70">
            <v>0</v>
          </cell>
          <cell r="AQ70">
            <v>0</v>
          </cell>
          <cell r="AV70">
            <v>0</v>
          </cell>
        </row>
        <row r="71">
          <cell r="E71" t="str">
            <v>D25018878</v>
          </cell>
          <cell r="AP71">
            <v>0</v>
          </cell>
          <cell r="AQ71">
            <v>0</v>
          </cell>
          <cell r="AV71">
            <v>0</v>
          </cell>
        </row>
        <row r="72">
          <cell r="E72" t="str">
            <v>T25001869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D26000099</v>
          </cell>
          <cell r="AP73">
            <v>0</v>
          </cell>
          <cell r="AQ73">
            <v>0</v>
          </cell>
          <cell r="AV73">
            <v>0</v>
          </cell>
        </row>
        <row r="74">
          <cell r="E74" t="str">
            <v>B25016595</v>
          </cell>
          <cell r="AP74">
            <v>0</v>
          </cell>
          <cell r="AQ74">
            <v>0</v>
          </cell>
          <cell r="AV74">
            <v>5100000</v>
          </cell>
        </row>
        <row r="75">
          <cell r="E75" t="str">
            <v>D25019293</v>
          </cell>
          <cell r="AP75">
            <v>0</v>
          </cell>
          <cell r="AQ75">
            <v>0</v>
          </cell>
          <cell r="AV75">
            <v>2841000</v>
          </cell>
        </row>
        <row r="76">
          <cell r="E76" t="str">
            <v>B25016918</v>
          </cell>
          <cell r="AP76">
            <v>0</v>
          </cell>
          <cell r="AQ76">
            <v>0</v>
          </cell>
          <cell r="AV76">
            <v>23875000</v>
          </cell>
        </row>
        <row r="77">
          <cell r="E77" t="str">
            <v>B25016929</v>
          </cell>
          <cell r="AP77">
            <v>0</v>
          </cell>
          <cell r="AQ77">
            <v>0</v>
          </cell>
          <cell r="AV77">
            <v>1860000</v>
          </cell>
        </row>
        <row r="78">
          <cell r="E78" t="str">
            <v>B25016984</v>
          </cell>
          <cell r="AP78">
            <v>0</v>
          </cell>
          <cell r="AQ78">
            <v>0</v>
          </cell>
          <cell r="AV78">
            <v>1875000</v>
          </cell>
        </row>
        <row r="79">
          <cell r="E79" t="str">
            <v>D26000011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B26000193</v>
          </cell>
          <cell r="AP80">
            <v>0</v>
          </cell>
          <cell r="AQ80">
            <v>0</v>
          </cell>
          <cell r="AV80">
            <v>0</v>
          </cell>
        </row>
        <row r="81">
          <cell r="E81" t="str">
            <v>D26000353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D26000354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B26000366</v>
          </cell>
          <cell r="AP83">
            <v>0</v>
          </cell>
          <cell r="AQ83">
            <v>0</v>
          </cell>
          <cell r="AV83">
            <v>0</v>
          </cell>
        </row>
        <row r="84">
          <cell r="E84" t="str">
            <v>B26000620</v>
          </cell>
          <cell r="AP84">
            <v>0</v>
          </cell>
          <cell r="AQ84">
            <v>0</v>
          </cell>
          <cell r="AV84">
            <v>0</v>
          </cell>
        </row>
        <row r="85">
          <cell r="E85" t="str">
            <v>B26000733</v>
          </cell>
          <cell r="AP85">
            <v>0</v>
          </cell>
          <cell r="AQ85">
            <v>0</v>
          </cell>
          <cell r="AV85">
            <v>0</v>
          </cell>
        </row>
        <row r="86">
          <cell r="E86" t="str">
            <v>D26001015</v>
          </cell>
          <cell r="AP86">
            <v>0</v>
          </cell>
          <cell r="AQ86">
            <v>0</v>
          </cell>
          <cell r="AV86">
            <v>0</v>
          </cell>
        </row>
        <row r="87">
          <cell r="E87" t="str">
            <v>B26001001</v>
          </cell>
          <cell r="AP87">
            <v>0</v>
          </cell>
          <cell r="AQ87">
            <v>0</v>
          </cell>
          <cell r="AV87">
            <v>0</v>
          </cell>
        </row>
        <row r="88">
          <cell r="E88" t="str">
            <v>B26001078</v>
          </cell>
          <cell r="AP88">
            <v>0</v>
          </cell>
          <cell r="AQ88">
            <v>0</v>
          </cell>
          <cell r="AV88">
            <v>0</v>
          </cell>
        </row>
        <row r="89">
          <cell r="E89" t="str">
            <v>B26001105</v>
          </cell>
          <cell r="AP89">
            <v>0</v>
          </cell>
          <cell r="AQ89">
            <v>0</v>
          </cell>
          <cell r="AV89">
            <v>0</v>
          </cell>
        </row>
        <row r="90">
          <cell r="E90" t="str">
            <v>N26000013</v>
          </cell>
          <cell r="AP90">
            <v>0</v>
          </cell>
          <cell r="AQ90">
            <v>0</v>
          </cell>
          <cell r="AV90">
            <v>0</v>
          </cell>
        </row>
        <row r="91">
          <cell r="E91" t="str">
            <v>D26001690</v>
          </cell>
          <cell r="AP91">
            <v>0</v>
          </cell>
          <cell r="AQ91">
            <v>0</v>
          </cell>
          <cell r="AV91">
            <v>0</v>
          </cell>
        </row>
        <row r="92">
          <cell r="E92" t="str">
            <v>B26001706</v>
          </cell>
          <cell r="AP92">
            <v>0</v>
          </cell>
          <cell r="AQ92">
            <v>0</v>
          </cell>
          <cell r="AV92">
            <v>8437500</v>
          </cell>
        </row>
        <row r="93">
          <cell r="E93" t="str">
            <v>B26001707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B26001722</v>
          </cell>
          <cell r="AP94">
            <v>0</v>
          </cell>
          <cell r="AQ94">
            <v>0</v>
          </cell>
          <cell r="AV94">
            <v>0</v>
          </cell>
        </row>
        <row r="95">
          <cell r="E95" t="str">
            <v>B26001797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B25016295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D26000143</v>
          </cell>
          <cell r="AP97">
            <v>0</v>
          </cell>
          <cell r="AQ97">
            <v>0</v>
          </cell>
          <cell r="AV97">
            <v>0</v>
          </cell>
        </row>
        <row r="98">
          <cell r="E98" t="str">
            <v>D26000209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D26000789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B26000824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B26001115</v>
          </cell>
          <cell r="AP101">
            <v>0</v>
          </cell>
          <cell r="AQ101">
            <v>0</v>
          </cell>
          <cell r="AV101">
            <v>0</v>
          </cell>
        </row>
        <row r="102">
          <cell r="E102" t="str">
            <v>B26001116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T26000098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D26001469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D26001603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B26000465</v>
          </cell>
          <cell r="AP106">
            <v>0</v>
          </cell>
          <cell r="AQ106">
            <v>0</v>
          </cell>
          <cell r="AV106">
            <v>0</v>
          </cell>
        </row>
        <row r="107">
          <cell r="E107" t="str">
            <v>B26000466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B26000467</v>
          </cell>
          <cell r="AP108">
            <v>0</v>
          </cell>
          <cell r="AQ108">
            <v>0</v>
          </cell>
          <cell r="AV108">
            <v>0</v>
          </cell>
        </row>
        <row r="109">
          <cell r="E109" t="str">
            <v>B26000468</v>
          </cell>
          <cell r="AP109">
            <v>0</v>
          </cell>
          <cell r="AQ109">
            <v>0</v>
          </cell>
          <cell r="AV109">
            <v>0</v>
          </cell>
        </row>
        <row r="110">
          <cell r="E110" t="str">
            <v>B26000497</v>
          </cell>
          <cell r="AP110">
            <v>0</v>
          </cell>
          <cell r="AQ110">
            <v>0</v>
          </cell>
          <cell r="AV110">
            <v>0</v>
          </cell>
        </row>
        <row r="111">
          <cell r="E111" t="str">
            <v>D26001028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B26001023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D26001110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D26001939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D26001940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B26001843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B25016839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D25019387</v>
          </cell>
          <cell r="AP118">
            <v>0</v>
          </cell>
          <cell r="AQ118">
            <v>0</v>
          </cell>
          <cell r="AV118">
            <v>1400000</v>
          </cell>
        </row>
        <row r="119">
          <cell r="E119" t="str">
            <v>B25016959</v>
          </cell>
          <cell r="AP119">
            <v>0</v>
          </cell>
          <cell r="AQ119">
            <v>0</v>
          </cell>
          <cell r="AV119">
            <v>2422500</v>
          </cell>
        </row>
        <row r="120">
          <cell r="E120" t="str">
            <v>D26000166</v>
          </cell>
          <cell r="AP120">
            <v>0</v>
          </cell>
          <cell r="AQ120">
            <v>0</v>
          </cell>
          <cell r="AV120">
            <v>0</v>
          </cell>
        </row>
        <row r="121">
          <cell r="E121" t="str">
            <v>D26000191</v>
          </cell>
          <cell r="AP121">
            <v>0</v>
          </cell>
          <cell r="AQ121">
            <v>0</v>
          </cell>
          <cell r="AV121">
            <v>0</v>
          </cell>
        </row>
        <row r="122">
          <cell r="E122" t="str">
            <v>B26000930</v>
          </cell>
          <cell r="AP122">
            <v>0</v>
          </cell>
          <cell r="AQ122">
            <v>0</v>
          </cell>
          <cell r="AV122">
            <v>0</v>
          </cell>
        </row>
        <row r="123">
          <cell r="E123">
            <v>260008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B26001067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D26001141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B26001925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B26001948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D26002072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D25018521</v>
          </cell>
          <cell r="AP129">
            <v>0</v>
          </cell>
          <cell r="AQ129">
            <v>0</v>
          </cell>
          <cell r="AV129">
            <v>1350000</v>
          </cell>
        </row>
        <row r="130">
          <cell r="E130" t="str">
            <v>B25016305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D25019209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D25019322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B25016814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D25019425</v>
          </cell>
          <cell r="AP134">
            <v>0</v>
          </cell>
          <cell r="AQ134">
            <v>0</v>
          </cell>
          <cell r="AV134">
            <v>0</v>
          </cell>
        </row>
        <row r="135">
          <cell r="E135" t="str">
            <v>B26000949</v>
          </cell>
          <cell r="AP135">
            <v>0</v>
          </cell>
          <cell r="AQ135">
            <v>0</v>
          </cell>
          <cell r="AV135">
            <v>0</v>
          </cell>
        </row>
        <row r="136">
          <cell r="E136" t="str">
            <v>B26001134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D26001706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B25015209</v>
          </cell>
          <cell r="AP138">
            <v>0</v>
          </cell>
          <cell r="AQ138">
            <v>0</v>
          </cell>
          <cell r="AV138">
            <v>14850000</v>
          </cell>
        </row>
        <row r="139">
          <cell r="E139" t="str">
            <v>B25015334</v>
          </cell>
          <cell r="AP139">
            <v>0</v>
          </cell>
          <cell r="AQ139">
            <v>0</v>
          </cell>
          <cell r="AV139">
            <v>47500000</v>
          </cell>
        </row>
        <row r="140">
          <cell r="E140" t="str">
            <v>B25015337</v>
          </cell>
          <cell r="AP140">
            <v>0</v>
          </cell>
          <cell r="AQ140">
            <v>0</v>
          </cell>
          <cell r="AV140">
            <v>0</v>
          </cell>
        </row>
        <row r="141">
          <cell r="E141" t="str">
            <v>D25018133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D25018782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D25019513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B26000096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B26000131</v>
          </cell>
          <cell r="AP145">
            <v>0</v>
          </cell>
          <cell r="AQ145">
            <v>0</v>
          </cell>
          <cell r="AV145">
            <v>0</v>
          </cell>
        </row>
        <row r="146">
          <cell r="E146" t="str">
            <v>D26000074</v>
          </cell>
          <cell r="AP146">
            <v>0</v>
          </cell>
          <cell r="AQ146">
            <v>0</v>
          </cell>
          <cell r="AV146">
            <v>0</v>
          </cell>
        </row>
        <row r="147">
          <cell r="E147" t="str">
            <v>D26000098</v>
          </cell>
          <cell r="AP147">
            <v>0</v>
          </cell>
          <cell r="AQ147">
            <v>0</v>
          </cell>
          <cell r="AV147">
            <v>0</v>
          </cell>
        </row>
        <row r="148">
          <cell r="E148" t="str">
            <v>D26000109</v>
          </cell>
          <cell r="AP148">
            <v>0</v>
          </cell>
          <cell r="AQ148">
            <v>0</v>
          </cell>
          <cell r="AV148">
            <v>0</v>
          </cell>
        </row>
        <row r="149">
          <cell r="E149" t="str">
            <v>D26000207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B26000766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D26001183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B26001162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B26001461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B26001838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D26000288</v>
          </cell>
          <cell r="AP155">
            <v>0</v>
          </cell>
          <cell r="AQ155">
            <v>0</v>
          </cell>
          <cell r="AV155">
            <v>0</v>
          </cell>
        </row>
        <row r="156">
          <cell r="E156" t="str">
            <v>B26001492</v>
          </cell>
          <cell r="AP156">
            <v>0</v>
          </cell>
          <cell r="AQ156">
            <v>0</v>
          </cell>
          <cell r="AV156">
            <v>0</v>
          </cell>
        </row>
        <row r="157">
          <cell r="E157" t="str">
            <v>D26001216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B26001011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B26001114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L23000053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D24005367</v>
          </cell>
          <cell r="AP161">
            <v>0</v>
          </cell>
          <cell r="AQ161">
            <v>0</v>
          </cell>
          <cell r="AV161">
            <v>1000000</v>
          </cell>
        </row>
        <row r="162">
          <cell r="E162" t="str">
            <v>D26000611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D25017086</v>
          </cell>
          <cell r="AP163">
            <v>0</v>
          </cell>
          <cell r="AQ163">
            <v>0</v>
          </cell>
          <cell r="AV163">
            <v>11240000</v>
          </cell>
        </row>
        <row r="164">
          <cell r="E164" t="str">
            <v>D25018288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B25016797</v>
          </cell>
          <cell r="AP165">
            <v>0</v>
          </cell>
          <cell r="AQ165">
            <v>0</v>
          </cell>
          <cell r="AV165">
            <v>18600000</v>
          </cell>
        </row>
        <row r="166">
          <cell r="E166" t="str">
            <v>B26000117</v>
          </cell>
          <cell r="AP166">
            <v>0</v>
          </cell>
          <cell r="AQ166">
            <v>0</v>
          </cell>
          <cell r="AV166">
            <v>0</v>
          </cell>
        </row>
        <row r="167">
          <cell r="E167" t="str">
            <v>B26000136</v>
          </cell>
          <cell r="AP167">
            <v>0</v>
          </cell>
          <cell r="AQ167">
            <v>0</v>
          </cell>
          <cell r="AV167">
            <v>0</v>
          </cell>
        </row>
        <row r="168">
          <cell r="E168" t="str">
            <v>D26000208</v>
          </cell>
          <cell r="AP168">
            <v>0</v>
          </cell>
          <cell r="AQ168">
            <v>0</v>
          </cell>
          <cell r="AV168">
            <v>0</v>
          </cell>
        </row>
        <row r="169">
          <cell r="E169" t="str">
            <v>D26000330</v>
          </cell>
          <cell r="AP169">
            <v>0</v>
          </cell>
          <cell r="AQ169">
            <v>0</v>
          </cell>
          <cell r="AV169">
            <v>0</v>
          </cell>
        </row>
        <row r="170">
          <cell r="E170" t="str">
            <v>B26000590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D26001033</v>
          </cell>
          <cell r="AP171">
            <v>0</v>
          </cell>
          <cell r="AQ171">
            <v>0</v>
          </cell>
          <cell r="AV171">
            <v>0</v>
          </cell>
        </row>
        <row r="172">
          <cell r="E172" t="str">
            <v>D26001256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B26001599</v>
          </cell>
          <cell r="AP173">
            <v>0</v>
          </cell>
          <cell r="AQ173">
            <v>0</v>
          </cell>
          <cell r="AV173">
            <v>19400000</v>
          </cell>
        </row>
        <row r="174">
          <cell r="E174" t="str">
            <v>B26001705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D26001977</v>
          </cell>
          <cell r="AP175">
            <v>0</v>
          </cell>
          <cell r="AQ175">
            <v>0</v>
          </cell>
          <cell r="AV175">
            <v>0</v>
          </cell>
        </row>
        <row r="176">
          <cell r="E176" t="str">
            <v>D25017360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B25015079</v>
          </cell>
          <cell r="AP177">
            <v>0</v>
          </cell>
          <cell r="AQ177">
            <v>0</v>
          </cell>
          <cell r="AV177">
            <v>0</v>
          </cell>
        </row>
        <row r="178">
          <cell r="E178" t="str">
            <v>D25017962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D25018362</v>
          </cell>
          <cell r="AP179">
            <v>0</v>
          </cell>
          <cell r="AQ179">
            <v>0</v>
          </cell>
          <cell r="AV179">
            <v>0</v>
          </cell>
        </row>
        <row r="180">
          <cell r="E180" t="str">
            <v>B25016342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D25018975</v>
          </cell>
          <cell r="AP181">
            <v>0</v>
          </cell>
          <cell r="AQ181">
            <v>0</v>
          </cell>
          <cell r="AV181">
            <v>0</v>
          </cell>
        </row>
        <row r="182">
          <cell r="E182" t="str">
            <v>D25019037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D25019124</v>
          </cell>
          <cell r="AP183">
            <v>0</v>
          </cell>
          <cell r="AQ183">
            <v>0</v>
          </cell>
          <cell r="AV183">
            <v>0</v>
          </cell>
        </row>
        <row r="184">
          <cell r="E184" t="str">
            <v>B25016713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D25019220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D25019249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D25019291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D25019449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B26000018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B26000036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D26000067</v>
          </cell>
          <cell r="AP191">
            <v>0</v>
          </cell>
          <cell r="AQ191">
            <v>0</v>
          </cell>
          <cell r="AV191">
            <v>0</v>
          </cell>
        </row>
        <row r="192">
          <cell r="E192" t="str">
            <v>B26000277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B26000503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D26000639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D26000680</v>
          </cell>
          <cell r="AP195">
            <v>0</v>
          </cell>
          <cell r="AQ195">
            <v>0</v>
          </cell>
          <cell r="AV195">
            <v>0</v>
          </cell>
        </row>
        <row r="196">
          <cell r="E196" t="str">
            <v>D26000704</v>
          </cell>
          <cell r="AP196">
            <v>0</v>
          </cell>
          <cell r="AQ196">
            <v>0</v>
          </cell>
          <cell r="AV196">
            <v>0</v>
          </cell>
        </row>
        <row r="197">
          <cell r="E197" t="str">
            <v>D26001245</v>
          </cell>
          <cell r="AP197">
            <v>0</v>
          </cell>
          <cell r="AQ197">
            <v>0</v>
          </cell>
          <cell r="AV197">
            <v>0</v>
          </cell>
        </row>
        <row r="198">
          <cell r="E198" t="str">
            <v>D26001249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D26001321</v>
          </cell>
          <cell r="AP199">
            <v>0</v>
          </cell>
          <cell r="AQ199">
            <v>0</v>
          </cell>
          <cell r="AV199">
            <v>0</v>
          </cell>
        </row>
        <row r="200">
          <cell r="E200" t="str">
            <v>D26001350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B26001535</v>
          </cell>
          <cell r="AP201">
            <v>0</v>
          </cell>
          <cell r="AQ201">
            <v>0</v>
          </cell>
          <cell r="AV201">
            <v>4240000</v>
          </cell>
        </row>
        <row r="202">
          <cell r="E202" t="str">
            <v>D26001617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D26001965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D26000079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Z26000280</v>
          </cell>
          <cell r="AP205">
            <v>0</v>
          </cell>
          <cell r="AQ205">
            <v>0</v>
          </cell>
          <cell r="AV205">
            <v>1840000</v>
          </cell>
        </row>
        <row r="206">
          <cell r="E206" t="str">
            <v>Z26000281</v>
          </cell>
          <cell r="AP206">
            <v>0</v>
          </cell>
          <cell r="AQ206">
            <v>0</v>
          </cell>
          <cell r="AV206">
            <v>25200000</v>
          </cell>
        </row>
        <row r="207">
          <cell r="E207" t="str">
            <v>T25000256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D25013188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D25013189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D25014399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D25014400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D25014400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D25014401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D25014402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D25014565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D25015128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D25015391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D25015392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B25013376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B25013376</v>
          </cell>
          <cell r="AP220">
            <v>0</v>
          </cell>
          <cell r="AQ220">
            <v>0</v>
          </cell>
          <cell r="AV220">
            <v>0</v>
          </cell>
        </row>
        <row r="221">
          <cell r="E221" t="str">
            <v>B25013377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D25015771</v>
          </cell>
          <cell r="AP222">
            <v>0</v>
          </cell>
          <cell r="AQ222">
            <v>0</v>
          </cell>
          <cell r="AV222">
            <v>0</v>
          </cell>
        </row>
        <row r="223">
          <cell r="E223" t="str">
            <v>D25015841</v>
          </cell>
          <cell r="AP223">
            <v>0</v>
          </cell>
          <cell r="AQ223">
            <v>0</v>
          </cell>
          <cell r="AV223">
            <v>0</v>
          </cell>
        </row>
        <row r="224">
          <cell r="E224" t="str">
            <v>D25015841</v>
          </cell>
          <cell r="AP224">
            <v>0</v>
          </cell>
          <cell r="AQ224">
            <v>0</v>
          </cell>
          <cell r="AV224">
            <v>0</v>
          </cell>
        </row>
        <row r="225">
          <cell r="E225" t="str">
            <v>D25015855</v>
          </cell>
          <cell r="AP225">
            <v>0</v>
          </cell>
          <cell r="AQ225">
            <v>0</v>
          </cell>
          <cell r="AV225">
            <v>0</v>
          </cell>
        </row>
        <row r="226">
          <cell r="E226" t="str">
            <v>D25016189</v>
          </cell>
          <cell r="AP226">
            <v>0</v>
          </cell>
          <cell r="AQ226">
            <v>0</v>
          </cell>
          <cell r="AV226">
            <v>0</v>
          </cell>
        </row>
        <row r="227">
          <cell r="E227" t="str">
            <v>D25016189</v>
          </cell>
          <cell r="AP227">
            <v>0</v>
          </cell>
          <cell r="AQ227">
            <v>0</v>
          </cell>
          <cell r="AV227">
            <v>0</v>
          </cell>
        </row>
        <row r="228">
          <cell r="E228" t="str">
            <v>D25016190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D25016190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D25016190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D25016191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D25016191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D25016191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D25016191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D25016198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D25016443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B25014324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B25014324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B25014325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B25014325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B25014326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B25014326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D25016655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D25016794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D25016795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D25016961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D25016961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D25016961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D25016963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D25016964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D25016964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D25016965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D25016965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D25016965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D25016965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D25017219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D25017219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D25017238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D25017238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D25017238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D25017238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D25017452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D25017452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D25017452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D25017452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D25017453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D25017788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D25017788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D25017788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D25017788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D25017789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D25017790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D25018075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D25018075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D25018075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D25018076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D25018076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D25018077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B25015852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D25018249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D25018249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D25018249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D25018249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D25018250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D25018468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D25018468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D25018468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D25018526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D25018526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D25018527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B25016302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B25016302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B25016302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B25016303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D25018894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D25018894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D25018894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D25018894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D25018895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D25018895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D25018895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D25018895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B25016442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D25019161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D25019167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D25019167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D25019260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D25019260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D25019260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D25019260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D25019261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D25019262</v>
          </cell>
          <cell r="AP312">
            <v>0</v>
          </cell>
          <cell r="AQ312">
            <v>0</v>
          </cell>
          <cell r="AV312">
            <v>0</v>
          </cell>
        </row>
        <row r="313">
          <cell r="E313" t="str">
            <v>D25019262</v>
          </cell>
          <cell r="AP313">
            <v>0</v>
          </cell>
          <cell r="AQ313">
            <v>0</v>
          </cell>
          <cell r="AV313">
            <v>0</v>
          </cell>
        </row>
        <row r="314">
          <cell r="E314" t="str">
            <v>D25019519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D25019519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D25019519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D25019519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D25019519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D25019520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D25019715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D25019715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D25019716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D25019716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D26000239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D26000239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D26000239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D26000240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D26000240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D26000543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D26000543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D26000543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D26000544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D26000544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D26000545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D26000545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D26000990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D26000990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D26000991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D26000991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D26000991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D26000992</v>
          </cell>
          <cell r="AP341">
            <v>0</v>
          </cell>
          <cell r="AQ341">
            <v>0</v>
          </cell>
          <cell r="AV341">
            <v>0</v>
          </cell>
        </row>
        <row r="342">
          <cell r="E342" t="str">
            <v>D26000992</v>
          </cell>
          <cell r="AP342">
            <v>0</v>
          </cell>
          <cell r="AQ342">
            <v>0</v>
          </cell>
          <cell r="AV342">
            <v>0</v>
          </cell>
        </row>
        <row r="343">
          <cell r="E343" t="str">
            <v>D26000992</v>
          </cell>
          <cell r="AP343">
            <v>0</v>
          </cell>
          <cell r="AQ343">
            <v>0</v>
          </cell>
          <cell r="AV343">
            <v>0</v>
          </cell>
        </row>
        <row r="344">
          <cell r="E344" t="str">
            <v>D26001308</v>
          </cell>
          <cell r="AP344">
            <v>0</v>
          </cell>
          <cell r="AQ344">
            <v>0</v>
          </cell>
          <cell r="AV344">
            <v>0</v>
          </cell>
        </row>
        <row r="345">
          <cell r="E345" t="str">
            <v>D26001308</v>
          </cell>
          <cell r="AP345">
            <v>0</v>
          </cell>
          <cell r="AQ345">
            <v>0</v>
          </cell>
          <cell r="AV345">
            <v>0</v>
          </cell>
        </row>
        <row r="346">
          <cell r="E346" t="str">
            <v>D26001308</v>
          </cell>
          <cell r="AP346">
            <v>0</v>
          </cell>
          <cell r="AQ346">
            <v>0</v>
          </cell>
          <cell r="AV346">
            <v>0</v>
          </cell>
        </row>
        <row r="347">
          <cell r="E347" t="str">
            <v>D26001309</v>
          </cell>
          <cell r="AP347">
            <v>0</v>
          </cell>
          <cell r="AQ347">
            <v>0</v>
          </cell>
          <cell r="AV347">
            <v>0</v>
          </cell>
        </row>
        <row r="348">
          <cell r="E348" t="str">
            <v>D26001550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D26001550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D26001550</v>
          </cell>
          <cell r="AP350">
            <v>0</v>
          </cell>
          <cell r="AQ350">
            <v>0</v>
          </cell>
          <cell r="AV350">
            <v>0</v>
          </cell>
        </row>
        <row r="351">
          <cell r="E351" t="str">
            <v>D26001550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D26001550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D26001551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D26001552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D26001552</v>
          </cell>
          <cell r="AP355">
            <v>0</v>
          </cell>
          <cell r="AQ355">
            <v>0</v>
          </cell>
          <cell r="AV355">
            <v>0</v>
          </cell>
        </row>
        <row r="356">
          <cell r="E356" t="str">
            <v>D26001711</v>
          </cell>
          <cell r="AP356">
            <v>0</v>
          </cell>
          <cell r="AQ356">
            <v>50000000</v>
          </cell>
          <cell r="AV356">
            <v>0</v>
          </cell>
        </row>
        <row r="357">
          <cell r="E357" t="str">
            <v>D26001711</v>
          </cell>
          <cell r="AP357">
            <v>0</v>
          </cell>
          <cell r="AQ357">
            <v>35000000</v>
          </cell>
          <cell r="AV357">
            <v>0</v>
          </cell>
        </row>
        <row r="358">
          <cell r="E358" t="str">
            <v>D26001712</v>
          </cell>
          <cell r="AP358">
            <v>0</v>
          </cell>
          <cell r="AQ358">
            <v>20000000</v>
          </cell>
          <cell r="AV358">
            <v>0</v>
          </cell>
        </row>
        <row r="359">
          <cell r="E359" t="str">
            <v>D26001712</v>
          </cell>
          <cell r="AP359">
            <v>0</v>
          </cell>
          <cell r="AQ359">
            <v>78750000</v>
          </cell>
          <cell r="AV359">
            <v>0</v>
          </cell>
        </row>
        <row r="360">
          <cell r="E360" t="str">
            <v>D26001712</v>
          </cell>
          <cell r="AP360">
            <v>0</v>
          </cell>
          <cell r="AQ360">
            <v>163295000</v>
          </cell>
          <cell r="AV360">
            <v>0</v>
          </cell>
        </row>
        <row r="361">
          <cell r="E361" t="str">
            <v>D26001712</v>
          </cell>
          <cell r="AP361">
            <v>0</v>
          </cell>
          <cell r="AQ361">
            <v>117375000</v>
          </cell>
          <cell r="AV361">
            <v>0</v>
          </cell>
        </row>
        <row r="362">
          <cell r="E362" t="str">
            <v>D26001713</v>
          </cell>
          <cell r="AP362">
            <v>0</v>
          </cell>
          <cell r="AQ362">
            <v>282625000</v>
          </cell>
          <cell r="AV362">
            <v>0</v>
          </cell>
        </row>
        <row r="363">
          <cell r="E363" t="str">
            <v>D26001952</v>
          </cell>
          <cell r="AP363">
            <v>0</v>
          </cell>
          <cell r="AQ363">
            <v>50000000</v>
          </cell>
          <cell r="AV363">
            <v>0</v>
          </cell>
        </row>
        <row r="364">
          <cell r="E364" t="str">
            <v>D26001952</v>
          </cell>
          <cell r="AP364">
            <v>0</v>
          </cell>
          <cell r="AQ364">
            <v>100000000</v>
          </cell>
          <cell r="AV364">
            <v>0</v>
          </cell>
        </row>
        <row r="365">
          <cell r="E365" t="str">
            <v>D26001952</v>
          </cell>
          <cell r="AP365">
            <v>0</v>
          </cell>
          <cell r="AQ365">
            <v>480000000</v>
          </cell>
          <cell r="AV365">
            <v>0</v>
          </cell>
        </row>
        <row r="366">
          <cell r="E366" t="str">
            <v>D26001952</v>
          </cell>
          <cell r="AP366">
            <v>0</v>
          </cell>
          <cell r="AQ366">
            <v>480000000</v>
          </cell>
          <cell r="AV366">
            <v>0</v>
          </cell>
        </row>
        <row r="367">
          <cell r="E367" t="str">
            <v>D26001952</v>
          </cell>
          <cell r="AP367">
            <v>0</v>
          </cell>
          <cell r="AQ367">
            <v>379250000</v>
          </cell>
          <cell r="AV367">
            <v>0</v>
          </cell>
        </row>
        <row r="368">
          <cell r="E368" t="str">
            <v>D26001953</v>
          </cell>
          <cell r="AP368">
            <v>0</v>
          </cell>
          <cell r="AQ368">
            <v>100750000</v>
          </cell>
          <cell r="AV368">
            <v>0</v>
          </cell>
        </row>
        <row r="369">
          <cell r="E369" t="str">
            <v>D26001953</v>
          </cell>
          <cell r="AP369">
            <v>0</v>
          </cell>
          <cell r="AQ369">
            <v>481250000</v>
          </cell>
          <cell r="AV369">
            <v>0</v>
          </cell>
        </row>
        <row r="370">
          <cell r="E370" t="str">
            <v>D25019182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B25016701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D26001075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D26001150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D26001849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D26001872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D26001904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T25001886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B26000826</v>
          </cell>
          <cell r="AP378">
            <v>0</v>
          </cell>
          <cell r="AQ378">
            <v>0</v>
          </cell>
          <cell r="AV378">
            <v>0</v>
          </cell>
        </row>
        <row r="379">
          <cell r="E379" t="str">
            <v>B26001880</v>
          </cell>
          <cell r="AP379">
            <v>0</v>
          </cell>
          <cell r="AQ379">
            <v>0</v>
          </cell>
          <cell r="AV379">
            <v>0</v>
          </cell>
        </row>
        <row r="380">
          <cell r="E380" t="str">
            <v>B26001881</v>
          </cell>
          <cell r="AP380">
            <v>0</v>
          </cell>
          <cell r="AQ380">
            <v>0</v>
          </cell>
          <cell r="AV380">
            <v>0</v>
          </cell>
        </row>
        <row r="381">
          <cell r="E381" t="str">
            <v>Z26000202</v>
          </cell>
          <cell r="AP381">
            <v>0</v>
          </cell>
          <cell r="AQ381">
            <v>0</v>
          </cell>
          <cell r="AV381">
            <v>0</v>
          </cell>
        </row>
        <row r="382">
          <cell r="E382" t="str">
            <v>Z26000333</v>
          </cell>
          <cell r="AP382">
            <v>0</v>
          </cell>
          <cell r="AQ382">
            <v>0</v>
          </cell>
          <cell r="AV382">
            <v>0</v>
          </cell>
        </row>
        <row r="383">
          <cell r="E383" t="str">
            <v>B26000646</v>
          </cell>
          <cell r="AP383">
            <v>0</v>
          </cell>
          <cell r="AQ383">
            <v>0</v>
          </cell>
          <cell r="AV383">
            <v>0</v>
          </cell>
        </row>
        <row r="384">
          <cell r="E384" t="str">
            <v>B26000648</v>
          </cell>
          <cell r="AP384">
            <v>0</v>
          </cell>
          <cell r="AQ384">
            <v>0</v>
          </cell>
          <cell r="AV384">
            <v>0</v>
          </cell>
        </row>
        <row r="385">
          <cell r="E385" t="str">
            <v>B26001037</v>
          </cell>
          <cell r="AP385">
            <v>0</v>
          </cell>
          <cell r="AQ385">
            <v>0</v>
          </cell>
          <cell r="AV385">
            <v>0</v>
          </cell>
        </row>
        <row r="386">
          <cell r="E386" t="str">
            <v>B26001038</v>
          </cell>
          <cell r="AP386">
            <v>0</v>
          </cell>
          <cell r="AQ386">
            <v>0</v>
          </cell>
          <cell r="AV386">
            <v>0</v>
          </cell>
        </row>
        <row r="387">
          <cell r="E387" t="str">
            <v>B26001062</v>
          </cell>
          <cell r="AP387">
            <v>0</v>
          </cell>
          <cell r="AQ387">
            <v>0</v>
          </cell>
          <cell r="AV387">
            <v>0</v>
          </cell>
        </row>
        <row r="388">
          <cell r="E388" t="str">
            <v>D25016698</v>
          </cell>
          <cell r="AP388">
            <v>0</v>
          </cell>
          <cell r="AQ388">
            <v>0</v>
          </cell>
          <cell r="AV388">
            <v>30000000</v>
          </cell>
        </row>
        <row r="389">
          <cell r="E389" t="str">
            <v>D25018660</v>
          </cell>
          <cell r="AP389">
            <v>0</v>
          </cell>
          <cell r="AQ389">
            <v>0</v>
          </cell>
          <cell r="AV389">
            <v>0</v>
          </cell>
        </row>
        <row r="390">
          <cell r="E390" t="str">
            <v>B25016044</v>
          </cell>
          <cell r="AP390">
            <v>0</v>
          </cell>
          <cell r="AQ390">
            <v>0</v>
          </cell>
          <cell r="AV390">
            <v>11360000</v>
          </cell>
        </row>
        <row r="391">
          <cell r="E391" t="str">
            <v>D25018669</v>
          </cell>
          <cell r="AP391">
            <v>0</v>
          </cell>
          <cell r="AQ391">
            <v>0</v>
          </cell>
          <cell r="AV391">
            <v>4960000</v>
          </cell>
        </row>
        <row r="392">
          <cell r="E392" t="str">
            <v>D26000989</v>
          </cell>
          <cell r="AP392">
            <v>0</v>
          </cell>
          <cell r="AQ392">
            <v>0</v>
          </cell>
          <cell r="AV392">
            <v>0</v>
          </cell>
        </row>
        <row r="393">
          <cell r="E393" t="str">
            <v>D26001773</v>
          </cell>
          <cell r="AP393">
            <v>0</v>
          </cell>
          <cell r="AQ393">
            <v>0</v>
          </cell>
          <cell r="AV393">
            <v>0</v>
          </cell>
        </row>
        <row r="394">
          <cell r="E394" t="str">
            <v>B26001794</v>
          </cell>
          <cell r="AP394">
            <v>0</v>
          </cell>
          <cell r="AQ394">
            <v>0</v>
          </cell>
          <cell r="AV394">
            <v>0</v>
          </cell>
        </row>
        <row r="395">
          <cell r="E395" t="str">
            <v>B26000714</v>
          </cell>
          <cell r="AP395">
            <v>0</v>
          </cell>
          <cell r="AQ395">
            <v>0</v>
          </cell>
          <cell r="AV395">
            <v>0</v>
          </cell>
        </row>
        <row r="396">
          <cell r="E396" t="str">
            <v>B26000182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D25006386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D26000905</v>
          </cell>
          <cell r="AP398">
            <v>0</v>
          </cell>
          <cell r="AQ398">
            <v>0</v>
          </cell>
          <cell r="AV398">
            <v>0</v>
          </cell>
        </row>
        <row r="399">
          <cell r="E399" t="str">
            <v>B26001177</v>
          </cell>
          <cell r="AP399">
            <v>0</v>
          </cell>
          <cell r="AQ399">
            <v>0</v>
          </cell>
          <cell r="AV399">
            <v>0</v>
          </cell>
        </row>
        <row r="400">
          <cell r="E400" t="str">
            <v>D26001671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B26001724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B25016499</v>
          </cell>
          <cell r="AP402">
            <v>0</v>
          </cell>
          <cell r="AQ402">
            <v>0</v>
          </cell>
          <cell r="AV402">
            <v>1480000</v>
          </cell>
        </row>
        <row r="403">
          <cell r="E403" t="str">
            <v>B26000151</v>
          </cell>
          <cell r="AP403">
            <v>0</v>
          </cell>
          <cell r="AQ403">
            <v>0</v>
          </cell>
          <cell r="AV403">
            <v>1000000</v>
          </cell>
        </row>
        <row r="404">
          <cell r="E404" t="str">
            <v>B26000152</v>
          </cell>
          <cell r="AP404">
            <v>0</v>
          </cell>
          <cell r="AQ404">
            <v>0</v>
          </cell>
          <cell r="AV404">
            <v>690000</v>
          </cell>
        </row>
        <row r="405">
          <cell r="E405" t="str">
            <v>B26001557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D26001708</v>
          </cell>
          <cell r="AP406">
            <v>0</v>
          </cell>
          <cell r="AQ406">
            <v>0</v>
          </cell>
          <cell r="AV406">
            <v>0</v>
          </cell>
        </row>
        <row r="407">
          <cell r="E407" t="str">
            <v>B25014534</v>
          </cell>
          <cell r="AP407">
            <v>0</v>
          </cell>
          <cell r="AQ407">
            <v>0</v>
          </cell>
          <cell r="AV407">
            <v>76800000</v>
          </cell>
        </row>
        <row r="408">
          <cell r="E408" t="str">
            <v>B25015617</v>
          </cell>
          <cell r="AP408">
            <v>0</v>
          </cell>
          <cell r="AQ408">
            <v>0</v>
          </cell>
          <cell r="AV408">
            <v>0</v>
          </cell>
        </row>
        <row r="409">
          <cell r="E409" t="str">
            <v>B25015996</v>
          </cell>
          <cell r="AP409">
            <v>0</v>
          </cell>
          <cell r="AQ409">
            <v>0</v>
          </cell>
          <cell r="AV409">
            <v>0</v>
          </cell>
        </row>
        <row r="410">
          <cell r="E410" t="str">
            <v>D25019679</v>
          </cell>
          <cell r="AP410">
            <v>0</v>
          </cell>
          <cell r="AQ410">
            <v>0</v>
          </cell>
          <cell r="AV410">
            <v>0</v>
          </cell>
        </row>
        <row r="411">
          <cell r="E411" t="str">
            <v>D25019723</v>
          </cell>
          <cell r="AP411">
            <v>0</v>
          </cell>
          <cell r="AQ411">
            <v>0</v>
          </cell>
          <cell r="AV411">
            <v>0</v>
          </cell>
        </row>
        <row r="412">
          <cell r="E412" t="str">
            <v>B26000334</v>
          </cell>
          <cell r="AP412">
            <v>0</v>
          </cell>
          <cell r="AQ412">
            <v>0</v>
          </cell>
          <cell r="AV412">
            <v>0</v>
          </cell>
        </row>
        <row r="413">
          <cell r="E413" t="str">
            <v>B26000384</v>
          </cell>
          <cell r="AP413">
            <v>0</v>
          </cell>
          <cell r="AQ413">
            <v>0</v>
          </cell>
          <cell r="AV413">
            <v>0</v>
          </cell>
        </row>
        <row r="414">
          <cell r="E414" t="str">
            <v>B26000390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B26000860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D26002031</v>
          </cell>
          <cell r="AP416">
            <v>0</v>
          </cell>
          <cell r="AQ416">
            <v>0</v>
          </cell>
          <cell r="AV416">
            <v>0</v>
          </cell>
        </row>
        <row r="417">
          <cell r="E417" t="str">
            <v>B26000597</v>
          </cell>
          <cell r="AP417">
            <v>0</v>
          </cell>
          <cell r="AQ417">
            <v>0</v>
          </cell>
          <cell r="AV417">
            <v>1000000</v>
          </cell>
        </row>
        <row r="418">
          <cell r="E418" t="str">
            <v>D26001756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D26001757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 t="str">
            <v>Z25003337</v>
          </cell>
          <cell r="AP420">
            <v>0</v>
          </cell>
          <cell r="AQ420">
            <v>0</v>
          </cell>
          <cell r="AV420">
            <v>6000000</v>
          </cell>
        </row>
        <row r="421">
          <cell r="E421" t="str">
            <v>Z26000031</v>
          </cell>
          <cell r="AP421">
            <v>0</v>
          </cell>
          <cell r="AQ421">
            <v>0</v>
          </cell>
          <cell r="AV421">
            <v>0</v>
          </cell>
        </row>
        <row r="422">
          <cell r="E422" t="str">
            <v>B26001916</v>
          </cell>
          <cell r="AP422">
            <v>0</v>
          </cell>
          <cell r="AQ422">
            <v>0</v>
          </cell>
          <cell r="AV422">
            <v>0</v>
          </cell>
        </row>
        <row r="423">
          <cell r="E423" t="str">
            <v>B25012277</v>
          </cell>
          <cell r="AP423">
            <v>0</v>
          </cell>
          <cell r="AQ423">
            <v>0</v>
          </cell>
          <cell r="AV423">
            <v>0</v>
          </cell>
        </row>
        <row r="424">
          <cell r="E424" t="str">
            <v>D25018390</v>
          </cell>
          <cell r="AP424">
            <v>0</v>
          </cell>
          <cell r="AQ424">
            <v>0</v>
          </cell>
          <cell r="AV424">
            <v>0</v>
          </cell>
        </row>
        <row r="425">
          <cell r="E425" t="str">
            <v>B25016665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B25016866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D25019475</v>
          </cell>
          <cell r="AP427">
            <v>0</v>
          </cell>
          <cell r="AQ427">
            <v>0</v>
          </cell>
          <cell r="AV427">
            <v>72150000</v>
          </cell>
        </row>
        <row r="428">
          <cell r="E428" t="str">
            <v>D25019575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D25019604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D25019606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B26000069</v>
          </cell>
          <cell r="AP431">
            <v>0</v>
          </cell>
          <cell r="AQ431">
            <v>0</v>
          </cell>
          <cell r="AV431">
            <v>0</v>
          </cell>
        </row>
        <row r="432">
          <cell r="E432" t="str">
            <v>B26000070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>
            <v>260006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D26000527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D26000528</v>
          </cell>
          <cell r="AP435">
            <v>0</v>
          </cell>
          <cell r="AQ435">
            <v>0</v>
          </cell>
          <cell r="AV435">
            <v>0</v>
          </cell>
        </row>
        <row r="436">
          <cell r="E436" t="str">
            <v>D26000529</v>
          </cell>
          <cell r="AP436">
            <v>0</v>
          </cell>
          <cell r="AQ436">
            <v>0</v>
          </cell>
          <cell r="AV436">
            <v>0</v>
          </cell>
        </row>
        <row r="437">
          <cell r="E437" t="str">
            <v>D26000537</v>
          </cell>
          <cell r="AP437">
            <v>0</v>
          </cell>
          <cell r="AQ437">
            <v>0</v>
          </cell>
          <cell r="AV437">
            <v>0</v>
          </cell>
        </row>
        <row r="438">
          <cell r="E438" t="str">
            <v>B26000535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D26000574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D26000700</v>
          </cell>
          <cell r="AP440">
            <v>0</v>
          </cell>
          <cell r="AQ440">
            <v>0</v>
          </cell>
          <cell r="AV440">
            <v>0</v>
          </cell>
        </row>
        <row r="441">
          <cell r="E441" t="str">
            <v>B26000909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B26000910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D26000998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D26001168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D26001203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B26001335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B26001404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B26001514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B26001515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B26001516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B26001549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D26001806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D26001818</v>
          </cell>
          <cell r="AP453">
            <v>0</v>
          </cell>
          <cell r="AQ453">
            <v>0</v>
          </cell>
          <cell r="AV453">
            <v>0</v>
          </cell>
        </row>
        <row r="454">
          <cell r="E454">
            <v>260011</v>
          </cell>
          <cell r="AP454">
            <v>0</v>
          </cell>
          <cell r="AQ454">
            <v>0</v>
          </cell>
          <cell r="AV454">
            <v>0</v>
          </cell>
        </row>
        <row r="455">
          <cell r="E455" t="str">
            <v>D26002028</v>
          </cell>
          <cell r="AP455">
            <v>0</v>
          </cell>
          <cell r="AQ455">
            <v>0</v>
          </cell>
          <cell r="AV455">
            <v>0</v>
          </cell>
        </row>
        <row r="456">
          <cell r="E456" t="str">
            <v>D26002057</v>
          </cell>
          <cell r="AP456">
            <v>0</v>
          </cell>
          <cell r="AQ456">
            <v>0</v>
          </cell>
          <cell r="AV456">
            <v>0</v>
          </cell>
        </row>
        <row r="457">
          <cell r="E457" t="str">
            <v>B26000555</v>
          </cell>
          <cell r="AP457">
            <v>0</v>
          </cell>
          <cell r="AQ457">
            <v>0</v>
          </cell>
          <cell r="AV457">
            <v>0</v>
          </cell>
        </row>
        <row r="458">
          <cell r="E458" t="str">
            <v>B26000724</v>
          </cell>
          <cell r="AP458">
            <v>0</v>
          </cell>
          <cell r="AQ458">
            <v>0</v>
          </cell>
          <cell r="AV458">
            <v>0</v>
          </cell>
        </row>
        <row r="459">
          <cell r="E459" t="str">
            <v>Z26000007</v>
          </cell>
          <cell r="AP459">
            <v>0</v>
          </cell>
          <cell r="AQ459">
            <v>0</v>
          </cell>
          <cell r="AV459">
            <v>0</v>
          </cell>
        </row>
        <row r="460">
          <cell r="E460" t="str">
            <v>Z26000011</v>
          </cell>
          <cell r="AP460">
            <v>0</v>
          </cell>
          <cell r="AQ460">
            <v>0</v>
          </cell>
          <cell r="AV460">
            <v>0</v>
          </cell>
        </row>
        <row r="461">
          <cell r="E461" t="str">
            <v>Z26000359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D25019316</v>
          </cell>
          <cell r="AP462">
            <v>0</v>
          </cell>
          <cell r="AQ462">
            <v>0</v>
          </cell>
          <cell r="AV462">
            <v>16855500</v>
          </cell>
        </row>
        <row r="463">
          <cell r="E463" t="str">
            <v>B25016806</v>
          </cell>
          <cell r="AP463">
            <v>0</v>
          </cell>
          <cell r="AQ463">
            <v>0</v>
          </cell>
          <cell r="AV463">
            <v>18600000</v>
          </cell>
        </row>
        <row r="464">
          <cell r="E464" t="str">
            <v>D26001473</v>
          </cell>
          <cell r="AP464">
            <v>0</v>
          </cell>
          <cell r="AQ464">
            <v>0</v>
          </cell>
          <cell r="AV464">
            <v>0</v>
          </cell>
        </row>
        <row r="465">
          <cell r="E465" t="str">
            <v>D26001474</v>
          </cell>
          <cell r="AP465">
            <v>0</v>
          </cell>
          <cell r="AQ465">
            <v>0</v>
          </cell>
          <cell r="AV465">
            <v>0</v>
          </cell>
        </row>
        <row r="466">
          <cell r="E466" t="str">
            <v>B26001423</v>
          </cell>
          <cell r="AP466">
            <v>0</v>
          </cell>
          <cell r="AQ466">
            <v>0</v>
          </cell>
          <cell r="AV466">
            <v>0</v>
          </cell>
        </row>
        <row r="467">
          <cell r="E467" t="str">
            <v>D25017065</v>
          </cell>
          <cell r="AP467">
            <v>0</v>
          </cell>
          <cell r="AQ467">
            <v>0</v>
          </cell>
          <cell r="AV467">
            <v>900000</v>
          </cell>
        </row>
        <row r="468">
          <cell r="E468" t="str">
            <v>D25019020</v>
          </cell>
          <cell r="AP468">
            <v>0</v>
          </cell>
          <cell r="AQ468">
            <v>0</v>
          </cell>
          <cell r="AV468">
            <v>5175000</v>
          </cell>
        </row>
        <row r="469">
          <cell r="E469" t="str">
            <v>D25018709</v>
          </cell>
          <cell r="AP469">
            <v>0</v>
          </cell>
          <cell r="AQ469">
            <v>0</v>
          </cell>
          <cell r="AV469">
            <v>6750000</v>
          </cell>
        </row>
        <row r="470">
          <cell r="E470" t="str">
            <v>T25001848</v>
          </cell>
          <cell r="AP470">
            <v>0</v>
          </cell>
          <cell r="AQ470">
            <v>0</v>
          </cell>
          <cell r="AV470">
            <v>0</v>
          </cell>
        </row>
        <row r="471">
          <cell r="E471" t="str">
            <v>D25019357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D25019358</v>
          </cell>
          <cell r="AP472">
            <v>0</v>
          </cell>
          <cell r="AQ472">
            <v>0</v>
          </cell>
          <cell r="AV472">
            <v>0</v>
          </cell>
        </row>
        <row r="473">
          <cell r="E473" t="str">
            <v>D25019359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D26000419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B26000844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B26001355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D26001483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D26001484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D26001647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C26000109</v>
          </cell>
          <cell r="AP480">
            <v>0</v>
          </cell>
          <cell r="AQ480">
            <v>0</v>
          </cell>
          <cell r="AV480">
            <v>830000</v>
          </cell>
        </row>
        <row r="481">
          <cell r="E481" t="str">
            <v>D25012415</v>
          </cell>
          <cell r="AP481">
            <v>0</v>
          </cell>
          <cell r="AQ481">
            <v>0</v>
          </cell>
          <cell r="AV481">
            <v>0</v>
          </cell>
        </row>
        <row r="482">
          <cell r="E482" t="str">
            <v>R25000117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R25000118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R25000119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R25000122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R25000123</v>
          </cell>
          <cell r="AP486">
            <v>0</v>
          </cell>
          <cell r="AQ486">
            <v>0</v>
          </cell>
          <cell r="AV486">
            <v>0</v>
          </cell>
        </row>
        <row r="487">
          <cell r="E487" t="str">
            <v>R25000124</v>
          </cell>
          <cell r="AP487">
            <v>0</v>
          </cell>
          <cell r="AQ487">
            <v>0</v>
          </cell>
          <cell r="AV487">
            <v>0</v>
          </cell>
        </row>
        <row r="488">
          <cell r="E488" t="str">
            <v>R25000128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R25000135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R25000136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R25000137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R25000138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R25000139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 t="str">
            <v>R25000140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R26000007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D25017747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D25019190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T26000116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B25013380</v>
          </cell>
          <cell r="AP499">
            <v>0</v>
          </cell>
          <cell r="AQ499">
            <v>0</v>
          </cell>
          <cell r="AV499">
            <v>17280000</v>
          </cell>
        </row>
        <row r="500">
          <cell r="E500" t="str">
            <v>D25017981</v>
          </cell>
          <cell r="AP500">
            <v>0</v>
          </cell>
          <cell r="AQ500">
            <v>0</v>
          </cell>
          <cell r="AV500">
            <v>0</v>
          </cell>
        </row>
        <row r="501">
          <cell r="E501" t="str">
            <v>D25019585</v>
          </cell>
          <cell r="AP501">
            <v>0</v>
          </cell>
          <cell r="AQ501">
            <v>0</v>
          </cell>
          <cell r="AV501">
            <v>0</v>
          </cell>
        </row>
        <row r="502">
          <cell r="E502" t="str">
            <v>D25019578</v>
          </cell>
          <cell r="AP502">
            <v>0</v>
          </cell>
          <cell r="AQ502">
            <v>0</v>
          </cell>
          <cell r="AV502">
            <v>4130000</v>
          </cell>
        </row>
        <row r="503">
          <cell r="E503" t="str">
            <v>T26000022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 t="str">
            <v>B26001034</v>
          </cell>
          <cell r="AP504">
            <v>0</v>
          </cell>
          <cell r="AQ504">
            <v>0</v>
          </cell>
          <cell r="AV504">
            <v>0</v>
          </cell>
        </row>
        <row r="505">
          <cell r="E505" t="str">
            <v>D26001643</v>
          </cell>
          <cell r="AP505">
            <v>0</v>
          </cell>
          <cell r="AQ505">
            <v>0</v>
          </cell>
          <cell r="AV505">
            <v>0</v>
          </cell>
        </row>
        <row r="506">
          <cell r="E506" t="str">
            <v>B26001043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B26001044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B25016761</v>
          </cell>
          <cell r="AP508">
            <v>0</v>
          </cell>
          <cell r="AQ508">
            <v>0</v>
          </cell>
          <cell r="AV508">
            <v>3000000</v>
          </cell>
        </row>
        <row r="509">
          <cell r="E509" t="str">
            <v>D25019641</v>
          </cell>
          <cell r="AP509">
            <v>0</v>
          </cell>
          <cell r="AQ509">
            <v>0</v>
          </cell>
          <cell r="AV509">
            <v>4760000</v>
          </cell>
        </row>
        <row r="510">
          <cell r="E510" t="str">
            <v>D26000096</v>
          </cell>
          <cell r="AP510">
            <v>0</v>
          </cell>
          <cell r="AQ510">
            <v>0</v>
          </cell>
          <cell r="AV510">
            <v>0</v>
          </cell>
        </row>
        <row r="511">
          <cell r="E511" t="str">
            <v>B26000527</v>
          </cell>
          <cell r="AP511">
            <v>0</v>
          </cell>
          <cell r="AQ511">
            <v>0</v>
          </cell>
          <cell r="AV511">
            <v>0</v>
          </cell>
        </row>
        <row r="512">
          <cell r="E512" t="str">
            <v>D26000602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D26000702</v>
          </cell>
          <cell r="AP513">
            <v>0</v>
          </cell>
          <cell r="AQ513">
            <v>0</v>
          </cell>
          <cell r="AV513">
            <v>0</v>
          </cell>
        </row>
        <row r="514">
          <cell r="E514" t="str">
            <v>D26001737</v>
          </cell>
          <cell r="AP514">
            <v>0</v>
          </cell>
          <cell r="AQ514">
            <v>0</v>
          </cell>
          <cell r="AV514">
            <v>0</v>
          </cell>
        </row>
        <row r="515">
          <cell r="E515" t="str">
            <v>D26000849</v>
          </cell>
          <cell r="AP515">
            <v>0</v>
          </cell>
          <cell r="AQ515">
            <v>0</v>
          </cell>
          <cell r="AV515">
            <v>0</v>
          </cell>
        </row>
        <row r="516">
          <cell r="E516" t="str">
            <v>B26000883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D26001454</v>
          </cell>
          <cell r="AP517">
            <v>0</v>
          </cell>
          <cell r="AQ517">
            <v>0</v>
          </cell>
          <cell r="AV517">
            <v>6840000</v>
          </cell>
        </row>
        <row r="518">
          <cell r="E518" t="str">
            <v>B25016222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T25001847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D25017632</v>
          </cell>
          <cell r="AP520">
            <v>0</v>
          </cell>
          <cell r="AQ520">
            <v>0</v>
          </cell>
          <cell r="AV520">
            <v>20000000</v>
          </cell>
        </row>
        <row r="521">
          <cell r="E521" t="str">
            <v>B25015486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B25016160</v>
          </cell>
          <cell r="AP522">
            <v>0</v>
          </cell>
          <cell r="AQ522">
            <v>0</v>
          </cell>
          <cell r="AV522">
            <v>0</v>
          </cell>
        </row>
        <row r="523">
          <cell r="E523" t="str">
            <v>B25016541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D25019609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B26000809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B26001272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B25015937</v>
          </cell>
          <cell r="AP527">
            <v>0</v>
          </cell>
          <cell r="AQ527">
            <v>0</v>
          </cell>
          <cell r="AV527">
            <v>5000000</v>
          </cell>
        </row>
        <row r="528">
          <cell r="E528" t="str">
            <v>D25018391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D25018495</v>
          </cell>
          <cell r="AP529">
            <v>0</v>
          </cell>
          <cell r="AQ529">
            <v>0</v>
          </cell>
          <cell r="AV529">
            <v>0</v>
          </cell>
        </row>
        <row r="530">
          <cell r="E530" t="str">
            <v>B25016788</v>
          </cell>
          <cell r="AP530">
            <v>0</v>
          </cell>
          <cell r="AQ530">
            <v>0</v>
          </cell>
          <cell r="AV530">
            <v>0</v>
          </cell>
        </row>
        <row r="531">
          <cell r="E531" t="str">
            <v>B25016801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D26000133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B26001156</v>
          </cell>
          <cell r="AP533">
            <v>0</v>
          </cell>
          <cell r="AQ533">
            <v>0</v>
          </cell>
          <cell r="AV533">
            <v>0</v>
          </cell>
        </row>
        <row r="534">
          <cell r="E534" t="str">
            <v>B25015809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D25018713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D25018736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D25019374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B26001356</v>
          </cell>
          <cell r="AP538">
            <v>0</v>
          </cell>
          <cell r="AQ538">
            <v>0</v>
          </cell>
          <cell r="AV538">
            <v>0</v>
          </cell>
        </row>
        <row r="539">
          <cell r="E539" t="str">
            <v>B26001361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B25016810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D26000009</v>
          </cell>
          <cell r="AP541">
            <v>0</v>
          </cell>
          <cell r="AQ541">
            <v>0</v>
          </cell>
          <cell r="AV541">
            <v>0</v>
          </cell>
        </row>
        <row r="542">
          <cell r="E542" t="str">
            <v>D26000175</v>
          </cell>
          <cell r="AP542">
            <v>0</v>
          </cell>
          <cell r="AQ542">
            <v>0</v>
          </cell>
          <cell r="AV542">
            <v>0</v>
          </cell>
        </row>
        <row r="543">
          <cell r="E543" t="str">
            <v>D26000291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B26000394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D26000608</v>
          </cell>
          <cell r="AP545">
            <v>0</v>
          </cell>
          <cell r="AQ545">
            <v>0</v>
          </cell>
          <cell r="AV545">
            <v>0</v>
          </cell>
        </row>
        <row r="546">
          <cell r="E546" t="str">
            <v>D26001544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B26001752</v>
          </cell>
          <cell r="AP547">
            <v>0</v>
          </cell>
          <cell r="AQ547">
            <v>0</v>
          </cell>
          <cell r="AV547">
            <v>0</v>
          </cell>
        </row>
        <row r="548">
          <cell r="E548" t="str">
            <v>D26001895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T26000129</v>
          </cell>
          <cell r="AP549">
            <v>0</v>
          </cell>
          <cell r="AQ549">
            <v>0</v>
          </cell>
          <cell r="AV549">
            <v>0</v>
          </cell>
        </row>
        <row r="550">
          <cell r="E550" t="str">
            <v>B26001892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B26001904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T26000143</v>
          </cell>
          <cell r="AP552">
            <v>0</v>
          </cell>
          <cell r="AQ552">
            <v>0</v>
          </cell>
          <cell r="AV552">
            <v>0</v>
          </cell>
        </row>
        <row r="553">
          <cell r="E553" t="str">
            <v>Z26000302</v>
          </cell>
          <cell r="AP553">
            <v>0</v>
          </cell>
          <cell r="AQ553">
            <v>0</v>
          </cell>
          <cell r="AV553">
            <v>196000000</v>
          </cell>
        </row>
        <row r="554">
          <cell r="E554" t="str">
            <v>B26000551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B25014707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D25017141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B25014931</v>
          </cell>
          <cell r="AP557">
            <v>0</v>
          </cell>
          <cell r="AQ557">
            <v>0</v>
          </cell>
          <cell r="AV557">
            <v>0</v>
          </cell>
        </row>
        <row r="558">
          <cell r="E558" t="str">
            <v>D25017423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D25017844</v>
          </cell>
          <cell r="AP559">
            <v>0</v>
          </cell>
          <cell r="AQ559">
            <v>0</v>
          </cell>
          <cell r="AV559">
            <v>0</v>
          </cell>
        </row>
        <row r="560">
          <cell r="E560" t="str">
            <v>D25018214</v>
          </cell>
          <cell r="AP560">
            <v>0</v>
          </cell>
          <cell r="AQ560">
            <v>0</v>
          </cell>
          <cell r="AV560">
            <v>0</v>
          </cell>
        </row>
        <row r="561">
          <cell r="E561" t="str">
            <v>B25015950</v>
          </cell>
          <cell r="AP561">
            <v>0</v>
          </cell>
          <cell r="AQ561">
            <v>0</v>
          </cell>
          <cell r="AV561">
            <v>0</v>
          </cell>
        </row>
        <row r="562">
          <cell r="E562" t="str">
            <v>D25018563</v>
          </cell>
          <cell r="AP562">
            <v>0</v>
          </cell>
          <cell r="AQ562">
            <v>0</v>
          </cell>
          <cell r="AV562">
            <v>0</v>
          </cell>
        </row>
        <row r="563">
          <cell r="E563" t="str">
            <v>D25018926</v>
          </cell>
          <cell r="AP563">
            <v>0</v>
          </cell>
          <cell r="AQ563">
            <v>0</v>
          </cell>
          <cell r="AV563">
            <v>0</v>
          </cell>
        </row>
        <row r="564">
          <cell r="E564" t="str">
            <v>B25016641</v>
          </cell>
          <cell r="AP564">
            <v>0</v>
          </cell>
          <cell r="AQ564">
            <v>0</v>
          </cell>
          <cell r="AV564">
            <v>0</v>
          </cell>
        </row>
        <row r="565">
          <cell r="E565" t="str">
            <v>B25016818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D25019593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B25017081</v>
          </cell>
          <cell r="AP567">
            <v>0</v>
          </cell>
          <cell r="AQ567">
            <v>0</v>
          </cell>
          <cell r="AV567">
            <v>0</v>
          </cell>
        </row>
        <row r="568">
          <cell r="E568" t="str">
            <v>D25019706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D25019710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B26000138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D26000224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D26000755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D26000858</v>
          </cell>
          <cell r="AP573">
            <v>0</v>
          </cell>
          <cell r="AQ573">
            <v>0</v>
          </cell>
          <cell r="AV573">
            <v>0</v>
          </cell>
        </row>
        <row r="574">
          <cell r="E574" t="str">
            <v>D26001091</v>
          </cell>
          <cell r="AP574">
            <v>0</v>
          </cell>
          <cell r="AQ574">
            <v>0</v>
          </cell>
          <cell r="AV574">
            <v>0</v>
          </cell>
        </row>
        <row r="575">
          <cell r="E575" t="str">
            <v>B26001141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B26001288</v>
          </cell>
          <cell r="AP576">
            <v>0</v>
          </cell>
          <cell r="AQ576">
            <v>0</v>
          </cell>
          <cell r="AV576">
            <v>0</v>
          </cell>
        </row>
        <row r="577">
          <cell r="E577" t="str">
            <v>D26001535</v>
          </cell>
          <cell r="AP577">
            <v>0</v>
          </cell>
          <cell r="AQ577">
            <v>0</v>
          </cell>
          <cell r="AV577">
            <v>0</v>
          </cell>
        </row>
        <row r="578">
          <cell r="E578" t="str">
            <v>D26001594</v>
          </cell>
          <cell r="AP578">
            <v>0</v>
          </cell>
          <cell r="AQ578">
            <v>0</v>
          </cell>
          <cell r="AV578">
            <v>0</v>
          </cell>
        </row>
        <row r="579">
          <cell r="E579" t="str">
            <v>D26001609</v>
          </cell>
          <cell r="AP579">
            <v>0</v>
          </cell>
          <cell r="AQ579">
            <v>0</v>
          </cell>
          <cell r="AV579">
            <v>0</v>
          </cell>
        </row>
        <row r="580">
          <cell r="E580" t="str">
            <v>B26001569</v>
          </cell>
          <cell r="AP580">
            <v>0</v>
          </cell>
          <cell r="AQ580">
            <v>0</v>
          </cell>
          <cell r="AV580">
            <v>156000000</v>
          </cell>
        </row>
        <row r="581">
          <cell r="E581" t="str">
            <v>D26001683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D26001715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D26001857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B26001812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B26001813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B26001917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B26001918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D25018806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B26001086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B25016136</v>
          </cell>
          <cell r="AP590">
            <v>0</v>
          </cell>
          <cell r="AQ590">
            <v>0</v>
          </cell>
          <cell r="AV590">
            <v>80425000</v>
          </cell>
        </row>
        <row r="591">
          <cell r="E591" t="str">
            <v>D25018874</v>
          </cell>
          <cell r="AP591">
            <v>0</v>
          </cell>
          <cell r="AQ591">
            <v>0</v>
          </cell>
          <cell r="AV591">
            <v>45000</v>
          </cell>
        </row>
        <row r="592">
          <cell r="E592" t="str">
            <v>B25016479</v>
          </cell>
          <cell r="AP592">
            <v>0</v>
          </cell>
          <cell r="AQ592">
            <v>0</v>
          </cell>
          <cell r="AV592">
            <v>0</v>
          </cell>
        </row>
        <row r="593">
          <cell r="E593" t="str">
            <v>D25018918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D25018925</v>
          </cell>
          <cell r="AP594">
            <v>0</v>
          </cell>
          <cell r="AQ594">
            <v>0</v>
          </cell>
          <cell r="AV594">
            <v>0</v>
          </cell>
        </row>
        <row r="595">
          <cell r="E595" t="str">
            <v>B25016524</v>
          </cell>
          <cell r="AP595">
            <v>0</v>
          </cell>
          <cell r="AQ595">
            <v>0</v>
          </cell>
          <cell r="AV595">
            <v>0</v>
          </cell>
        </row>
        <row r="596">
          <cell r="E596" t="str">
            <v>D25019081</v>
          </cell>
          <cell r="AP596">
            <v>0</v>
          </cell>
          <cell r="AQ596">
            <v>0</v>
          </cell>
          <cell r="AV596">
            <v>0</v>
          </cell>
        </row>
        <row r="597">
          <cell r="E597" t="str">
            <v>D25019238</v>
          </cell>
          <cell r="AP597">
            <v>0</v>
          </cell>
          <cell r="AQ597">
            <v>0</v>
          </cell>
          <cell r="AV597">
            <v>0</v>
          </cell>
        </row>
        <row r="598">
          <cell r="E598" t="str">
            <v>B25016827</v>
          </cell>
          <cell r="AP598">
            <v>0</v>
          </cell>
          <cell r="AQ598">
            <v>0</v>
          </cell>
          <cell r="AV598">
            <v>0</v>
          </cell>
        </row>
        <row r="599">
          <cell r="E599" t="str">
            <v>B25016850</v>
          </cell>
          <cell r="AP599">
            <v>0</v>
          </cell>
          <cell r="AQ599">
            <v>0</v>
          </cell>
          <cell r="AV599">
            <v>0</v>
          </cell>
        </row>
        <row r="600">
          <cell r="E600" t="str">
            <v>D25019442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T25001888</v>
          </cell>
          <cell r="AP601">
            <v>0</v>
          </cell>
          <cell r="AQ601">
            <v>0</v>
          </cell>
          <cell r="AV601">
            <v>0</v>
          </cell>
        </row>
        <row r="602">
          <cell r="E602" t="str">
            <v>T25001889</v>
          </cell>
          <cell r="AP602">
            <v>0</v>
          </cell>
          <cell r="AQ602">
            <v>0</v>
          </cell>
          <cell r="AV602">
            <v>0</v>
          </cell>
        </row>
        <row r="603">
          <cell r="E603" t="str">
            <v>D25019560</v>
          </cell>
          <cell r="AP603">
            <v>0</v>
          </cell>
          <cell r="AQ603">
            <v>0</v>
          </cell>
          <cell r="AV603">
            <v>0</v>
          </cell>
        </row>
        <row r="604">
          <cell r="E604" t="str">
            <v>D25019582</v>
          </cell>
          <cell r="AP604">
            <v>0</v>
          </cell>
          <cell r="AQ604">
            <v>0</v>
          </cell>
          <cell r="AV604">
            <v>0</v>
          </cell>
        </row>
        <row r="605">
          <cell r="E605" t="str">
            <v>T25001893</v>
          </cell>
          <cell r="AP605">
            <v>0</v>
          </cell>
          <cell r="AQ605">
            <v>0</v>
          </cell>
          <cell r="AV605">
            <v>0</v>
          </cell>
        </row>
        <row r="606">
          <cell r="E606" t="str">
            <v>B25017084</v>
          </cell>
          <cell r="AP606">
            <v>0</v>
          </cell>
          <cell r="AQ606">
            <v>0</v>
          </cell>
          <cell r="AV606">
            <v>0</v>
          </cell>
        </row>
        <row r="607">
          <cell r="E607" t="str">
            <v>D25019625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D25019638</v>
          </cell>
          <cell r="AP608">
            <v>0</v>
          </cell>
          <cell r="AQ608">
            <v>0</v>
          </cell>
          <cell r="AV608">
            <v>0</v>
          </cell>
        </row>
        <row r="609">
          <cell r="E609" t="str">
            <v>T25001895</v>
          </cell>
          <cell r="AP609">
            <v>0</v>
          </cell>
          <cell r="AQ609">
            <v>0</v>
          </cell>
          <cell r="AV609">
            <v>0</v>
          </cell>
        </row>
        <row r="610">
          <cell r="E610" t="str">
            <v>B25017141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T25001897</v>
          </cell>
          <cell r="AP611">
            <v>0</v>
          </cell>
          <cell r="AQ611">
            <v>0</v>
          </cell>
          <cell r="AV611">
            <v>0</v>
          </cell>
        </row>
        <row r="612">
          <cell r="E612" t="str">
            <v>T25001899</v>
          </cell>
          <cell r="AP612">
            <v>0</v>
          </cell>
          <cell r="AQ612">
            <v>0</v>
          </cell>
          <cell r="AV612">
            <v>0</v>
          </cell>
        </row>
        <row r="613">
          <cell r="E613" t="str">
            <v>D26000034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D26000124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D26000127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T26000002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B26000213</v>
          </cell>
          <cell r="AP617">
            <v>0</v>
          </cell>
          <cell r="AQ617">
            <v>0</v>
          </cell>
          <cell r="AV617">
            <v>0</v>
          </cell>
        </row>
        <row r="618">
          <cell r="E618" t="str">
            <v>B26000342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B26000406</v>
          </cell>
          <cell r="AP619">
            <v>0</v>
          </cell>
          <cell r="AQ619">
            <v>0</v>
          </cell>
          <cell r="AV619">
            <v>0</v>
          </cell>
        </row>
        <row r="620">
          <cell r="E620" t="str">
            <v>B26000526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B26000808</v>
          </cell>
          <cell r="AP621">
            <v>0</v>
          </cell>
          <cell r="AQ621">
            <v>0</v>
          </cell>
          <cell r="AV621">
            <v>0</v>
          </cell>
        </row>
        <row r="622">
          <cell r="E622" t="str">
            <v>B26000857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B26000950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B26000993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D26001061</v>
          </cell>
          <cell r="AP625">
            <v>0</v>
          </cell>
          <cell r="AQ625">
            <v>0</v>
          </cell>
          <cell r="AV625">
            <v>0</v>
          </cell>
        </row>
        <row r="626">
          <cell r="E626" t="str">
            <v>B26001003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B26001060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B26001291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B26001292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B26001301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B26001328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B26001545</v>
          </cell>
          <cell r="AP632">
            <v>0</v>
          </cell>
          <cell r="AQ632">
            <v>0</v>
          </cell>
          <cell r="AV632">
            <v>0</v>
          </cell>
        </row>
        <row r="633">
          <cell r="E633" t="str">
            <v>B26001546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B26001584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B26001611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B26001624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B26001630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B26001699</v>
          </cell>
          <cell r="AP638">
            <v>0</v>
          </cell>
          <cell r="AQ638">
            <v>0</v>
          </cell>
          <cell r="AV638">
            <v>0</v>
          </cell>
        </row>
        <row r="639">
          <cell r="E639" t="str">
            <v>B26001759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D26001896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D26001943</v>
          </cell>
          <cell r="AP641">
            <v>0</v>
          </cell>
          <cell r="AQ641">
            <v>0</v>
          </cell>
          <cell r="AV641">
            <v>0</v>
          </cell>
        </row>
        <row r="642">
          <cell r="E642" t="str">
            <v>D26001704</v>
          </cell>
          <cell r="AP642">
            <v>0</v>
          </cell>
          <cell r="AQ642">
            <v>0</v>
          </cell>
          <cell r="AV642">
            <v>936000</v>
          </cell>
        </row>
        <row r="643">
          <cell r="E643" t="str">
            <v>D26001705</v>
          </cell>
          <cell r="AP643">
            <v>0</v>
          </cell>
          <cell r="AQ643">
            <v>0</v>
          </cell>
          <cell r="AV643">
            <v>1980000</v>
          </cell>
        </row>
        <row r="644">
          <cell r="E644" t="str">
            <v>D25016916</v>
          </cell>
          <cell r="AP644">
            <v>0</v>
          </cell>
          <cell r="AQ644">
            <v>0</v>
          </cell>
          <cell r="AV644">
            <v>6500000</v>
          </cell>
        </row>
        <row r="645">
          <cell r="E645" t="str">
            <v>B26000134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T26000044</v>
          </cell>
          <cell r="AP646">
            <v>0</v>
          </cell>
          <cell r="AQ646">
            <v>0</v>
          </cell>
          <cell r="AV646">
            <v>0</v>
          </cell>
        </row>
        <row r="647">
          <cell r="E647" t="str">
            <v>B26001175</v>
          </cell>
          <cell r="AP647">
            <v>0</v>
          </cell>
          <cell r="AQ647">
            <v>0</v>
          </cell>
          <cell r="AV647">
            <v>0</v>
          </cell>
        </row>
        <row r="648">
          <cell r="E648" t="str">
            <v>D25018297</v>
          </cell>
          <cell r="AP648">
            <v>0</v>
          </cell>
          <cell r="AQ648">
            <v>0</v>
          </cell>
          <cell r="AV648">
            <v>18200000</v>
          </cell>
        </row>
        <row r="649">
          <cell r="E649" t="str">
            <v>B25016084</v>
          </cell>
          <cell r="AP649">
            <v>0</v>
          </cell>
          <cell r="AQ649">
            <v>0</v>
          </cell>
          <cell r="AV649">
            <v>0</v>
          </cell>
        </row>
        <row r="650">
          <cell r="E650" t="str">
            <v>B26001020</v>
          </cell>
          <cell r="AP650">
            <v>0</v>
          </cell>
          <cell r="AQ650">
            <v>0</v>
          </cell>
          <cell r="AV650">
            <v>0</v>
          </cell>
        </row>
        <row r="651">
          <cell r="E651" t="str">
            <v>B26001077</v>
          </cell>
          <cell r="AP651">
            <v>0</v>
          </cell>
          <cell r="AQ651">
            <v>0</v>
          </cell>
          <cell r="AV651">
            <v>0</v>
          </cell>
        </row>
        <row r="652">
          <cell r="E652" t="str">
            <v>D25017223</v>
          </cell>
          <cell r="AP652">
            <v>0</v>
          </cell>
          <cell r="AQ652">
            <v>0</v>
          </cell>
          <cell r="AV652">
            <v>0</v>
          </cell>
        </row>
        <row r="653">
          <cell r="E653" t="str">
            <v>D25017245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T25001823</v>
          </cell>
          <cell r="AP654">
            <v>0</v>
          </cell>
          <cell r="AQ654">
            <v>0</v>
          </cell>
          <cell r="AV654">
            <v>5400000</v>
          </cell>
        </row>
        <row r="655">
          <cell r="E655" t="str">
            <v>T25001852k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T25001855</v>
          </cell>
          <cell r="AP656">
            <v>0</v>
          </cell>
          <cell r="AQ656">
            <v>0</v>
          </cell>
          <cell r="AV656">
            <v>1825000</v>
          </cell>
        </row>
        <row r="657">
          <cell r="E657" t="str">
            <v>T25001876K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D25019523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B26000624</v>
          </cell>
          <cell r="AP659">
            <v>0</v>
          </cell>
          <cell r="AQ659">
            <v>0</v>
          </cell>
          <cell r="AV659">
            <v>0</v>
          </cell>
        </row>
        <row r="660">
          <cell r="E660" t="str">
            <v>D26001188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B26001145</v>
          </cell>
          <cell r="AP661">
            <v>0</v>
          </cell>
          <cell r="AQ661">
            <v>0</v>
          </cell>
          <cell r="AV661">
            <v>0</v>
          </cell>
        </row>
        <row r="662">
          <cell r="E662" t="str">
            <v>D26001379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 t="str">
            <v>D26001511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T26000102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B26001729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D26001884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R26000002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D25019537</v>
          </cell>
          <cell r="AP668">
            <v>0</v>
          </cell>
          <cell r="AQ668">
            <v>0</v>
          </cell>
          <cell r="AV668">
            <v>2000000</v>
          </cell>
        </row>
        <row r="669">
          <cell r="E669" t="str">
            <v>B26000319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D26001100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B26001632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D26000833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D26000837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R25000110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R25000112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B25016164</v>
          </cell>
          <cell r="AP676">
            <v>0</v>
          </cell>
          <cell r="AQ676">
            <v>0</v>
          </cell>
          <cell r="AV676">
            <v>0</v>
          </cell>
        </row>
        <row r="677">
          <cell r="E677" t="str">
            <v>B26000017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D26000130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B26000322</v>
          </cell>
          <cell r="AP679">
            <v>0</v>
          </cell>
          <cell r="AQ679">
            <v>0</v>
          </cell>
          <cell r="AV679">
            <v>840000</v>
          </cell>
        </row>
        <row r="680">
          <cell r="E680" t="str">
            <v>B26000848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B26001470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D26001890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D25014349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T25001500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B25014182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D25016537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B25014607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B25014608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D25017082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D25017821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B25015456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T25001758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B25015814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B25015842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B25016842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D25019422</v>
          </cell>
          <cell r="AP696">
            <v>0</v>
          </cell>
          <cell r="AQ696">
            <v>0</v>
          </cell>
          <cell r="AV696">
            <v>0</v>
          </cell>
        </row>
        <row r="697">
          <cell r="E697" t="str">
            <v>D25019489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D25019666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D26000624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D26001160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D26001161</v>
          </cell>
          <cell r="AP701">
            <v>0</v>
          </cell>
          <cell r="AQ701">
            <v>0</v>
          </cell>
          <cell r="AV701">
            <v>0</v>
          </cell>
        </row>
        <row r="702">
          <cell r="E702" t="str">
            <v>D26001996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D26001338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B26001872</v>
          </cell>
          <cell r="AP704">
            <v>0</v>
          </cell>
          <cell r="AQ704">
            <v>0</v>
          </cell>
          <cell r="AV704">
            <v>0</v>
          </cell>
        </row>
        <row r="705">
          <cell r="E705" t="str">
            <v>D25017231</v>
          </cell>
          <cell r="AP705">
            <v>0</v>
          </cell>
          <cell r="AQ705">
            <v>0</v>
          </cell>
          <cell r="AV705">
            <v>0</v>
          </cell>
        </row>
        <row r="706">
          <cell r="E706" t="str">
            <v>D25018661</v>
          </cell>
          <cell r="AP706">
            <v>0</v>
          </cell>
          <cell r="AQ706">
            <v>0</v>
          </cell>
          <cell r="AV706">
            <v>778500</v>
          </cell>
        </row>
        <row r="707">
          <cell r="E707" t="str">
            <v>B25016677</v>
          </cell>
          <cell r="AP707">
            <v>0</v>
          </cell>
          <cell r="AQ707">
            <v>0</v>
          </cell>
          <cell r="AV707">
            <v>451500</v>
          </cell>
        </row>
        <row r="708">
          <cell r="E708" t="str">
            <v>B25017088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D25019689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D26000388</v>
          </cell>
          <cell r="AP710">
            <v>0</v>
          </cell>
          <cell r="AQ710">
            <v>0</v>
          </cell>
          <cell r="AV710">
            <v>0</v>
          </cell>
        </row>
        <row r="711">
          <cell r="E711" t="str">
            <v>B26000677</v>
          </cell>
          <cell r="AP711">
            <v>0</v>
          </cell>
          <cell r="AQ711">
            <v>0</v>
          </cell>
          <cell r="AV711">
            <v>0</v>
          </cell>
        </row>
        <row r="712">
          <cell r="E712" t="str">
            <v>D26001068</v>
          </cell>
          <cell r="AP712">
            <v>0</v>
          </cell>
          <cell r="AQ712">
            <v>0</v>
          </cell>
          <cell r="AV712">
            <v>0</v>
          </cell>
        </row>
        <row r="713">
          <cell r="E713" t="str">
            <v>D26001822</v>
          </cell>
          <cell r="AP713">
            <v>0</v>
          </cell>
          <cell r="AQ713">
            <v>0</v>
          </cell>
          <cell r="AV713">
            <v>3275000</v>
          </cell>
        </row>
        <row r="714">
          <cell r="E714" t="str">
            <v>D25014948</v>
          </cell>
          <cell r="AP714">
            <v>0</v>
          </cell>
          <cell r="AQ714">
            <v>0</v>
          </cell>
          <cell r="AV714">
            <v>0</v>
          </cell>
        </row>
        <row r="715">
          <cell r="E715" t="str">
            <v>D25015234</v>
          </cell>
          <cell r="AP715">
            <v>0</v>
          </cell>
          <cell r="AQ715">
            <v>0</v>
          </cell>
          <cell r="AV715">
            <v>0</v>
          </cell>
        </row>
        <row r="716">
          <cell r="E716" t="str">
            <v>B25013096</v>
          </cell>
          <cell r="AP716">
            <v>0</v>
          </cell>
          <cell r="AQ716">
            <v>0</v>
          </cell>
          <cell r="AV716">
            <v>0</v>
          </cell>
        </row>
        <row r="717">
          <cell r="E717" t="str">
            <v>B25013448</v>
          </cell>
          <cell r="AP717">
            <v>0</v>
          </cell>
          <cell r="AQ717">
            <v>0</v>
          </cell>
          <cell r="AV717">
            <v>0</v>
          </cell>
        </row>
        <row r="718">
          <cell r="E718" t="str">
            <v>D25015924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D25016080</v>
          </cell>
          <cell r="AP719">
            <v>0</v>
          </cell>
          <cell r="AQ719">
            <v>0</v>
          </cell>
          <cell r="AV719">
            <v>0</v>
          </cell>
        </row>
        <row r="720">
          <cell r="E720" t="str">
            <v>D25016533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D25016996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D25016997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D25017102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B25014869</v>
          </cell>
          <cell r="AP724">
            <v>0</v>
          </cell>
          <cell r="AQ724">
            <v>0</v>
          </cell>
          <cell r="AV724">
            <v>0</v>
          </cell>
        </row>
        <row r="725">
          <cell r="E725" t="str">
            <v>D25017610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D25017855</v>
          </cell>
          <cell r="AP726">
            <v>0</v>
          </cell>
          <cell r="AQ726">
            <v>0</v>
          </cell>
          <cell r="AV726">
            <v>0</v>
          </cell>
        </row>
        <row r="727">
          <cell r="E727" t="str">
            <v>B25015717</v>
          </cell>
          <cell r="AP727">
            <v>0</v>
          </cell>
          <cell r="AQ727">
            <v>0</v>
          </cell>
          <cell r="AV727">
            <v>0</v>
          </cell>
        </row>
        <row r="728">
          <cell r="E728" t="str">
            <v>D25018080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D25018085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D25018086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D25018439</v>
          </cell>
          <cell r="AP731">
            <v>0</v>
          </cell>
          <cell r="AQ731">
            <v>0</v>
          </cell>
          <cell r="AV731">
            <v>0</v>
          </cell>
        </row>
        <row r="732">
          <cell r="E732" t="str">
            <v>B25016097</v>
          </cell>
          <cell r="AP732">
            <v>0</v>
          </cell>
          <cell r="AQ732">
            <v>0</v>
          </cell>
          <cell r="AV732">
            <v>0</v>
          </cell>
        </row>
        <row r="733">
          <cell r="E733" t="str">
            <v>D25018769</v>
          </cell>
          <cell r="AP733">
            <v>0</v>
          </cell>
          <cell r="AQ733">
            <v>0</v>
          </cell>
          <cell r="AV733">
            <v>0</v>
          </cell>
        </row>
        <row r="734">
          <cell r="E734" t="str">
            <v>D25018770</v>
          </cell>
          <cell r="AP734">
            <v>0</v>
          </cell>
          <cell r="AQ734">
            <v>0</v>
          </cell>
          <cell r="AV734">
            <v>0</v>
          </cell>
        </row>
        <row r="735">
          <cell r="E735" t="str">
            <v>D25018813</v>
          </cell>
          <cell r="AP735">
            <v>0</v>
          </cell>
          <cell r="AQ735">
            <v>0</v>
          </cell>
          <cell r="AV735">
            <v>0</v>
          </cell>
        </row>
        <row r="736">
          <cell r="E736" t="str">
            <v>D25018838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D25019180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D25019218</v>
          </cell>
          <cell r="AP738">
            <v>0</v>
          </cell>
          <cell r="AQ738">
            <v>0</v>
          </cell>
          <cell r="AV738">
            <v>0</v>
          </cell>
        </row>
        <row r="739">
          <cell r="E739" t="str">
            <v>B25016789</v>
          </cell>
          <cell r="AP739">
            <v>0</v>
          </cell>
          <cell r="AQ739">
            <v>0</v>
          </cell>
          <cell r="AV739">
            <v>0</v>
          </cell>
        </row>
        <row r="740">
          <cell r="E740" t="str">
            <v>B25016790</v>
          </cell>
          <cell r="AP740">
            <v>0</v>
          </cell>
          <cell r="AQ740">
            <v>0</v>
          </cell>
          <cell r="AV740">
            <v>0</v>
          </cell>
        </row>
        <row r="741">
          <cell r="E741" t="str">
            <v>D25019273</v>
          </cell>
          <cell r="AP741">
            <v>0</v>
          </cell>
          <cell r="AQ741">
            <v>0</v>
          </cell>
          <cell r="AV741">
            <v>0</v>
          </cell>
        </row>
        <row r="742">
          <cell r="E742" t="str">
            <v>D25019547</v>
          </cell>
          <cell r="AP742">
            <v>0</v>
          </cell>
          <cell r="AQ742">
            <v>0</v>
          </cell>
          <cell r="AV742">
            <v>0</v>
          </cell>
        </row>
        <row r="743">
          <cell r="E743" t="str">
            <v>D25019548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D26000094</v>
          </cell>
          <cell r="AP744">
            <v>0</v>
          </cell>
          <cell r="AQ744">
            <v>0</v>
          </cell>
          <cell r="AV744">
            <v>0</v>
          </cell>
        </row>
        <row r="745">
          <cell r="E745" t="str">
            <v>D26001266</v>
          </cell>
          <cell r="AP745">
            <v>0</v>
          </cell>
          <cell r="AQ745">
            <v>0</v>
          </cell>
          <cell r="AV745">
            <v>66500000</v>
          </cell>
        </row>
        <row r="746">
          <cell r="E746" t="str">
            <v>D26001588</v>
          </cell>
          <cell r="AP746">
            <v>0</v>
          </cell>
          <cell r="AQ746">
            <v>0</v>
          </cell>
          <cell r="AV746">
            <v>0</v>
          </cell>
        </row>
        <row r="747">
          <cell r="E747" t="str">
            <v>D26001629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D26001630</v>
          </cell>
          <cell r="AP748">
            <v>0</v>
          </cell>
          <cell r="AQ748">
            <v>0</v>
          </cell>
          <cell r="AV748">
            <v>21700000</v>
          </cell>
        </row>
        <row r="749">
          <cell r="E749" t="str">
            <v>D26001673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B26001596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B26001912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D26002087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 t="str">
            <v>B25014894</v>
          </cell>
          <cell r="AP753">
            <v>0</v>
          </cell>
          <cell r="AQ753">
            <v>0</v>
          </cell>
          <cell r="AV753">
            <v>1301000</v>
          </cell>
        </row>
        <row r="754">
          <cell r="E754" t="str">
            <v>D25018772</v>
          </cell>
          <cell r="AP754">
            <v>0</v>
          </cell>
          <cell r="AQ754">
            <v>0</v>
          </cell>
          <cell r="AV754">
            <v>1425000</v>
          </cell>
        </row>
        <row r="755">
          <cell r="E755" t="str">
            <v>B26001777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Z26000276</v>
          </cell>
          <cell r="AP756">
            <v>0</v>
          </cell>
          <cell r="AQ756">
            <v>0</v>
          </cell>
          <cell r="AV756">
            <v>248000</v>
          </cell>
        </row>
        <row r="757">
          <cell r="E757" t="str">
            <v>Z26000277</v>
          </cell>
          <cell r="AP757">
            <v>0</v>
          </cell>
          <cell r="AQ757">
            <v>0</v>
          </cell>
          <cell r="AV757">
            <v>1224000</v>
          </cell>
        </row>
        <row r="758">
          <cell r="E758" t="str">
            <v>Z26000324</v>
          </cell>
          <cell r="AP758">
            <v>0</v>
          </cell>
          <cell r="AQ758">
            <v>0</v>
          </cell>
          <cell r="AV758">
            <v>3340000</v>
          </cell>
        </row>
        <row r="759">
          <cell r="E759" t="str">
            <v>Z26000331</v>
          </cell>
          <cell r="AP759">
            <v>0</v>
          </cell>
          <cell r="AQ759">
            <v>0</v>
          </cell>
          <cell r="AV759">
            <v>3960000</v>
          </cell>
        </row>
        <row r="760">
          <cell r="E760" t="str">
            <v>B26000075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B26001577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D25018699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D25019326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D26000844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T25001420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T25001781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B26001689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 t="str">
            <v>D26000566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D26000629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D26001695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D26001759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D25018788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B25016487</v>
          </cell>
          <cell r="AP773">
            <v>0</v>
          </cell>
          <cell r="AQ773">
            <v>0</v>
          </cell>
          <cell r="AV773">
            <v>0</v>
          </cell>
        </row>
        <row r="774">
          <cell r="E774" t="str">
            <v>D25019482</v>
          </cell>
          <cell r="AP774">
            <v>0</v>
          </cell>
          <cell r="AQ774">
            <v>0</v>
          </cell>
          <cell r="AV774">
            <v>0</v>
          </cell>
        </row>
        <row r="775">
          <cell r="E775" t="str">
            <v>D26000025</v>
          </cell>
          <cell r="AP775">
            <v>0</v>
          </cell>
          <cell r="AQ775">
            <v>0</v>
          </cell>
          <cell r="AV775">
            <v>0</v>
          </cell>
        </row>
        <row r="776">
          <cell r="E776" t="str">
            <v>D26000189</v>
          </cell>
          <cell r="AP776">
            <v>0</v>
          </cell>
          <cell r="AQ776">
            <v>0</v>
          </cell>
          <cell r="AV776">
            <v>0</v>
          </cell>
        </row>
        <row r="777">
          <cell r="E777" t="str">
            <v>B26000554</v>
          </cell>
          <cell r="AP777">
            <v>0</v>
          </cell>
          <cell r="AQ777">
            <v>0</v>
          </cell>
          <cell r="AV777">
            <v>0</v>
          </cell>
        </row>
        <row r="778">
          <cell r="E778" t="str">
            <v>D26000643</v>
          </cell>
          <cell r="AP778">
            <v>0</v>
          </cell>
          <cell r="AQ778">
            <v>0</v>
          </cell>
          <cell r="AV778">
            <v>0</v>
          </cell>
        </row>
        <row r="779">
          <cell r="E779" t="str">
            <v>D26001778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B25012415</v>
          </cell>
          <cell r="AP780">
            <v>0</v>
          </cell>
          <cell r="AQ780">
            <v>0</v>
          </cell>
          <cell r="AV780">
            <v>7300000</v>
          </cell>
        </row>
        <row r="781">
          <cell r="E781" t="str">
            <v>D25018298</v>
          </cell>
          <cell r="AP781">
            <v>0</v>
          </cell>
          <cell r="AQ781">
            <v>0</v>
          </cell>
          <cell r="AV781">
            <v>1344000</v>
          </cell>
        </row>
        <row r="782">
          <cell r="E782" t="str">
            <v>B26000027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D25019611</v>
          </cell>
          <cell r="AP783">
            <v>0</v>
          </cell>
          <cell r="AQ783">
            <v>0</v>
          </cell>
          <cell r="AV783">
            <v>0</v>
          </cell>
        </row>
        <row r="784">
          <cell r="E784" t="str">
            <v>D25019631</v>
          </cell>
          <cell r="AP784">
            <v>0</v>
          </cell>
          <cell r="AQ784">
            <v>0</v>
          </cell>
          <cell r="AV784">
            <v>0</v>
          </cell>
        </row>
        <row r="785">
          <cell r="E785" t="str">
            <v>D25019670</v>
          </cell>
          <cell r="AP785">
            <v>0</v>
          </cell>
          <cell r="AQ785">
            <v>0</v>
          </cell>
          <cell r="AV785">
            <v>0</v>
          </cell>
        </row>
        <row r="786">
          <cell r="E786" t="str">
            <v>D26002081</v>
          </cell>
          <cell r="AP786">
            <v>0</v>
          </cell>
          <cell r="AQ786">
            <v>0</v>
          </cell>
          <cell r="AV786">
            <v>0</v>
          </cell>
        </row>
        <row r="787">
          <cell r="E787" t="str">
            <v>B25016413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B25014588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 t="str">
            <v>B25014724</v>
          </cell>
          <cell r="AP789">
            <v>0</v>
          </cell>
          <cell r="AQ789">
            <v>0</v>
          </cell>
          <cell r="AV789">
            <v>3500000</v>
          </cell>
        </row>
        <row r="790">
          <cell r="E790" t="str">
            <v>B25014724</v>
          </cell>
          <cell r="AP790">
            <v>0</v>
          </cell>
          <cell r="AQ790">
            <v>0</v>
          </cell>
          <cell r="AV790">
            <v>3500000</v>
          </cell>
        </row>
        <row r="791">
          <cell r="E791" t="str">
            <v>B25014724</v>
          </cell>
          <cell r="AP791">
            <v>0</v>
          </cell>
          <cell r="AQ791">
            <v>0</v>
          </cell>
          <cell r="AV791">
            <v>2000000</v>
          </cell>
        </row>
        <row r="792">
          <cell r="E792" t="str">
            <v>B25014791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B25014795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D25017192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D25017199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B25014956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D25017383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D25017395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D25017616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B25015231</v>
          </cell>
          <cell r="AP800">
            <v>0</v>
          </cell>
          <cell r="AQ800">
            <v>0</v>
          </cell>
          <cell r="AV800">
            <v>0</v>
          </cell>
        </row>
        <row r="801">
          <cell r="E801" t="str">
            <v>B25015232</v>
          </cell>
          <cell r="AP801">
            <v>0</v>
          </cell>
          <cell r="AQ801">
            <v>0</v>
          </cell>
          <cell r="AV801">
            <v>0</v>
          </cell>
        </row>
        <row r="802">
          <cell r="E802" t="str">
            <v>D25017670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D25017719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B25015304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B25015318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B25015319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B25015415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D25017912</v>
          </cell>
          <cell r="AP808">
            <v>0</v>
          </cell>
          <cell r="AQ808">
            <v>0</v>
          </cell>
          <cell r="AV808">
            <v>0</v>
          </cell>
        </row>
        <row r="809">
          <cell r="E809" t="str">
            <v>B25015523</v>
          </cell>
          <cell r="AP809">
            <v>0</v>
          </cell>
          <cell r="AQ809">
            <v>0</v>
          </cell>
          <cell r="AV809">
            <v>0</v>
          </cell>
        </row>
        <row r="810">
          <cell r="E810" t="str">
            <v>D25018187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D25018248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D25018273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N25000073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B25015953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D25018350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D25018354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B25016052</v>
          </cell>
          <cell r="AP817">
            <v>0</v>
          </cell>
          <cell r="AQ817">
            <v>0</v>
          </cell>
          <cell r="AV817">
            <v>0</v>
          </cell>
        </row>
        <row r="818">
          <cell r="E818" t="str">
            <v>D25018680</v>
          </cell>
          <cell r="AP818">
            <v>0</v>
          </cell>
          <cell r="AQ818">
            <v>0</v>
          </cell>
          <cell r="AV818">
            <v>0</v>
          </cell>
        </row>
        <row r="819">
          <cell r="E819" t="str">
            <v>B25016296</v>
          </cell>
          <cell r="AP819">
            <v>0</v>
          </cell>
          <cell r="AQ819">
            <v>0</v>
          </cell>
          <cell r="AV819">
            <v>0</v>
          </cell>
        </row>
        <row r="820">
          <cell r="E820" t="str">
            <v>D25018697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D25018734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D25018763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D25018876</v>
          </cell>
          <cell r="AP823">
            <v>0</v>
          </cell>
          <cell r="AQ823">
            <v>0</v>
          </cell>
          <cell r="AV823">
            <v>0</v>
          </cell>
        </row>
        <row r="824">
          <cell r="E824" t="str">
            <v>B25016497</v>
          </cell>
          <cell r="AP824">
            <v>0</v>
          </cell>
          <cell r="AQ824">
            <v>0</v>
          </cell>
          <cell r="AV824">
            <v>0</v>
          </cell>
        </row>
        <row r="825">
          <cell r="E825" t="str">
            <v>B25016502</v>
          </cell>
          <cell r="AP825">
            <v>0</v>
          </cell>
          <cell r="AQ825">
            <v>0</v>
          </cell>
          <cell r="AV825">
            <v>0</v>
          </cell>
        </row>
        <row r="826">
          <cell r="E826" t="str">
            <v>D25019009</v>
          </cell>
          <cell r="AP826">
            <v>0</v>
          </cell>
          <cell r="AQ826">
            <v>0</v>
          </cell>
          <cell r="AV826">
            <v>0</v>
          </cell>
        </row>
        <row r="827">
          <cell r="E827" t="str">
            <v>B25016772</v>
          </cell>
          <cell r="AP827">
            <v>0</v>
          </cell>
          <cell r="AQ827">
            <v>0</v>
          </cell>
          <cell r="AV827">
            <v>0</v>
          </cell>
        </row>
        <row r="828">
          <cell r="E828" t="str">
            <v>D25019274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B25017014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D25019561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B25017039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B25017045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B25017053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D25019633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B25017108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D26000134</v>
          </cell>
          <cell r="AP836">
            <v>0</v>
          </cell>
          <cell r="AQ836">
            <v>0</v>
          </cell>
          <cell r="AV836">
            <v>0</v>
          </cell>
        </row>
        <row r="837">
          <cell r="E837" t="str">
            <v>B26000170</v>
          </cell>
          <cell r="AP837">
            <v>0</v>
          </cell>
          <cell r="AQ837">
            <v>0</v>
          </cell>
          <cell r="AV837">
            <v>0</v>
          </cell>
        </row>
        <row r="838">
          <cell r="E838" t="str">
            <v>B26000173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B26000241</v>
          </cell>
          <cell r="AP839">
            <v>0</v>
          </cell>
          <cell r="AQ839">
            <v>0</v>
          </cell>
          <cell r="AV839">
            <v>0</v>
          </cell>
        </row>
        <row r="840">
          <cell r="E840" t="str">
            <v>B26000345</v>
          </cell>
          <cell r="AP840">
            <v>0</v>
          </cell>
          <cell r="AQ840">
            <v>0</v>
          </cell>
          <cell r="AV840">
            <v>0</v>
          </cell>
        </row>
        <row r="841">
          <cell r="E841" t="str">
            <v>B26000346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B26000382</v>
          </cell>
          <cell r="AP842">
            <v>0</v>
          </cell>
          <cell r="AQ842">
            <v>0</v>
          </cell>
          <cell r="AV842">
            <v>0</v>
          </cell>
        </row>
        <row r="843">
          <cell r="E843" t="str">
            <v>B26000635</v>
          </cell>
          <cell r="AP843">
            <v>0</v>
          </cell>
          <cell r="AQ843">
            <v>0</v>
          </cell>
          <cell r="AV843">
            <v>0</v>
          </cell>
        </row>
        <row r="844">
          <cell r="E844" t="str">
            <v>B26000688</v>
          </cell>
          <cell r="AP844">
            <v>0</v>
          </cell>
          <cell r="AQ844">
            <v>0</v>
          </cell>
          <cell r="AV844">
            <v>0</v>
          </cell>
        </row>
        <row r="845">
          <cell r="E845" t="str">
            <v>D26000805</v>
          </cell>
          <cell r="AP845">
            <v>0</v>
          </cell>
          <cell r="AQ845">
            <v>0</v>
          </cell>
          <cell r="AV845">
            <v>0</v>
          </cell>
        </row>
        <row r="846">
          <cell r="E846" t="str">
            <v>D26000859</v>
          </cell>
          <cell r="AP846">
            <v>0</v>
          </cell>
          <cell r="AQ846">
            <v>0</v>
          </cell>
          <cell r="AV846">
            <v>0</v>
          </cell>
        </row>
        <row r="847">
          <cell r="E847" t="str">
            <v>B26000821</v>
          </cell>
          <cell r="AP847">
            <v>0</v>
          </cell>
          <cell r="AQ847">
            <v>0</v>
          </cell>
          <cell r="AV847">
            <v>0</v>
          </cell>
        </row>
        <row r="848">
          <cell r="E848" t="str">
            <v>B26000846</v>
          </cell>
          <cell r="AP848">
            <v>0</v>
          </cell>
          <cell r="AQ848">
            <v>0</v>
          </cell>
          <cell r="AV848">
            <v>0</v>
          </cell>
        </row>
        <row r="849">
          <cell r="E849" t="str">
            <v>B26000901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B26000902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B26000944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D26001057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D26001103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D26001148</v>
          </cell>
          <cell r="AP854">
            <v>0</v>
          </cell>
          <cell r="AQ854">
            <v>0</v>
          </cell>
          <cell r="AV854">
            <v>4000000</v>
          </cell>
        </row>
        <row r="855">
          <cell r="E855" t="str">
            <v>B26001169</v>
          </cell>
          <cell r="AP855">
            <v>0</v>
          </cell>
          <cell r="AQ855">
            <v>0</v>
          </cell>
          <cell r="AV855">
            <v>0</v>
          </cell>
        </row>
        <row r="856">
          <cell r="E856" t="str">
            <v>D26001404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D26001427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B26001452</v>
          </cell>
          <cell r="AP858">
            <v>0</v>
          </cell>
          <cell r="AQ858">
            <v>0</v>
          </cell>
          <cell r="AV858">
            <v>0</v>
          </cell>
        </row>
        <row r="859">
          <cell r="E859" t="str">
            <v>D26001539</v>
          </cell>
          <cell r="AP859">
            <v>0</v>
          </cell>
          <cell r="AQ859">
            <v>0</v>
          </cell>
          <cell r="AV859">
            <v>0</v>
          </cell>
        </row>
        <row r="860">
          <cell r="E860" t="str">
            <v>N26000015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D26001613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D26001669</v>
          </cell>
          <cell r="AP862">
            <v>0</v>
          </cell>
          <cell r="AQ862">
            <v>0</v>
          </cell>
          <cell r="AV862">
            <v>0</v>
          </cell>
        </row>
        <row r="863">
          <cell r="E863" t="str">
            <v>B26001619</v>
          </cell>
          <cell r="AP863">
            <v>0</v>
          </cell>
          <cell r="AQ863">
            <v>0</v>
          </cell>
          <cell r="AV863">
            <v>0</v>
          </cell>
        </row>
        <row r="864">
          <cell r="E864" t="str">
            <v>B26001633</v>
          </cell>
          <cell r="AP864">
            <v>0</v>
          </cell>
          <cell r="AQ864">
            <v>0</v>
          </cell>
          <cell r="AV864">
            <v>2075000</v>
          </cell>
        </row>
        <row r="865">
          <cell r="E865" t="str">
            <v>B26001634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D26001841</v>
          </cell>
          <cell r="AP866">
            <v>0</v>
          </cell>
          <cell r="AQ866">
            <v>0</v>
          </cell>
          <cell r="AV866">
            <v>0</v>
          </cell>
        </row>
        <row r="867">
          <cell r="E867" t="str">
            <v>B26001710</v>
          </cell>
          <cell r="AP867">
            <v>0</v>
          </cell>
          <cell r="AQ867">
            <v>0</v>
          </cell>
          <cell r="AV867">
            <v>0</v>
          </cell>
        </row>
        <row r="868">
          <cell r="E868" t="str">
            <v>D26001856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B26001841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 t="str">
            <v>D26001985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D26002012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B26001935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B26001936</v>
          </cell>
          <cell r="AP873">
            <v>0</v>
          </cell>
          <cell r="AQ873">
            <v>0</v>
          </cell>
          <cell r="AV873">
            <v>0</v>
          </cell>
        </row>
        <row r="874">
          <cell r="E874" t="str">
            <v>B26001937</v>
          </cell>
          <cell r="AP874">
            <v>0</v>
          </cell>
          <cell r="AQ874">
            <v>0</v>
          </cell>
          <cell r="AV874">
            <v>0</v>
          </cell>
        </row>
        <row r="875">
          <cell r="E875" t="str">
            <v>B25015269</v>
          </cell>
          <cell r="AP875">
            <v>0</v>
          </cell>
          <cell r="AQ875">
            <v>0</v>
          </cell>
          <cell r="AV875">
            <v>0</v>
          </cell>
        </row>
        <row r="876">
          <cell r="E876" t="str">
            <v>B25015270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D25017684</v>
          </cell>
          <cell r="AP877">
            <v>0</v>
          </cell>
          <cell r="AQ877">
            <v>0</v>
          </cell>
          <cell r="AV877">
            <v>0</v>
          </cell>
        </row>
        <row r="878">
          <cell r="E878" t="str">
            <v>T25001754</v>
          </cell>
          <cell r="AP878">
            <v>0</v>
          </cell>
          <cell r="AQ878">
            <v>0</v>
          </cell>
          <cell r="AV878">
            <v>0</v>
          </cell>
        </row>
        <row r="879">
          <cell r="E879" t="str">
            <v>D25017920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D25018112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D25018463</v>
          </cell>
          <cell r="AP881">
            <v>0</v>
          </cell>
          <cell r="AQ881">
            <v>0</v>
          </cell>
          <cell r="AV881">
            <v>0</v>
          </cell>
        </row>
        <row r="882">
          <cell r="E882" t="str">
            <v>B25016134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B25016274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B25016379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D25018868</v>
          </cell>
          <cell r="AP885">
            <v>0</v>
          </cell>
          <cell r="AQ885">
            <v>0</v>
          </cell>
          <cell r="AV885">
            <v>0</v>
          </cell>
        </row>
        <row r="886">
          <cell r="E886" t="str">
            <v>D25019071</v>
          </cell>
          <cell r="AP886">
            <v>0</v>
          </cell>
          <cell r="AQ886">
            <v>0</v>
          </cell>
          <cell r="AV886">
            <v>0</v>
          </cell>
        </row>
        <row r="887">
          <cell r="E887" t="str">
            <v>D25019310</v>
          </cell>
          <cell r="AP887">
            <v>0</v>
          </cell>
          <cell r="AQ887">
            <v>0</v>
          </cell>
          <cell r="AV887">
            <v>0</v>
          </cell>
        </row>
        <row r="888">
          <cell r="E888" t="str">
            <v>T25001890</v>
          </cell>
          <cell r="AP888">
            <v>0</v>
          </cell>
          <cell r="AQ888">
            <v>0</v>
          </cell>
          <cell r="AV888">
            <v>0</v>
          </cell>
        </row>
        <row r="889">
          <cell r="E889" t="str">
            <v>B25016917</v>
          </cell>
          <cell r="AP889">
            <v>0</v>
          </cell>
          <cell r="AQ889">
            <v>0</v>
          </cell>
          <cell r="AV889">
            <v>0</v>
          </cell>
        </row>
        <row r="890">
          <cell r="E890" t="str">
            <v>B25016953</v>
          </cell>
          <cell r="AP890">
            <v>0</v>
          </cell>
          <cell r="AQ890">
            <v>0</v>
          </cell>
          <cell r="AV890">
            <v>0</v>
          </cell>
        </row>
        <row r="891">
          <cell r="E891" t="str">
            <v>B25016954</v>
          </cell>
          <cell r="AP891">
            <v>0</v>
          </cell>
          <cell r="AQ891">
            <v>0</v>
          </cell>
          <cell r="AV891">
            <v>0</v>
          </cell>
        </row>
        <row r="892">
          <cell r="E892" t="str">
            <v>D25019577</v>
          </cell>
          <cell r="AP892">
            <v>0</v>
          </cell>
          <cell r="AQ892">
            <v>0</v>
          </cell>
          <cell r="AV892">
            <v>0</v>
          </cell>
        </row>
        <row r="893">
          <cell r="E893" t="str">
            <v>D25019632</v>
          </cell>
          <cell r="AP893">
            <v>0</v>
          </cell>
          <cell r="AQ893">
            <v>0</v>
          </cell>
          <cell r="AV893">
            <v>0</v>
          </cell>
        </row>
        <row r="894">
          <cell r="E894" t="str">
            <v>D25019655</v>
          </cell>
          <cell r="AP894">
            <v>0</v>
          </cell>
          <cell r="AQ894">
            <v>0</v>
          </cell>
          <cell r="AV894">
            <v>0</v>
          </cell>
        </row>
        <row r="895">
          <cell r="E895" t="str">
            <v>B25017134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B26001260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B26001261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B26001279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D26001464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B26001473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B26001563</v>
          </cell>
          <cell r="AP901">
            <v>0</v>
          </cell>
          <cell r="AQ901">
            <v>0</v>
          </cell>
          <cell r="AV901">
            <v>10500000</v>
          </cell>
        </row>
        <row r="902">
          <cell r="E902" t="str">
            <v>B26001564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B26001654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D26001836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B26001734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D26001865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B26001874</v>
          </cell>
          <cell r="AP907">
            <v>0</v>
          </cell>
          <cell r="AQ907">
            <v>0</v>
          </cell>
          <cell r="AV907">
            <v>0</v>
          </cell>
        </row>
        <row r="908">
          <cell r="E908" t="str">
            <v>D26002073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B25013715</v>
          </cell>
          <cell r="AP909">
            <v>0</v>
          </cell>
          <cell r="AQ909">
            <v>0</v>
          </cell>
          <cell r="AV909">
            <v>11640000</v>
          </cell>
        </row>
        <row r="910">
          <cell r="E910" t="str">
            <v>B25014025</v>
          </cell>
          <cell r="AP910">
            <v>0</v>
          </cell>
          <cell r="AQ910">
            <v>0</v>
          </cell>
          <cell r="AV910">
            <v>51250000</v>
          </cell>
        </row>
        <row r="911">
          <cell r="E911" t="str">
            <v>B25014284</v>
          </cell>
          <cell r="AP911">
            <v>0</v>
          </cell>
          <cell r="AQ911">
            <v>0</v>
          </cell>
          <cell r="AV911">
            <v>8160000</v>
          </cell>
        </row>
        <row r="912">
          <cell r="E912" t="str">
            <v>D25016563</v>
          </cell>
          <cell r="AP912">
            <v>0</v>
          </cell>
          <cell r="AQ912">
            <v>0</v>
          </cell>
          <cell r="AV912">
            <v>3980000</v>
          </cell>
        </row>
        <row r="913">
          <cell r="E913" t="str">
            <v>D25016564</v>
          </cell>
          <cell r="AP913">
            <v>0</v>
          </cell>
          <cell r="AQ913">
            <v>0</v>
          </cell>
          <cell r="AV913">
            <v>4200000</v>
          </cell>
        </row>
        <row r="914">
          <cell r="E914" t="str">
            <v>B25014473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B25014474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B25014475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B25014486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B25014620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D25017006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D25017007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>
            <v>250181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D25017216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D25017288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 t="str">
            <v>D25018150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D25018927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B25017021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B25017029</v>
          </cell>
          <cell r="AP927">
            <v>0</v>
          </cell>
          <cell r="AQ927">
            <v>0</v>
          </cell>
          <cell r="AV927">
            <v>0</v>
          </cell>
        </row>
        <row r="928">
          <cell r="E928" t="str">
            <v>B26000563</v>
          </cell>
          <cell r="AP928">
            <v>0</v>
          </cell>
          <cell r="AQ928">
            <v>0</v>
          </cell>
          <cell r="AV928">
            <v>0</v>
          </cell>
        </row>
        <row r="929">
          <cell r="E929" t="str">
            <v>B26000564</v>
          </cell>
          <cell r="AP929">
            <v>0</v>
          </cell>
          <cell r="AQ929">
            <v>0</v>
          </cell>
          <cell r="AV929">
            <v>0</v>
          </cell>
        </row>
        <row r="930">
          <cell r="E930" t="str">
            <v>B26000717</v>
          </cell>
          <cell r="AP930">
            <v>0</v>
          </cell>
          <cell r="AQ930">
            <v>0</v>
          </cell>
          <cell r="AV930">
            <v>0</v>
          </cell>
        </row>
        <row r="931">
          <cell r="E931" t="str">
            <v>B26000888</v>
          </cell>
          <cell r="AP931">
            <v>0</v>
          </cell>
          <cell r="AQ931">
            <v>0</v>
          </cell>
          <cell r="AV931">
            <v>0</v>
          </cell>
        </row>
        <row r="932">
          <cell r="E932" t="str">
            <v>D26000960</v>
          </cell>
          <cell r="AP932">
            <v>0</v>
          </cell>
          <cell r="AQ932">
            <v>0</v>
          </cell>
          <cell r="AV932">
            <v>0</v>
          </cell>
        </row>
        <row r="933">
          <cell r="E933" t="str">
            <v>D26001019</v>
          </cell>
          <cell r="AP933">
            <v>0</v>
          </cell>
          <cell r="AQ933">
            <v>0</v>
          </cell>
          <cell r="AV933">
            <v>0</v>
          </cell>
        </row>
        <row r="934">
          <cell r="E934" t="str">
            <v>D26001020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B25016861</v>
          </cell>
          <cell r="AP935">
            <v>0</v>
          </cell>
          <cell r="AQ935">
            <v>0</v>
          </cell>
          <cell r="AV935">
            <v>2000000</v>
          </cell>
        </row>
        <row r="936">
          <cell r="E936" t="str">
            <v>D26000200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B26000297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B26000743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D26000981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D26001365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D26001465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D25019431</v>
          </cell>
          <cell r="AP942">
            <v>0</v>
          </cell>
          <cell r="AQ942">
            <v>0</v>
          </cell>
          <cell r="AV942">
            <v>51634137</v>
          </cell>
        </row>
        <row r="943">
          <cell r="E943" t="str">
            <v>D26000015</v>
          </cell>
          <cell r="AP943">
            <v>0</v>
          </cell>
          <cell r="AQ943">
            <v>0</v>
          </cell>
          <cell r="AV943">
            <v>39175863</v>
          </cell>
        </row>
        <row r="944">
          <cell r="E944" t="str">
            <v>D26000016</v>
          </cell>
          <cell r="AP944">
            <v>0</v>
          </cell>
          <cell r="AQ944">
            <v>0</v>
          </cell>
          <cell r="AV944">
            <v>73890000</v>
          </cell>
        </row>
        <row r="945">
          <cell r="E945" t="str">
            <v>D26000262</v>
          </cell>
          <cell r="AP945">
            <v>0</v>
          </cell>
          <cell r="AQ945">
            <v>0</v>
          </cell>
          <cell r="AV945">
            <v>35300000</v>
          </cell>
        </row>
        <row r="946">
          <cell r="E946" t="str">
            <v>D26000427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D26001036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B25017067</v>
          </cell>
          <cell r="AP948">
            <v>0</v>
          </cell>
          <cell r="AQ948">
            <v>0</v>
          </cell>
          <cell r="AV948">
            <v>21200000</v>
          </cell>
        </row>
        <row r="949">
          <cell r="E949" t="str">
            <v>D25019643</v>
          </cell>
          <cell r="AP949">
            <v>0</v>
          </cell>
          <cell r="AQ949">
            <v>0</v>
          </cell>
          <cell r="AV949">
            <v>5040000</v>
          </cell>
        </row>
        <row r="950">
          <cell r="E950" t="str">
            <v>T26000017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B26000285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D26000292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B26000383</v>
          </cell>
          <cell r="AP953">
            <v>0</v>
          </cell>
          <cell r="AQ953">
            <v>0</v>
          </cell>
          <cell r="AV953">
            <v>0</v>
          </cell>
        </row>
        <row r="954">
          <cell r="E954" t="str">
            <v>B26000794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B26001540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B26001542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B26001780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B26001781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B26000165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D26000559</v>
          </cell>
          <cell r="AP960">
            <v>0</v>
          </cell>
          <cell r="AQ960">
            <v>0</v>
          </cell>
          <cell r="AV960">
            <v>0</v>
          </cell>
        </row>
        <row r="961">
          <cell r="E961" t="str">
            <v>D26001900</v>
          </cell>
          <cell r="AP961">
            <v>0</v>
          </cell>
          <cell r="AQ961">
            <v>0</v>
          </cell>
          <cell r="AV961">
            <v>1425000</v>
          </cell>
        </row>
        <row r="962">
          <cell r="E962" t="str">
            <v>D25017215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B25014980</v>
          </cell>
          <cell r="AP963">
            <v>0</v>
          </cell>
          <cell r="AQ963">
            <v>0</v>
          </cell>
          <cell r="AV963">
            <v>0</v>
          </cell>
        </row>
        <row r="964">
          <cell r="E964" t="str">
            <v>D25017286</v>
          </cell>
          <cell r="AP964">
            <v>0</v>
          </cell>
          <cell r="AQ964">
            <v>0</v>
          </cell>
          <cell r="AV964">
            <v>0</v>
          </cell>
        </row>
        <row r="965">
          <cell r="E965" t="str">
            <v>B25015081</v>
          </cell>
          <cell r="AP965">
            <v>0</v>
          </cell>
          <cell r="AQ965">
            <v>0</v>
          </cell>
          <cell r="AV965">
            <v>0</v>
          </cell>
        </row>
        <row r="966">
          <cell r="E966" t="str">
            <v>D25017402</v>
          </cell>
          <cell r="AP966">
            <v>0</v>
          </cell>
          <cell r="AQ966">
            <v>0</v>
          </cell>
          <cell r="AV966">
            <v>0</v>
          </cell>
        </row>
        <row r="967">
          <cell r="E967" t="str">
            <v>D25017410</v>
          </cell>
          <cell r="AP967">
            <v>0</v>
          </cell>
          <cell r="AQ967">
            <v>0</v>
          </cell>
          <cell r="AV967">
            <v>0</v>
          </cell>
        </row>
        <row r="968">
          <cell r="E968" t="str">
            <v>B25015151</v>
          </cell>
          <cell r="AP968">
            <v>0</v>
          </cell>
          <cell r="AQ968">
            <v>0</v>
          </cell>
          <cell r="AV968">
            <v>0</v>
          </cell>
        </row>
        <row r="969">
          <cell r="E969" t="str">
            <v>D25017521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D25017599</v>
          </cell>
          <cell r="AP970">
            <v>0</v>
          </cell>
          <cell r="AQ970">
            <v>0</v>
          </cell>
          <cell r="AV970">
            <v>0</v>
          </cell>
        </row>
        <row r="971">
          <cell r="E971" t="str">
            <v>B25015236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D25017740</v>
          </cell>
          <cell r="AP972">
            <v>0</v>
          </cell>
          <cell r="AQ972">
            <v>0</v>
          </cell>
          <cell r="AV972">
            <v>0</v>
          </cell>
        </row>
        <row r="973">
          <cell r="E973" t="str">
            <v>B25015383</v>
          </cell>
          <cell r="AP973">
            <v>0</v>
          </cell>
          <cell r="AQ973">
            <v>0</v>
          </cell>
          <cell r="AV973">
            <v>0</v>
          </cell>
        </row>
        <row r="974">
          <cell r="E974" t="str">
            <v>B25015413</v>
          </cell>
          <cell r="AP974">
            <v>0</v>
          </cell>
          <cell r="AQ974">
            <v>0</v>
          </cell>
          <cell r="AV974">
            <v>0</v>
          </cell>
        </row>
        <row r="975">
          <cell r="E975" t="str">
            <v>D25017944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B25015552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D25018015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D25018055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B25015689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D25018270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D25018367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B25016032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B25016075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B25016076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D25018479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B25016145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B25016217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B25016223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B25016364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D25018791</v>
          </cell>
          <cell r="AP990">
            <v>0</v>
          </cell>
          <cell r="AQ990">
            <v>0</v>
          </cell>
          <cell r="AV990">
            <v>0</v>
          </cell>
        </row>
        <row r="991">
          <cell r="E991" t="str">
            <v>D25018883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B25016493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B25016520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D25019158</v>
          </cell>
          <cell r="AP994">
            <v>0</v>
          </cell>
          <cell r="AQ994">
            <v>0</v>
          </cell>
          <cell r="AV994">
            <v>0</v>
          </cell>
        </row>
        <row r="995">
          <cell r="E995" t="str">
            <v>B25016811</v>
          </cell>
          <cell r="AP995">
            <v>0</v>
          </cell>
          <cell r="AQ995">
            <v>0</v>
          </cell>
          <cell r="AV995">
            <v>0</v>
          </cell>
        </row>
        <row r="996">
          <cell r="E996" t="str">
            <v>D25019421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B26000084</v>
          </cell>
          <cell r="AP997">
            <v>0</v>
          </cell>
          <cell r="AQ997">
            <v>0</v>
          </cell>
          <cell r="AV997">
            <v>0</v>
          </cell>
        </row>
        <row r="998">
          <cell r="E998" t="str">
            <v>D26000151</v>
          </cell>
          <cell r="AP998">
            <v>0</v>
          </cell>
          <cell r="AQ998">
            <v>0</v>
          </cell>
          <cell r="AV998">
            <v>0</v>
          </cell>
        </row>
        <row r="999">
          <cell r="E999" t="str">
            <v>D26000247</v>
          </cell>
          <cell r="AP999">
            <v>0</v>
          </cell>
          <cell r="AQ999">
            <v>0</v>
          </cell>
          <cell r="AV999">
            <v>0</v>
          </cell>
        </row>
        <row r="1000">
          <cell r="E1000" t="str">
            <v>B26000344</v>
          </cell>
          <cell r="AP1000">
            <v>0</v>
          </cell>
          <cell r="AQ1000">
            <v>0</v>
          </cell>
          <cell r="AV1000">
            <v>0</v>
          </cell>
        </row>
        <row r="1001">
          <cell r="E1001" t="str">
            <v>B26000401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D26000540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B26000986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D26001078</v>
          </cell>
          <cell r="AP1004">
            <v>0</v>
          </cell>
          <cell r="AQ1004">
            <v>0</v>
          </cell>
          <cell r="AV1004">
            <v>0</v>
          </cell>
        </row>
        <row r="1005">
          <cell r="E1005" t="str">
            <v>B26001068</v>
          </cell>
          <cell r="AP1005">
            <v>0</v>
          </cell>
          <cell r="AQ1005">
            <v>0</v>
          </cell>
          <cell r="AV1005">
            <v>0</v>
          </cell>
        </row>
        <row r="1006">
          <cell r="E1006" t="str">
            <v>B26001147</v>
          </cell>
          <cell r="AP1006">
            <v>0</v>
          </cell>
          <cell r="AQ1006">
            <v>0</v>
          </cell>
          <cell r="AV1006">
            <v>0</v>
          </cell>
        </row>
        <row r="1007">
          <cell r="E1007" t="str">
            <v>B26001202</v>
          </cell>
          <cell r="AP1007">
            <v>0</v>
          </cell>
          <cell r="AQ1007">
            <v>0</v>
          </cell>
          <cell r="AV1007">
            <v>0</v>
          </cell>
        </row>
        <row r="1008">
          <cell r="E1008" t="str">
            <v>B26001245</v>
          </cell>
          <cell r="AP1008">
            <v>0</v>
          </cell>
          <cell r="AQ1008">
            <v>0</v>
          </cell>
          <cell r="AV1008">
            <v>0</v>
          </cell>
        </row>
        <row r="1009">
          <cell r="E1009" t="str">
            <v>D26001540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B26001610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B26001614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D26001866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D25019107</v>
          </cell>
          <cell r="AP1013">
            <v>0</v>
          </cell>
          <cell r="AQ1013">
            <v>0</v>
          </cell>
          <cell r="AV1013">
            <v>3840000</v>
          </cell>
        </row>
        <row r="1014">
          <cell r="E1014" t="str">
            <v>B25016648</v>
          </cell>
          <cell r="AP1014">
            <v>0</v>
          </cell>
          <cell r="AQ1014">
            <v>0</v>
          </cell>
          <cell r="AV1014">
            <v>3870000</v>
          </cell>
        </row>
        <row r="1015">
          <cell r="E1015" t="str">
            <v>B26000184</v>
          </cell>
          <cell r="AP1015">
            <v>0</v>
          </cell>
          <cell r="AQ1015">
            <v>0</v>
          </cell>
          <cell r="AV1015">
            <v>2300000</v>
          </cell>
        </row>
        <row r="1016">
          <cell r="E1016" t="str">
            <v>B26000185</v>
          </cell>
          <cell r="AP1016">
            <v>0</v>
          </cell>
          <cell r="AQ1016">
            <v>0</v>
          </cell>
          <cell r="AV1016">
            <v>0</v>
          </cell>
        </row>
        <row r="1017">
          <cell r="E1017" t="str">
            <v>D26000879</v>
          </cell>
          <cell r="AP1017">
            <v>0</v>
          </cell>
          <cell r="AQ1017">
            <v>0</v>
          </cell>
          <cell r="AV1017">
            <v>0</v>
          </cell>
        </row>
        <row r="1018">
          <cell r="E1018" t="str">
            <v>D26000880</v>
          </cell>
          <cell r="AP1018">
            <v>0</v>
          </cell>
          <cell r="AQ1018">
            <v>0</v>
          </cell>
          <cell r="AV1018">
            <v>0</v>
          </cell>
        </row>
        <row r="1019">
          <cell r="E1019" t="str">
            <v>B26000837</v>
          </cell>
          <cell r="AP1019">
            <v>0</v>
          </cell>
          <cell r="AQ1019">
            <v>0</v>
          </cell>
          <cell r="AV1019">
            <v>0</v>
          </cell>
        </row>
        <row r="1020">
          <cell r="E1020" t="str">
            <v>D26001174</v>
          </cell>
          <cell r="AP1020">
            <v>0</v>
          </cell>
          <cell r="AQ1020">
            <v>0</v>
          </cell>
          <cell r="AV1020">
            <v>0</v>
          </cell>
        </row>
        <row r="1021">
          <cell r="E1021" t="str">
            <v>D26001179</v>
          </cell>
          <cell r="AP1021">
            <v>0</v>
          </cell>
          <cell r="AQ1021">
            <v>0</v>
          </cell>
          <cell r="AV1021">
            <v>0</v>
          </cell>
        </row>
        <row r="1022">
          <cell r="E1022" t="str">
            <v>N26000012</v>
          </cell>
          <cell r="AP1022">
            <v>0</v>
          </cell>
          <cell r="AQ1022">
            <v>0</v>
          </cell>
          <cell r="AV1022">
            <v>0</v>
          </cell>
        </row>
        <row r="1023">
          <cell r="E1023" t="str">
            <v>B26001346</v>
          </cell>
          <cell r="AP1023">
            <v>0</v>
          </cell>
          <cell r="AQ1023">
            <v>0</v>
          </cell>
          <cell r="AV1023">
            <v>0</v>
          </cell>
        </row>
        <row r="1024">
          <cell r="E1024" t="str">
            <v>B26001347</v>
          </cell>
          <cell r="AP1024">
            <v>0</v>
          </cell>
          <cell r="AQ1024">
            <v>0</v>
          </cell>
          <cell r="AV1024">
            <v>0</v>
          </cell>
        </row>
        <row r="1025">
          <cell r="E1025" t="str">
            <v>B26001497</v>
          </cell>
          <cell r="AP1025">
            <v>0</v>
          </cell>
          <cell r="AQ1025">
            <v>0</v>
          </cell>
          <cell r="AV1025">
            <v>0</v>
          </cell>
        </row>
        <row r="1026">
          <cell r="E1026" t="str">
            <v>B26001498</v>
          </cell>
          <cell r="AP1026">
            <v>0</v>
          </cell>
          <cell r="AQ1026">
            <v>0</v>
          </cell>
          <cell r="AV1026">
            <v>0</v>
          </cell>
        </row>
        <row r="1027">
          <cell r="E1027" t="str">
            <v>B26001510</v>
          </cell>
          <cell r="AP1027">
            <v>0</v>
          </cell>
          <cell r="AQ1027">
            <v>0</v>
          </cell>
          <cell r="AV1027">
            <v>0</v>
          </cell>
        </row>
        <row r="1028">
          <cell r="E1028" t="str">
            <v>B26001511</v>
          </cell>
          <cell r="AP1028">
            <v>0</v>
          </cell>
          <cell r="AQ1028">
            <v>0</v>
          </cell>
          <cell r="AV1028">
            <v>0</v>
          </cell>
        </row>
        <row r="1029">
          <cell r="E1029" t="str">
            <v>D26000760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D26000761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 t="str">
            <v>D26000762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D26001498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D26001843</v>
          </cell>
          <cell r="AP1033">
            <v>0</v>
          </cell>
          <cell r="AQ1033">
            <v>0</v>
          </cell>
          <cell r="AV1033">
            <v>0</v>
          </cell>
        </row>
        <row r="1034">
          <cell r="E1034" t="str">
            <v>B26000813</v>
          </cell>
          <cell r="AP1034">
            <v>0</v>
          </cell>
          <cell r="AQ1034">
            <v>0</v>
          </cell>
          <cell r="AV1034">
            <v>0</v>
          </cell>
        </row>
        <row r="1035">
          <cell r="E1035" t="str">
            <v>B25014453</v>
          </cell>
          <cell r="AP1035">
            <v>0</v>
          </cell>
          <cell r="AQ1035">
            <v>0</v>
          </cell>
          <cell r="AV1035">
            <v>5670000</v>
          </cell>
        </row>
        <row r="1036">
          <cell r="E1036" t="str">
            <v>B25014483</v>
          </cell>
          <cell r="AP1036">
            <v>0</v>
          </cell>
          <cell r="AQ1036">
            <v>0</v>
          </cell>
          <cell r="AV1036">
            <v>4176000</v>
          </cell>
        </row>
        <row r="1037">
          <cell r="E1037" t="str">
            <v>B25014673</v>
          </cell>
          <cell r="AP1037">
            <v>0</v>
          </cell>
          <cell r="AQ1037">
            <v>0</v>
          </cell>
          <cell r="AV1037">
            <v>2125000</v>
          </cell>
        </row>
        <row r="1038">
          <cell r="E1038" t="str">
            <v>D25017473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B25015740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D25018146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B25016419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D25018985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D25018994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B26000198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B26000496</v>
          </cell>
          <cell r="AP1045">
            <v>0</v>
          </cell>
          <cell r="AQ1045">
            <v>0</v>
          </cell>
          <cell r="AV1045">
            <v>0</v>
          </cell>
        </row>
        <row r="1046">
          <cell r="E1046" t="str">
            <v>B26000914</v>
          </cell>
          <cell r="AP1046">
            <v>0</v>
          </cell>
          <cell r="AQ1046">
            <v>0</v>
          </cell>
          <cell r="AV1046">
            <v>0</v>
          </cell>
        </row>
        <row r="1047">
          <cell r="E1047" t="str">
            <v>B26001150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D26001233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>
            <v>260009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B26001762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D26001862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T26000032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B26001687</v>
          </cell>
          <cell r="AP1053">
            <v>0</v>
          </cell>
          <cell r="AQ1053">
            <v>0</v>
          </cell>
          <cell r="AV1053">
            <v>0</v>
          </cell>
        </row>
        <row r="1054">
          <cell r="E1054" t="str">
            <v>D26000502</v>
          </cell>
          <cell r="AP1054">
            <v>0</v>
          </cell>
          <cell r="AQ1054">
            <v>0</v>
          </cell>
          <cell r="AV1054">
            <v>0</v>
          </cell>
        </row>
        <row r="1055">
          <cell r="E1055" t="str">
            <v>D26001038</v>
          </cell>
          <cell r="AP1055">
            <v>0</v>
          </cell>
          <cell r="AQ1055">
            <v>0</v>
          </cell>
          <cell r="AV1055">
            <v>0</v>
          </cell>
        </row>
        <row r="1056">
          <cell r="E1056" t="str">
            <v>B26001445</v>
          </cell>
          <cell r="AP1056">
            <v>0</v>
          </cell>
          <cell r="AQ1056">
            <v>0</v>
          </cell>
          <cell r="AV1056">
            <v>0</v>
          </cell>
        </row>
        <row r="1057">
          <cell r="E1057" t="str">
            <v>B26001808</v>
          </cell>
          <cell r="AP1057">
            <v>0</v>
          </cell>
          <cell r="AQ1057">
            <v>0</v>
          </cell>
          <cell r="AV1057">
            <v>0</v>
          </cell>
        </row>
        <row r="1058">
          <cell r="E1058" t="str">
            <v>D26001947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B26001533</v>
          </cell>
          <cell r="AP1059">
            <v>0</v>
          </cell>
          <cell r="AQ1059">
            <v>0</v>
          </cell>
          <cell r="AV1059">
            <v>10600000</v>
          </cell>
        </row>
        <row r="1060">
          <cell r="E1060" t="str">
            <v>B26001676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D26001610</v>
          </cell>
          <cell r="AP1061">
            <v>0</v>
          </cell>
          <cell r="AQ1061">
            <v>0</v>
          </cell>
          <cell r="AV1061">
            <v>0</v>
          </cell>
        </row>
        <row r="1062">
          <cell r="E1062" t="str">
            <v>D25017170</v>
          </cell>
          <cell r="AP1062">
            <v>0</v>
          </cell>
          <cell r="AQ1062">
            <v>0</v>
          </cell>
          <cell r="AV1062">
            <v>0</v>
          </cell>
        </row>
        <row r="1063">
          <cell r="E1063" t="str">
            <v>D25019292</v>
          </cell>
          <cell r="AP1063">
            <v>0</v>
          </cell>
          <cell r="AQ1063">
            <v>0</v>
          </cell>
          <cell r="AV1063">
            <v>0</v>
          </cell>
        </row>
        <row r="1064">
          <cell r="E1064" t="str">
            <v>B26001825</v>
          </cell>
          <cell r="AP1064">
            <v>0</v>
          </cell>
          <cell r="AQ1064">
            <v>0</v>
          </cell>
          <cell r="AV1064">
            <v>12300000</v>
          </cell>
        </row>
        <row r="1065">
          <cell r="E1065" t="str">
            <v>B25016822</v>
          </cell>
          <cell r="AP1065">
            <v>0</v>
          </cell>
          <cell r="AQ1065">
            <v>0</v>
          </cell>
          <cell r="AV1065">
            <v>13700000</v>
          </cell>
        </row>
        <row r="1066">
          <cell r="E1066" t="str">
            <v>D25019508</v>
          </cell>
          <cell r="AP1066">
            <v>0</v>
          </cell>
          <cell r="AQ1066">
            <v>0</v>
          </cell>
          <cell r="AV1066">
            <v>8175000</v>
          </cell>
        </row>
        <row r="1067">
          <cell r="E1067" t="str">
            <v>D25019509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D25019536</v>
          </cell>
          <cell r="AP1068">
            <v>0</v>
          </cell>
          <cell r="AQ1068">
            <v>0</v>
          </cell>
          <cell r="AV1068">
            <v>0</v>
          </cell>
        </row>
        <row r="1069">
          <cell r="E1069" t="str">
            <v>B26000207</v>
          </cell>
          <cell r="AP1069">
            <v>0</v>
          </cell>
          <cell r="AQ1069">
            <v>0</v>
          </cell>
          <cell r="AV1069">
            <v>6247500</v>
          </cell>
        </row>
        <row r="1070">
          <cell r="E1070" t="str">
            <v>D26000233</v>
          </cell>
          <cell r="AP1070">
            <v>0</v>
          </cell>
          <cell r="AQ1070">
            <v>0</v>
          </cell>
          <cell r="AV1070">
            <v>8550000</v>
          </cell>
        </row>
        <row r="1071">
          <cell r="E1071" t="str">
            <v>D26000637</v>
          </cell>
          <cell r="AP1071">
            <v>0</v>
          </cell>
          <cell r="AQ1071">
            <v>0</v>
          </cell>
          <cell r="AV1071">
            <v>0</v>
          </cell>
        </row>
        <row r="1072">
          <cell r="E1072" t="str">
            <v>B26001031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B26001189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D26001514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D26001807</v>
          </cell>
          <cell r="AP1075">
            <v>0</v>
          </cell>
          <cell r="AQ1075">
            <v>0</v>
          </cell>
          <cell r="AV1075">
            <v>0</v>
          </cell>
        </row>
        <row r="1076">
          <cell r="E1076" t="str">
            <v>D26001930</v>
          </cell>
          <cell r="AP1076">
            <v>0</v>
          </cell>
          <cell r="AQ1076">
            <v>0</v>
          </cell>
          <cell r="AV1076">
            <v>0</v>
          </cell>
        </row>
        <row r="1077">
          <cell r="E1077" t="str">
            <v>B26001882</v>
          </cell>
          <cell r="AP1077">
            <v>0</v>
          </cell>
          <cell r="AQ1077">
            <v>0</v>
          </cell>
          <cell r="AV1077">
            <v>0</v>
          </cell>
        </row>
        <row r="1078">
          <cell r="E1078" t="str">
            <v>D26001999</v>
          </cell>
          <cell r="AP1078">
            <v>0</v>
          </cell>
          <cell r="AQ1078">
            <v>0</v>
          </cell>
          <cell r="AV1078">
            <v>0</v>
          </cell>
        </row>
        <row r="1079">
          <cell r="E1079" t="str">
            <v>D25018470</v>
          </cell>
          <cell r="AP1079">
            <v>0</v>
          </cell>
          <cell r="AQ1079">
            <v>0</v>
          </cell>
          <cell r="AV1079">
            <v>0</v>
          </cell>
        </row>
        <row r="1080">
          <cell r="E1080" t="str">
            <v>B25016647</v>
          </cell>
          <cell r="AP1080">
            <v>0</v>
          </cell>
          <cell r="AQ1080">
            <v>0</v>
          </cell>
          <cell r="AV1080">
            <v>63560000</v>
          </cell>
        </row>
        <row r="1081">
          <cell r="E1081" t="str">
            <v>D25019502</v>
          </cell>
          <cell r="AP1081">
            <v>0</v>
          </cell>
          <cell r="AQ1081">
            <v>0</v>
          </cell>
          <cell r="AV1081">
            <v>0</v>
          </cell>
        </row>
        <row r="1082">
          <cell r="E1082" t="str">
            <v>D26000303</v>
          </cell>
          <cell r="AP1082">
            <v>0</v>
          </cell>
          <cell r="AQ1082">
            <v>0</v>
          </cell>
          <cell r="AV1082">
            <v>0</v>
          </cell>
        </row>
        <row r="1083">
          <cell r="E1083" t="str">
            <v>B26001524</v>
          </cell>
          <cell r="AP1083">
            <v>0</v>
          </cell>
          <cell r="AQ1083">
            <v>0</v>
          </cell>
          <cell r="AV1083">
            <v>0</v>
          </cell>
        </row>
        <row r="1084">
          <cell r="E1084" t="str">
            <v>B25017124</v>
          </cell>
          <cell r="AP1084">
            <v>0</v>
          </cell>
          <cell r="AQ1084">
            <v>0</v>
          </cell>
          <cell r="AV1084">
            <v>2250000</v>
          </cell>
        </row>
        <row r="1085">
          <cell r="E1085" t="str">
            <v>B25017145</v>
          </cell>
          <cell r="AP1085">
            <v>0</v>
          </cell>
          <cell r="AQ1085">
            <v>0</v>
          </cell>
          <cell r="AV1085">
            <v>6295000</v>
          </cell>
        </row>
        <row r="1086">
          <cell r="E1086" t="str">
            <v>B26000008</v>
          </cell>
          <cell r="AP1086">
            <v>0</v>
          </cell>
          <cell r="AQ1086">
            <v>0</v>
          </cell>
          <cell r="AV1086">
            <v>33200000</v>
          </cell>
        </row>
        <row r="1087">
          <cell r="E1087" t="str">
            <v>D26000289</v>
          </cell>
          <cell r="AP1087">
            <v>0</v>
          </cell>
          <cell r="AQ1087">
            <v>0</v>
          </cell>
          <cell r="AV1087">
            <v>0</v>
          </cell>
        </row>
        <row r="1088">
          <cell r="E1088" t="str">
            <v>B26000304</v>
          </cell>
          <cell r="AP1088">
            <v>0</v>
          </cell>
          <cell r="AQ1088">
            <v>0</v>
          </cell>
          <cell r="AV1088">
            <v>0</v>
          </cell>
        </row>
        <row r="1089">
          <cell r="E1089" t="str">
            <v>D26000338</v>
          </cell>
          <cell r="AP1089">
            <v>0</v>
          </cell>
          <cell r="AQ1089">
            <v>0</v>
          </cell>
          <cell r="AV1089">
            <v>0</v>
          </cell>
        </row>
        <row r="1090">
          <cell r="E1090" t="str">
            <v>B26000350</v>
          </cell>
          <cell r="AP1090">
            <v>0</v>
          </cell>
          <cell r="AQ1090">
            <v>0</v>
          </cell>
          <cell r="AV1090">
            <v>0</v>
          </cell>
        </row>
        <row r="1091">
          <cell r="E1091" t="str">
            <v>D26000423</v>
          </cell>
          <cell r="AP1091">
            <v>0</v>
          </cell>
          <cell r="AQ1091">
            <v>0</v>
          </cell>
          <cell r="AV1091">
            <v>0</v>
          </cell>
        </row>
        <row r="1092">
          <cell r="E1092" t="str">
            <v>B26000521</v>
          </cell>
          <cell r="AP1092">
            <v>0</v>
          </cell>
          <cell r="AQ1092">
            <v>0</v>
          </cell>
          <cell r="AV1092">
            <v>0</v>
          </cell>
        </row>
        <row r="1093">
          <cell r="E1093" t="str">
            <v>D26000613</v>
          </cell>
          <cell r="AP1093">
            <v>0</v>
          </cell>
          <cell r="AQ1093">
            <v>0</v>
          </cell>
          <cell r="AV1093">
            <v>0</v>
          </cell>
        </row>
        <row r="1094">
          <cell r="E1094" t="str">
            <v>D26000676</v>
          </cell>
          <cell r="AP1094">
            <v>0</v>
          </cell>
          <cell r="AQ1094">
            <v>0</v>
          </cell>
          <cell r="AV1094">
            <v>0</v>
          </cell>
        </row>
        <row r="1095">
          <cell r="E1095" t="str">
            <v>B26000650</v>
          </cell>
          <cell r="AP1095">
            <v>0</v>
          </cell>
          <cell r="AQ1095">
            <v>0</v>
          </cell>
          <cell r="AV1095">
            <v>0</v>
          </cell>
        </row>
        <row r="1096">
          <cell r="E1096" t="str">
            <v>D26000713</v>
          </cell>
          <cell r="AP1096">
            <v>0</v>
          </cell>
          <cell r="AQ1096">
            <v>0</v>
          </cell>
          <cell r="AV1096">
            <v>0</v>
          </cell>
        </row>
        <row r="1097">
          <cell r="E1097" t="str">
            <v>B26000691</v>
          </cell>
          <cell r="AP1097">
            <v>0</v>
          </cell>
          <cell r="AQ1097">
            <v>0</v>
          </cell>
          <cell r="AV1097">
            <v>0</v>
          </cell>
        </row>
        <row r="1098">
          <cell r="E1098" t="str">
            <v>D26000969</v>
          </cell>
          <cell r="AP1098">
            <v>0</v>
          </cell>
          <cell r="AQ1098">
            <v>0</v>
          </cell>
          <cell r="AV1098">
            <v>0</v>
          </cell>
        </row>
        <row r="1099">
          <cell r="E1099" t="str">
            <v>B26001006</v>
          </cell>
          <cell r="AP1099">
            <v>0</v>
          </cell>
          <cell r="AQ1099">
            <v>0</v>
          </cell>
          <cell r="AV1099">
            <v>0</v>
          </cell>
        </row>
        <row r="1100">
          <cell r="E1100" t="str">
            <v>D26001232</v>
          </cell>
          <cell r="AP1100">
            <v>0</v>
          </cell>
          <cell r="AQ1100">
            <v>0</v>
          </cell>
          <cell r="AV1100">
            <v>0</v>
          </cell>
        </row>
        <row r="1101">
          <cell r="E1101" t="str">
            <v>B26001216</v>
          </cell>
          <cell r="AP1101">
            <v>0</v>
          </cell>
          <cell r="AQ1101">
            <v>0</v>
          </cell>
          <cell r="AV1101">
            <v>0</v>
          </cell>
        </row>
        <row r="1102">
          <cell r="E1102" t="str">
            <v>D26001299</v>
          </cell>
          <cell r="AP1102">
            <v>0</v>
          </cell>
          <cell r="AQ1102">
            <v>0</v>
          </cell>
          <cell r="AV1102">
            <v>0</v>
          </cell>
        </row>
        <row r="1103">
          <cell r="E1103" t="str">
            <v>D26001337</v>
          </cell>
          <cell r="AP1103">
            <v>0</v>
          </cell>
          <cell r="AQ1103">
            <v>0</v>
          </cell>
          <cell r="AV1103">
            <v>0</v>
          </cell>
        </row>
        <row r="1104">
          <cell r="E1104" t="str">
            <v>B26001267</v>
          </cell>
          <cell r="AP1104">
            <v>0</v>
          </cell>
          <cell r="AQ1104">
            <v>0</v>
          </cell>
          <cell r="AV1104">
            <v>0</v>
          </cell>
        </row>
        <row r="1105">
          <cell r="E1105" t="str">
            <v>B26001268</v>
          </cell>
          <cell r="AP1105">
            <v>0</v>
          </cell>
          <cell r="AQ1105">
            <v>0</v>
          </cell>
          <cell r="AV1105">
            <v>0</v>
          </cell>
        </row>
        <row r="1106">
          <cell r="E1106" t="str">
            <v>B26001299</v>
          </cell>
          <cell r="AP1106">
            <v>0</v>
          </cell>
          <cell r="AQ1106">
            <v>0</v>
          </cell>
          <cell r="AV1106">
            <v>0</v>
          </cell>
        </row>
        <row r="1107">
          <cell r="E1107" t="str">
            <v>D26001358</v>
          </cell>
          <cell r="AP1107">
            <v>0</v>
          </cell>
          <cell r="AQ1107">
            <v>0</v>
          </cell>
          <cell r="AV1107">
            <v>0</v>
          </cell>
        </row>
        <row r="1108">
          <cell r="E1108" t="str">
            <v>B26001381</v>
          </cell>
          <cell r="AP1108">
            <v>0</v>
          </cell>
          <cell r="AQ1108">
            <v>0</v>
          </cell>
          <cell r="AV1108">
            <v>0</v>
          </cell>
        </row>
        <row r="1109">
          <cell r="E1109" t="str">
            <v>D26001538</v>
          </cell>
          <cell r="AP1109">
            <v>0</v>
          </cell>
          <cell r="AQ1109">
            <v>0</v>
          </cell>
          <cell r="AV1109">
            <v>0</v>
          </cell>
        </row>
        <row r="1110">
          <cell r="E1110" t="str">
            <v>B26001588</v>
          </cell>
          <cell r="AP1110">
            <v>0</v>
          </cell>
          <cell r="AQ1110">
            <v>0</v>
          </cell>
          <cell r="AV1110">
            <v>10640000</v>
          </cell>
        </row>
        <row r="1111">
          <cell r="E1111" t="str">
            <v>B26001589</v>
          </cell>
          <cell r="AP1111">
            <v>0</v>
          </cell>
          <cell r="AQ1111">
            <v>0</v>
          </cell>
          <cell r="AV1111">
            <v>51250000</v>
          </cell>
        </row>
        <row r="1112">
          <cell r="E1112" t="str">
            <v>B26001761</v>
          </cell>
          <cell r="AP1112">
            <v>0</v>
          </cell>
          <cell r="AQ1112">
            <v>0</v>
          </cell>
          <cell r="AV1112">
            <v>0</v>
          </cell>
        </row>
        <row r="1113">
          <cell r="E1113" t="str">
            <v>D26001949</v>
          </cell>
          <cell r="AP1113">
            <v>0</v>
          </cell>
          <cell r="AQ1113">
            <v>0</v>
          </cell>
          <cell r="AV1113">
            <v>0</v>
          </cell>
        </row>
        <row r="1114">
          <cell r="E1114" t="str">
            <v>B26001943</v>
          </cell>
          <cell r="AP1114">
            <v>0</v>
          </cell>
          <cell r="AQ1114">
            <v>0</v>
          </cell>
          <cell r="AV1114">
            <v>0</v>
          </cell>
        </row>
        <row r="1115">
          <cell r="E1115" t="str">
            <v>T25001779</v>
          </cell>
          <cell r="AP1115">
            <v>0</v>
          </cell>
          <cell r="AQ1115">
            <v>0</v>
          </cell>
          <cell r="AV1115">
            <v>0</v>
          </cell>
        </row>
        <row r="1116">
          <cell r="E1116" t="str">
            <v>D25018317</v>
          </cell>
          <cell r="AP1116">
            <v>0</v>
          </cell>
          <cell r="AQ1116">
            <v>0</v>
          </cell>
          <cell r="AV1116">
            <v>10000000</v>
          </cell>
        </row>
        <row r="1117">
          <cell r="E1117" t="str">
            <v>D25018317</v>
          </cell>
          <cell r="AP1117">
            <v>0</v>
          </cell>
          <cell r="AQ1117">
            <v>0</v>
          </cell>
          <cell r="AV1117">
            <v>10000000</v>
          </cell>
        </row>
        <row r="1118">
          <cell r="E1118" t="str">
            <v>D25018318</v>
          </cell>
          <cell r="AP1118">
            <v>0</v>
          </cell>
          <cell r="AQ1118">
            <v>0</v>
          </cell>
          <cell r="AV1118">
            <v>0</v>
          </cell>
        </row>
        <row r="1119">
          <cell r="E1119" t="str">
            <v>D25018319</v>
          </cell>
          <cell r="AP1119">
            <v>0</v>
          </cell>
          <cell r="AQ1119">
            <v>0</v>
          </cell>
          <cell r="AV1119">
            <v>12940000</v>
          </cell>
        </row>
        <row r="1120">
          <cell r="E1120" t="str">
            <v>D25018403</v>
          </cell>
          <cell r="AP1120">
            <v>0</v>
          </cell>
          <cell r="AQ1120">
            <v>0</v>
          </cell>
          <cell r="AV1120">
            <v>0</v>
          </cell>
        </row>
        <row r="1121">
          <cell r="E1121" t="str">
            <v>B25016132</v>
          </cell>
          <cell r="AP1121">
            <v>0</v>
          </cell>
          <cell r="AQ1121">
            <v>0</v>
          </cell>
          <cell r="AV1121">
            <v>0</v>
          </cell>
        </row>
        <row r="1122">
          <cell r="E1122" t="str">
            <v>B25016149</v>
          </cell>
          <cell r="AP1122">
            <v>0</v>
          </cell>
          <cell r="AQ1122">
            <v>0</v>
          </cell>
          <cell r="AV1122">
            <v>0</v>
          </cell>
        </row>
        <row r="1123">
          <cell r="E1123" t="str">
            <v>B25016153</v>
          </cell>
          <cell r="AP1123">
            <v>0</v>
          </cell>
          <cell r="AQ1123">
            <v>0</v>
          </cell>
          <cell r="AV1123">
            <v>0</v>
          </cell>
        </row>
        <row r="1124">
          <cell r="E1124" t="str">
            <v>D25018608</v>
          </cell>
          <cell r="AP1124">
            <v>0</v>
          </cell>
          <cell r="AQ1124">
            <v>0</v>
          </cell>
          <cell r="AV1124">
            <v>0</v>
          </cell>
        </row>
        <row r="1125">
          <cell r="E1125" t="str">
            <v>D25018693</v>
          </cell>
          <cell r="AP1125">
            <v>0</v>
          </cell>
          <cell r="AQ1125">
            <v>0</v>
          </cell>
          <cell r="AV1125">
            <v>0</v>
          </cell>
        </row>
        <row r="1126">
          <cell r="E1126" t="str">
            <v>D25018794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D25018795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B25016609</v>
          </cell>
          <cell r="AP1128">
            <v>0</v>
          </cell>
          <cell r="AQ1128">
            <v>0</v>
          </cell>
          <cell r="AV1128">
            <v>0</v>
          </cell>
        </row>
        <row r="1129">
          <cell r="E1129" t="str">
            <v>B25016637</v>
          </cell>
          <cell r="AP1129">
            <v>0</v>
          </cell>
          <cell r="AQ1129">
            <v>0</v>
          </cell>
          <cell r="AV1129">
            <v>0</v>
          </cell>
        </row>
        <row r="1130">
          <cell r="E1130" t="str">
            <v>D25019217</v>
          </cell>
          <cell r="AP1130">
            <v>0</v>
          </cell>
          <cell r="AQ1130">
            <v>0</v>
          </cell>
          <cell r="AV1130">
            <v>0</v>
          </cell>
        </row>
        <row r="1131">
          <cell r="E1131" t="str">
            <v>B25016896</v>
          </cell>
          <cell r="AP1131">
            <v>0</v>
          </cell>
          <cell r="AQ1131">
            <v>0</v>
          </cell>
          <cell r="AV1131">
            <v>0</v>
          </cell>
        </row>
        <row r="1132">
          <cell r="E1132" t="str">
            <v>B25016897</v>
          </cell>
          <cell r="AP1132">
            <v>0</v>
          </cell>
          <cell r="AQ1132">
            <v>0</v>
          </cell>
          <cell r="AV1132">
            <v>0</v>
          </cell>
        </row>
        <row r="1133">
          <cell r="E1133" t="str">
            <v>B25017070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D26000070</v>
          </cell>
          <cell r="AP1134">
            <v>0</v>
          </cell>
          <cell r="AQ1134">
            <v>0</v>
          </cell>
          <cell r="AV1134">
            <v>0</v>
          </cell>
        </row>
        <row r="1135">
          <cell r="E1135" t="str">
            <v>D26000171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B26000275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B26000391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D26000687</v>
          </cell>
          <cell r="AP1138">
            <v>0</v>
          </cell>
          <cell r="AQ1138">
            <v>0</v>
          </cell>
          <cell r="AV1138">
            <v>0</v>
          </cell>
        </row>
        <row r="1139">
          <cell r="E1139" t="str">
            <v>B26000720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B26000748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B26000776</v>
          </cell>
          <cell r="AP1141">
            <v>0</v>
          </cell>
          <cell r="AQ1141">
            <v>0</v>
          </cell>
          <cell r="AV1141">
            <v>0</v>
          </cell>
        </row>
        <row r="1142">
          <cell r="E1142" t="str">
            <v>B26000866</v>
          </cell>
          <cell r="AP1142">
            <v>0</v>
          </cell>
          <cell r="AQ1142">
            <v>0</v>
          </cell>
          <cell r="AV1142">
            <v>0</v>
          </cell>
        </row>
        <row r="1143">
          <cell r="E1143" t="str">
            <v>D26000946</v>
          </cell>
          <cell r="AP1143">
            <v>0</v>
          </cell>
          <cell r="AQ1143">
            <v>0</v>
          </cell>
          <cell r="AV1143">
            <v>0</v>
          </cell>
        </row>
        <row r="1144">
          <cell r="E1144" t="str">
            <v>B26001227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B26001240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B26001285</v>
          </cell>
          <cell r="AP1146">
            <v>0</v>
          </cell>
          <cell r="AQ1146">
            <v>0</v>
          </cell>
          <cell r="AV1146">
            <v>0</v>
          </cell>
        </row>
        <row r="1147">
          <cell r="E1147" t="str">
            <v>D26001403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B26001463</v>
          </cell>
          <cell r="AP1148">
            <v>0</v>
          </cell>
          <cell r="AQ1148">
            <v>0</v>
          </cell>
          <cell r="AV1148">
            <v>0</v>
          </cell>
        </row>
        <row r="1149">
          <cell r="E1149" t="str">
            <v>D26001691</v>
          </cell>
          <cell r="AP1149">
            <v>0</v>
          </cell>
          <cell r="AQ1149">
            <v>0</v>
          </cell>
          <cell r="AV1149">
            <v>0</v>
          </cell>
        </row>
        <row r="1150">
          <cell r="E1150" t="str">
            <v>B26001656</v>
          </cell>
          <cell r="AP1150">
            <v>0</v>
          </cell>
          <cell r="AQ1150">
            <v>0</v>
          </cell>
          <cell r="AV1150">
            <v>0</v>
          </cell>
        </row>
        <row r="1151">
          <cell r="E1151" t="str">
            <v>D26001777</v>
          </cell>
          <cell r="AP1151">
            <v>0</v>
          </cell>
          <cell r="AQ1151">
            <v>0</v>
          </cell>
          <cell r="AV1151">
            <v>9950000</v>
          </cell>
        </row>
        <row r="1152">
          <cell r="E1152" t="str">
            <v>D26001780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B26001768</v>
          </cell>
          <cell r="AP1153">
            <v>0</v>
          </cell>
          <cell r="AQ1153">
            <v>0</v>
          </cell>
          <cell r="AV1153">
            <v>0</v>
          </cell>
        </row>
        <row r="1154">
          <cell r="E1154" t="str">
            <v>B26001184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B26000060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B26001103</v>
          </cell>
          <cell r="AP1156">
            <v>0</v>
          </cell>
          <cell r="AQ1156">
            <v>0</v>
          </cell>
          <cell r="AV1156">
            <v>0</v>
          </cell>
        </row>
        <row r="1157">
          <cell r="E1157" t="str">
            <v>D25017204</v>
          </cell>
          <cell r="AP1157">
            <v>0</v>
          </cell>
          <cell r="AQ1157">
            <v>0</v>
          </cell>
          <cell r="AV1157">
            <v>0</v>
          </cell>
        </row>
        <row r="1158">
          <cell r="E1158" t="str">
            <v>D25017712</v>
          </cell>
          <cell r="AP1158">
            <v>0</v>
          </cell>
          <cell r="AQ1158">
            <v>0</v>
          </cell>
          <cell r="AV1158">
            <v>0</v>
          </cell>
        </row>
        <row r="1159">
          <cell r="E1159" t="str">
            <v>B26000012</v>
          </cell>
          <cell r="AP1159">
            <v>0</v>
          </cell>
          <cell r="AQ1159">
            <v>0</v>
          </cell>
          <cell r="AV1159">
            <v>0</v>
          </cell>
        </row>
        <row r="1160">
          <cell r="E1160" t="str">
            <v>B26000534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B26000987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B26001168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B25017072</v>
          </cell>
          <cell r="AP1163">
            <v>0</v>
          </cell>
          <cell r="AQ1163">
            <v>0</v>
          </cell>
          <cell r="AV1163">
            <v>12360000</v>
          </cell>
        </row>
        <row r="1164">
          <cell r="E1164" t="str">
            <v>B26000003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D26000452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D25019430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B25017010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B25017011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D26000137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 t="str">
            <v>B26000438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B26000439</v>
          </cell>
          <cell r="AP1171">
            <v>0</v>
          </cell>
          <cell r="AQ1171">
            <v>0</v>
          </cell>
          <cell r="AV1171">
            <v>0</v>
          </cell>
        </row>
        <row r="1172">
          <cell r="E1172" t="str">
            <v>B26000442</v>
          </cell>
          <cell r="AP1172">
            <v>0</v>
          </cell>
          <cell r="AQ1172">
            <v>0</v>
          </cell>
          <cell r="AV1172">
            <v>0</v>
          </cell>
        </row>
        <row r="1173">
          <cell r="E1173" t="str">
            <v>B26000445</v>
          </cell>
          <cell r="AP1173">
            <v>0</v>
          </cell>
          <cell r="AQ1173">
            <v>0</v>
          </cell>
          <cell r="AV1173">
            <v>0</v>
          </cell>
        </row>
        <row r="1174">
          <cell r="E1174" t="str">
            <v>D26000696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D26000698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D26001126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B26001124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B26001126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B26001128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D26001529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D26002061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D26002062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D25011387</v>
          </cell>
          <cell r="AP1183">
            <v>0</v>
          </cell>
          <cell r="AQ1183">
            <v>0</v>
          </cell>
          <cell r="AV1183">
            <v>50000000</v>
          </cell>
        </row>
        <row r="1184">
          <cell r="E1184" t="str">
            <v>B25009852</v>
          </cell>
          <cell r="AP1184">
            <v>0</v>
          </cell>
          <cell r="AQ1184">
            <v>0</v>
          </cell>
          <cell r="AV1184">
            <v>0</v>
          </cell>
        </row>
        <row r="1185">
          <cell r="E1185" t="str">
            <v>B25015251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D26000095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B26000435</v>
          </cell>
          <cell r="AP1187">
            <v>0</v>
          </cell>
          <cell r="AQ1187">
            <v>0</v>
          </cell>
          <cell r="AV1187">
            <v>0</v>
          </cell>
        </row>
        <row r="1188">
          <cell r="E1188" t="str">
            <v>B26000767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D26001251</v>
          </cell>
          <cell r="AP1189">
            <v>0</v>
          </cell>
          <cell r="AQ1189">
            <v>0</v>
          </cell>
          <cell r="AV1189">
            <v>0</v>
          </cell>
        </row>
        <row r="1190">
          <cell r="E1190" t="str">
            <v>D26001556</v>
          </cell>
          <cell r="AP1190">
            <v>0</v>
          </cell>
          <cell r="AQ1190">
            <v>0</v>
          </cell>
          <cell r="AV1190">
            <v>0</v>
          </cell>
        </row>
        <row r="1191">
          <cell r="E1191" t="str">
            <v>D26001557</v>
          </cell>
          <cell r="AP1191">
            <v>0</v>
          </cell>
          <cell r="AQ1191">
            <v>0</v>
          </cell>
          <cell r="AV1191">
            <v>0</v>
          </cell>
        </row>
        <row r="1192">
          <cell r="E1192" t="str">
            <v>B25015808</v>
          </cell>
          <cell r="AP1192">
            <v>0</v>
          </cell>
          <cell r="AQ1192">
            <v>0</v>
          </cell>
          <cell r="AV1192">
            <v>0</v>
          </cell>
        </row>
        <row r="1193">
          <cell r="E1193" t="str">
            <v>T25001794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D25018744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D25017893</v>
          </cell>
          <cell r="AP1195">
            <v>0</v>
          </cell>
          <cell r="AQ1195">
            <v>0</v>
          </cell>
          <cell r="AV1195">
            <v>1254750</v>
          </cell>
        </row>
        <row r="1196">
          <cell r="E1196" t="str">
            <v>B25015444</v>
          </cell>
          <cell r="AP1196">
            <v>0</v>
          </cell>
          <cell r="AQ1196">
            <v>0</v>
          </cell>
          <cell r="AV1196">
            <v>5100000</v>
          </cell>
        </row>
        <row r="1197">
          <cell r="E1197" t="str">
            <v>B25015958</v>
          </cell>
          <cell r="AP1197">
            <v>0</v>
          </cell>
          <cell r="AQ1197">
            <v>0</v>
          </cell>
          <cell r="AV1197">
            <v>8645250</v>
          </cell>
        </row>
        <row r="1198">
          <cell r="E1198" t="str">
            <v>B25015958</v>
          </cell>
          <cell r="AP1198">
            <v>0</v>
          </cell>
          <cell r="AQ1198">
            <v>0</v>
          </cell>
          <cell r="AV1198">
            <v>4294750</v>
          </cell>
        </row>
        <row r="1199">
          <cell r="E1199" t="str">
            <v>B25016375</v>
          </cell>
          <cell r="AP1199">
            <v>0</v>
          </cell>
          <cell r="AQ1199">
            <v>0</v>
          </cell>
          <cell r="AV1199">
            <v>2705250</v>
          </cell>
        </row>
        <row r="1200">
          <cell r="E1200" t="str">
            <v>B25016375</v>
          </cell>
          <cell r="AP1200">
            <v>0</v>
          </cell>
          <cell r="AQ1200">
            <v>0</v>
          </cell>
          <cell r="AV1200">
            <v>5000000</v>
          </cell>
        </row>
        <row r="1201">
          <cell r="E1201" t="str">
            <v>B25016838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D25019378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D26000090</v>
          </cell>
          <cell r="AP1203">
            <v>0</v>
          </cell>
          <cell r="AQ1203">
            <v>0</v>
          </cell>
          <cell r="AV1203">
            <v>0</v>
          </cell>
        </row>
        <row r="1204">
          <cell r="E1204" t="str">
            <v>B26001795</v>
          </cell>
          <cell r="AP1204">
            <v>0</v>
          </cell>
          <cell r="AQ1204">
            <v>0</v>
          </cell>
          <cell r="AV1204">
            <v>0</v>
          </cell>
        </row>
        <row r="1205">
          <cell r="E1205" t="str">
            <v>B26001820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D25019656</v>
          </cell>
          <cell r="AP1206">
            <v>0</v>
          </cell>
          <cell r="AQ1206">
            <v>0</v>
          </cell>
          <cell r="AV1206">
            <v>0</v>
          </cell>
        </row>
        <row r="1207">
          <cell r="E1207" t="str">
            <v>T25001564</v>
          </cell>
          <cell r="AP1207">
            <v>0</v>
          </cell>
          <cell r="AQ1207">
            <v>0</v>
          </cell>
          <cell r="AV1207">
            <v>0</v>
          </cell>
        </row>
        <row r="1208">
          <cell r="E1208" t="str">
            <v>B25013893</v>
          </cell>
          <cell r="AP1208">
            <v>0</v>
          </cell>
          <cell r="AQ1208">
            <v>0</v>
          </cell>
          <cell r="AV1208">
            <v>0</v>
          </cell>
        </row>
        <row r="1209">
          <cell r="E1209" t="str">
            <v>D25019014</v>
          </cell>
          <cell r="AP1209">
            <v>0</v>
          </cell>
          <cell r="AQ1209">
            <v>0</v>
          </cell>
          <cell r="AV1209">
            <v>0</v>
          </cell>
        </row>
        <row r="1210">
          <cell r="E1210" t="str">
            <v>D25019015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B26000176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B26000177</v>
          </cell>
          <cell r="AP1212">
            <v>0</v>
          </cell>
          <cell r="AQ1212">
            <v>0</v>
          </cell>
          <cell r="AV1212">
            <v>0</v>
          </cell>
        </row>
        <row r="1213">
          <cell r="E1213" t="str">
            <v>B26000178</v>
          </cell>
          <cell r="AP1213">
            <v>0</v>
          </cell>
          <cell r="AQ1213">
            <v>0</v>
          </cell>
          <cell r="AV1213">
            <v>0</v>
          </cell>
        </row>
        <row r="1214">
          <cell r="E1214" t="str">
            <v>D25015607</v>
          </cell>
          <cell r="AP1214">
            <v>896000</v>
          </cell>
          <cell r="AQ1214">
            <v>0</v>
          </cell>
          <cell r="AV1214">
            <v>0</v>
          </cell>
        </row>
        <row r="1215">
          <cell r="E1215" t="str">
            <v>D26001368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D26001543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D26001741</v>
          </cell>
          <cell r="AP1217">
            <v>0</v>
          </cell>
          <cell r="AQ1217">
            <v>0</v>
          </cell>
          <cell r="AV1217">
            <v>1687500</v>
          </cell>
        </row>
        <row r="1218">
          <cell r="E1218" t="str">
            <v>B25014546</v>
          </cell>
          <cell r="AP1218">
            <v>0</v>
          </cell>
          <cell r="AQ1218">
            <v>0</v>
          </cell>
          <cell r="AV1218">
            <v>775000</v>
          </cell>
        </row>
        <row r="1219">
          <cell r="E1219" t="str">
            <v>T25001672</v>
          </cell>
          <cell r="AP1219">
            <v>0</v>
          </cell>
          <cell r="AQ1219">
            <v>0</v>
          </cell>
          <cell r="AV1219">
            <v>1387500</v>
          </cell>
        </row>
        <row r="1220">
          <cell r="E1220">
            <v>260003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D26000243</v>
          </cell>
          <cell r="AP1221">
            <v>0</v>
          </cell>
          <cell r="AQ1221">
            <v>0</v>
          </cell>
          <cell r="AV1221">
            <v>2160000</v>
          </cell>
        </row>
        <row r="1222">
          <cell r="E1222" t="str">
            <v>D26000244</v>
          </cell>
          <cell r="AP1222">
            <v>0</v>
          </cell>
          <cell r="AQ1222">
            <v>0</v>
          </cell>
          <cell r="AV1222">
            <v>7100000</v>
          </cell>
        </row>
        <row r="1223">
          <cell r="E1223" t="str">
            <v>D26000246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D26000250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B26000089</v>
          </cell>
          <cell r="AP1225">
            <v>0</v>
          </cell>
          <cell r="AQ1225">
            <v>0</v>
          </cell>
          <cell r="AV1225">
            <v>21550000</v>
          </cell>
        </row>
        <row r="1226">
          <cell r="E1226" t="str">
            <v>D26000798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D26001265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D26001286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B25013863</v>
          </cell>
          <cell r="AP1229">
            <v>0</v>
          </cell>
          <cell r="AQ1229">
            <v>0</v>
          </cell>
          <cell r="AV1229">
            <v>21200000</v>
          </cell>
        </row>
        <row r="1230">
          <cell r="E1230" t="str">
            <v>B25014067</v>
          </cell>
          <cell r="AP1230">
            <v>0</v>
          </cell>
          <cell r="AQ1230">
            <v>0</v>
          </cell>
          <cell r="AV1230">
            <v>27000000</v>
          </cell>
        </row>
        <row r="1231">
          <cell r="E1231" t="str">
            <v>B25014858</v>
          </cell>
          <cell r="AP1231">
            <v>0</v>
          </cell>
          <cell r="AQ1231">
            <v>0</v>
          </cell>
          <cell r="AV1231">
            <v>9510000</v>
          </cell>
        </row>
        <row r="1232">
          <cell r="E1232" t="str">
            <v>D25019205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D26000957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D26001547</v>
          </cell>
          <cell r="AP1234">
            <v>0</v>
          </cell>
          <cell r="AQ1234">
            <v>0</v>
          </cell>
          <cell r="AV1234">
            <v>263400000</v>
          </cell>
        </row>
        <row r="1235">
          <cell r="E1235" t="str">
            <v>D26001547</v>
          </cell>
          <cell r="AP1235">
            <v>0</v>
          </cell>
          <cell r="AQ1235">
            <v>0</v>
          </cell>
          <cell r="AV1235">
            <v>1408000</v>
          </cell>
        </row>
        <row r="1236">
          <cell r="E1236" t="str">
            <v>D26001595</v>
          </cell>
          <cell r="AP1236">
            <v>0</v>
          </cell>
          <cell r="AQ1236">
            <v>0</v>
          </cell>
          <cell r="AV1236">
            <v>130000000</v>
          </cell>
        </row>
        <row r="1237">
          <cell r="E1237" t="str">
            <v>D26001774</v>
          </cell>
          <cell r="AP1237">
            <v>0</v>
          </cell>
          <cell r="AQ1237">
            <v>0</v>
          </cell>
          <cell r="AV1237">
            <v>756000000</v>
          </cell>
        </row>
        <row r="1238">
          <cell r="E1238" t="str">
            <v>D26001808</v>
          </cell>
          <cell r="AP1238">
            <v>0</v>
          </cell>
          <cell r="AQ1238">
            <v>0</v>
          </cell>
          <cell r="AV1238">
            <v>250000000</v>
          </cell>
        </row>
        <row r="1239">
          <cell r="E1239" t="str">
            <v>D26001868</v>
          </cell>
          <cell r="AP1239">
            <v>0</v>
          </cell>
          <cell r="AQ1239">
            <v>0</v>
          </cell>
          <cell r="AV1239">
            <v>0</v>
          </cell>
        </row>
        <row r="1240">
          <cell r="E1240" t="str">
            <v>D26001868</v>
          </cell>
          <cell r="AP1240">
            <v>0</v>
          </cell>
          <cell r="AQ1240">
            <v>0</v>
          </cell>
          <cell r="AV1240">
            <v>303500000</v>
          </cell>
        </row>
        <row r="1241">
          <cell r="E1241" t="str">
            <v>D26001868</v>
          </cell>
          <cell r="AP1241">
            <v>0</v>
          </cell>
          <cell r="AQ1241">
            <v>0</v>
          </cell>
          <cell r="AV1241">
            <v>400000000</v>
          </cell>
        </row>
        <row r="1242">
          <cell r="E1242" t="str">
            <v>D26001869</v>
          </cell>
          <cell r="AP1242">
            <v>0</v>
          </cell>
          <cell r="AQ1242">
            <v>0</v>
          </cell>
          <cell r="AV1242">
            <v>0</v>
          </cell>
        </row>
        <row r="1243">
          <cell r="E1243" t="str">
            <v>D26001971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D26001972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D26001990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D26002079</v>
          </cell>
          <cell r="AP1246">
            <v>0</v>
          </cell>
          <cell r="AQ1246">
            <v>0</v>
          </cell>
          <cell r="AV1246">
            <v>0</v>
          </cell>
        </row>
        <row r="1247">
          <cell r="E1247" t="str">
            <v>D26001102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D26001132</v>
          </cell>
          <cell r="AP1248">
            <v>0</v>
          </cell>
          <cell r="AQ1248">
            <v>0</v>
          </cell>
          <cell r="AV1248">
            <v>0</v>
          </cell>
        </row>
        <row r="1249">
          <cell r="E1249" t="str">
            <v>B26001307</v>
          </cell>
          <cell r="AP1249">
            <v>0</v>
          </cell>
          <cell r="AQ1249">
            <v>0</v>
          </cell>
          <cell r="AV1249">
            <v>0</v>
          </cell>
        </row>
        <row r="1250">
          <cell r="E1250" t="str">
            <v>D26000380</v>
          </cell>
          <cell r="AP1250">
            <v>0</v>
          </cell>
          <cell r="AQ1250">
            <v>0</v>
          </cell>
          <cell r="AV1250">
            <v>0</v>
          </cell>
        </row>
        <row r="1251">
          <cell r="E1251" t="str">
            <v>D26000381</v>
          </cell>
          <cell r="AP1251">
            <v>0</v>
          </cell>
          <cell r="AQ1251">
            <v>0</v>
          </cell>
          <cell r="AV1251">
            <v>0</v>
          </cell>
        </row>
        <row r="1252">
          <cell r="E1252" t="str">
            <v>T26000029</v>
          </cell>
          <cell r="AP1252">
            <v>0</v>
          </cell>
          <cell r="AQ1252">
            <v>0</v>
          </cell>
          <cell r="AV1252">
            <v>0</v>
          </cell>
        </row>
        <row r="1253">
          <cell r="E1253" t="str">
            <v>B26000716</v>
          </cell>
          <cell r="AP1253">
            <v>0</v>
          </cell>
          <cell r="AQ1253">
            <v>0</v>
          </cell>
          <cell r="AV1253">
            <v>0</v>
          </cell>
        </row>
        <row r="1254">
          <cell r="E1254" t="str">
            <v>B26000825</v>
          </cell>
          <cell r="AP1254">
            <v>0</v>
          </cell>
          <cell r="AQ1254">
            <v>0</v>
          </cell>
          <cell r="AV1254">
            <v>0</v>
          </cell>
        </row>
        <row r="1255">
          <cell r="E1255" t="str">
            <v>B26000974</v>
          </cell>
          <cell r="AP1255">
            <v>0</v>
          </cell>
          <cell r="AQ1255">
            <v>0</v>
          </cell>
          <cell r="AV1255">
            <v>0</v>
          </cell>
        </row>
        <row r="1256">
          <cell r="E1256" t="str">
            <v>D25018137</v>
          </cell>
          <cell r="AP1256">
            <v>0</v>
          </cell>
          <cell r="AQ1256">
            <v>0</v>
          </cell>
          <cell r="AV1256">
            <v>250000000</v>
          </cell>
        </row>
        <row r="1257">
          <cell r="E1257" t="str">
            <v>D25018137</v>
          </cell>
          <cell r="AP1257">
            <v>0</v>
          </cell>
          <cell r="AQ1257">
            <v>0</v>
          </cell>
          <cell r="AV1257">
            <v>183000000</v>
          </cell>
        </row>
        <row r="1258">
          <cell r="E1258" t="str">
            <v>D25019051</v>
          </cell>
          <cell r="AP1258">
            <v>0</v>
          </cell>
          <cell r="AQ1258">
            <v>0</v>
          </cell>
          <cell r="AV1258">
            <v>1900000</v>
          </cell>
        </row>
        <row r="1259">
          <cell r="E1259" t="str">
            <v>T24001625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D24017664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D25017240</v>
          </cell>
          <cell r="AP1261">
            <v>0</v>
          </cell>
          <cell r="AQ1261">
            <v>0</v>
          </cell>
          <cell r="AV1261">
            <v>25428500</v>
          </cell>
        </row>
        <row r="1262">
          <cell r="E1262" t="str">
            <v>D25017240</v>
          </cell>
          <cell r="AP1262">
            <v>0</v>
          </cell>
          <cell r="AQ1262">
            <v>0</v>
          </cell>
          <cell r="AV1262">
            <v>200000000</v>
          </cell>
        </row>
        <row r="1263">
          <cell r="E1263" t="str">
            <v>D25017241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D25017454</v>
          </cell>
          <cell r="AP1264">
            <v>0</v>
          </cell>
          <cell r="AQ1264">
            <v>0</v>
          </cell>
          <cell r="AV1264">
            <v>3196500</v>
          </cell>
        </row>
        <row r="1265">
          <cell r="E1265" t="str">
            <v>D25017458</v>
          </cell>
          <cell r="AP1265">
            <v>0</v>
          </cell>
          <cell r="AQ1265">
            <v>0</v>
          </cell>
          <cell r="AV1265">
            <v>5350000</v>
          </cell>
        </row>
        <row r="1266">
          <cell r="E1266" t="str">
            <v>T25001722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B25015276</v>
          </cell>
          <cell r="AP1267">
            <v>0</v>
          </cell>
          <cell r="AQ1267">
            <v>0</v>
          </cell>
          <cell r="AV1267">
            <v>7600000</v>
          </cell>
        </row>
        <row r="1268">
          <cell r="E1268" t="str">
            <v>B25015442</v>
          </cell>
          <cell r="AP1268">
            <v>0</v>
          </cell>
          <cell r="AQ1268">
            <v>0</v>
          </cell>
          <cell r="AV1268">
            <v>8675000</v>
          </cell>
        </row>
        <row r="1269">
          <cell r="E1269" t="str">
            <v>D25017959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D25018410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B25016093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D25018716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D25019055</v>
          </cell>
          <cell r="AP1273">
            <v>0</v>
          </cell>
          <cell r="AQ1273">
            <v>0</v>
          </cell>
          <cell r="AV1273">
            <v>0</v>
          </cell>
        </row>
        <row r="1274">
          <cell r="E1274" t="str">
            <v>B25016834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D25019534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D25019598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D25019599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D26000145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D26000152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D26000153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D26000154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D26000257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D26000590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B26000573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D26000830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B26000819</v>
          </cell>
          <cell r="AP1286">
            <v>0</v>
          </cell>
          <cell r="AQ1286">
            <v>0</v>
          </cell>
          <cell r="AV1286">
            <v>0</v>
          </cell>
        </row>
        <row r="1287">
          <cell r="E1287" t="str">
            <v>B26000881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D26000937</v>
          </cell>
          <cell r="AP1288">
            <v>0</v>
          </cell>
          <cell r="AQ1288">
            <v>0</v>
          </cell>
          <cell r="AV1288">
            <v>0</v>
          </cell>
        </row>
        <row r="1289">
          <cell r="E1289" t="str">
            <v>T26000065</v>
          </cell>
          <cell r="AP1289">
            <v>0</v>
          </cell>
          <cell r="AQ1289">
            <v>0</v>
          </cell>
          <cell r="AV1289">
            <v>0</v>
          </cell>
        </row>
        <row r="1290">
          <cell r="E1290" t="str">
            <v>D26001210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B26001129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D26001333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D26001437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D26001533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D26001534</v>
          </cell>
          <cell r="AP1295">
            <v>0</v>
          </cell>
          <cell r="AQ1295">
            <v>0</v>
          </cell>
          <cell r="AV1295">
            <v>66000000</v>
          </cell>
        </row>
        <row r="1296">
          <cell r="E1296" t="str">
            <v>B26001519</v>
          </cell>
          <cell r="AP1296">
            <v>0</v>
          </cell>
          <cell r="AQ1296">
            <v>0</v>
          </cell>
          <cell r="AV1296">
            <v>33750000</v>
          </cell>
        </row>
        <row r="1297">
          <cell r="E1297" t="str">
            <v>D26001636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T26000104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D26001752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B26001741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D26001845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D26001855</v>
          </cell>
          <cell r="AP1302">
            <v>0</v>
          </cell>
          <cell r="AQ1302">
            <v>0</v>
          </cell>
          <cell r="AV1302">
            <v>0</v>
          </cell>
        </row>
        <row r="1303">
          <cell r="E1303" t="str">
            <v>D26001988</v>
          </cell>
          <cell r="AP1303">
            <v>0</v>
          </cell>
          <cell r="AQ1303">
            <v>0</v>
          </cell>
          <cell r="AV1303">
            <v>0</v>
          </cell>
        </row>
        <row r="1304">
          <cell r="E1304" t="str">
            <v>D26001989</v>
          </cell>
          <cell r="AP1304">
            <v>0</v>
          </cell>
          <cell r="AQ1304">
            <v>0</v>
          </cell>
          <cell r="AV1304">
            <v>0</v>
          </cell>
        </row>
        <row r="1305">
          <cell r="E1305" t="str">
            <v>D26002036</v>
          </cell>
          <cell r="AP1305">
            <v>0</v>
          </cell>
          <cell r="AQ1305">
            <v>0</v>
          </cell>
          <cell r="AV1305">
            <v>0</v>
          </cell>
        </row>
        <row r="1306">
          <cell r="E1306" t="str">
            <v>D25018504</v>
          </cell>
          <cell r="AP1306">
            <v>0</v>
          </cell>
          <cell r="AQ1306">
            <v>0</v>
          </cell>
          <cell r="AV1306">
            <v>4300000</v>
          </cell>
        </row>
        <row r="1307">
          <cell r="E1307" t="str">
            <v>B26000800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D26001655</v>
          </cell>
          <cell r="AP1308">
            <v>0</v>
          </cell>
          <cell r="AQ1308">
            <v>0</v>
          </cell>
          <cell r="AV1308">
            <v>15200000</v>
          </cell>
        </row>
        <row r="1309">
          <cell r="E1309" t="str">
            <v>D26000219</v>
          </cell>
          <cell r="AP1309">
            <v>0</v>
          </cell>
          <cell r="AQ1309">
            <v>0</v>
          </cell>
          <cell r="AV1309">
            <v>0</v>
          </cell>
        </row>
        <row r="1310">
          <cell r="E1310" t="str">
            <v>B26001024</v>
          </cell>
          <cell r="AP1310">
            <v>0</v>
          </cell>
          <cell r="AQ1310">
            <v>0</v>
          </cell>
          <cell r="AV1310">
            <v>0</v>
          </cell>
        </row>
        <row r="1311">
          <cell r="E1311" t="str">
            <v>B26001367</v>
          </cell>
          <cell r="AP1311">
            <v>0</v>
          </cell>
          <cell r="AQ1311">
            <v>0</v>
          </cell>
          <cell r="AV1311">
            <v>10874500</v>
          </cell>
        </row>
        <row r="1312">
          <cell r="E1312" t="str">
            <v>B26001368</v>
          </cell>
          <cell r="AP1312">
            <v>0</v>
          </cell>
          <cell r="AQ1312">
            <v>0</v>
          </cell>
          <cell r="AV1312">
            <v>2252000</v>
          </cell>
        </row>
        <row r="1313">
          <cell r="E1313" t="str">
            <v>B26001427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T26000063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Z25002724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D25017604</v>
          </cell>
          <cell r="AP1316">
            <v>0</v>
          </cell>
          <cell r="AQ1316">
            <v>0</v>
          </cell>
          <cell r="AV1316">
            <v>3500000</v>
          </cell>
        </row>
        <row r="1317">
          <cell r="E1317" t="str">
            <v>D25017676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D25017717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D25017753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D25017787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D25017817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D25017818</v>
          </cell>
          <cell r="AP1322">
            <v>0</v>
          </cell>
          <cell r="AQ1322">
            <v>0</v>
          </cell>
          <cell r="AV1322">
            <v>0</v>
          </cell>
        </row>
        <row r="1323">
          <cell r="E1323" t="str">
            <v>B25015360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B25015424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B25015436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D25017839</v>
          </cell>
          <cell r="AP1326">
            <v>0</v>
          </cell>
          <cell r="AQ1326">
            <v>0</v>
          </cell>
          <cell r="AV1326">
            <v>0</v>
          </cell>
        </row>
        <row r="1327">
          <cell r="E1327" t="str">
            <v>D25017985</v>
          </cell>
          <cell r="AP1327">
            <v>0</v>
          </cell>
          <cell r="AQ1327">
            <v>0</v>
          </cell>
          <cell r="AV1327">
            <v>0</v>
          </cell>
        </row>
        <row r="1328">
          <cell r="E1328" t="str">
            <v>B25015596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D25018121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D25018128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B25015983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D25018460</v>
          </cell>
          <cell r="AP1332">
            <v>0</v>
          </cell>
          <cell r="AQ1332">
            <v>0</v>
          </cell>
          <cell r="AV1332">
            <v>0</v>
          </cell>
        </row>
        <row r="1333">
          <cell r="E1333" t="str">
            <v>D25018475</v>
          </cell>
          <cell r="AP1333">
            <v>0</v>
          </cell>
          <cell r="AQ1333">
            <v>0</v>
          </cell>
          <cell r="AV1333">
            <v>0</v>
          </cell>
        </row>
        <row r="1334">
          <cell r="E1334" t="str">
            <v>D25018537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D25018561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B25016286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D25018733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D25018751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B25016434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B25016498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D25018991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B25016567</v>
          </cell>
          <cell r="AP1342">
            <v>0</v>
          </cell>
          <cell r="AQ1342">
            <v>0</v>
          </cell>
          <cell r="AV1342">
            <v>0</v>
          </cell>
        </row>
        <row r="1343">
          <cell r="E1343" t="str">
            <v>B25016636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B25016679</v>
          </cell>
          <cell r="AP1344">
            <v>0</v>
          </cell>
          <cell r="AQ1344">
            <v>0</v>
          </cell>
          <cell r="AV1344">
            <v>0</v>
          </cell>
        </row>
        <row r="1345">
          <cell r="E1345" t="str">
            <v>B25016681</v>
          </cell>
          <cell r="AP1345">
            <v>0</v>
          </cell>
          <cell r="AQ1345">
            <v>0</v>
          </cell>
          <cell r="AV1345">
            <v>0</v>
          </cell>
        </row>
        <row r="1346">
          <cell r="E1346" t="str">
            <v>B25016699</v>
          </cell>
          <cell r="AP1346">
            <v>0</v>
          </cell>
          <cell r="AQ1346">
            <v>0</v>
          </cell>
          <cell r="AV1346">
            <v>0</v>
          </cell>
        </row>
        <row r="1347">
          <cell r="E1347" t="str">
            <v>B25016741</v>
          </cell>
          <cell r="AP1347">
            <v>0</v>
          </cell>
          <cell r="AQ1347">
            <v>0</v>
          </cell>
          <cell r="AV1347">
            <v>0</v>
          </cell>
        </row>
        <row r="1348">
          <cell r="E1348" t="str">
            <v>B25016752</v>
          </cell>
          <cell r="AP1348">
            <v>0</v>
          </cell>
          <cell r="AQ1348">
            <v>0</v>
          </cell>
          <cell r="AV1348">
            <v>0</v>
          </cell>
        </row>
        <row r="1349">
          <cell r="E1349" t="str">
            <v>B25016905</v>
          </cell>
          <cell r="AP1349">
            <v>0</v>
          </cell>
          <cell r="AQ1349">
            <v>0</v>
          </cell>
          <cell r="AV1349">
            <v>0</v>
          </cell>
        </row>
        <row r="1350">
          <cell r="E1350" t="str">
            <v>D25019569</v>
          </cell>
          <cell r="AP1350">
            <v>0</v>
          </cell>
          <cell r="AQ1350">
            <v>0</v>
          </cell>
          <cell r="AV1350">
            <v>0</v>
          </cell>
        </row>
        <row r="1351">
          <cell r="E1351" t="str">
            <v>D25019570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B25017037</v>
          </cell>
          <cell r="AP1352">
            <v>0</v>
          </cell>
          <cell r="AQ1352">
            <v>0</v>
          </cell>
          <cell r="AV1352">
            <v>0</v>
          </cell>
        </row>
        <row r="1353">
          <cell r="E1353" t="str">
            <v>D25019649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D25019684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B26000039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D26000092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D26000167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D26000229</v>
          </cell>
          <cell r="AP1358">
            <v>0</v>
          </cell>
          <cell r="AQ1358">
            <v>0</v>
          </cell>
          <cell r="AV1358">
            <v>0</v>
          </cell>
        </row>
        <row r="1359">
          <cell r="E1359" t="str">
            <v>D26000230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B26000332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B26000365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B26000367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B26000374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B26000403</v>
          </cell>
          <cell r="AP1364">
            <v>0</v>
          </cell>
          <cell r="AQ1364">
            <v>0</v>
          </cell>
          <cell r="AV1364">
            <v>0</v>
          </cell>
        </row>
        <row r="1365">
          <cell r="E1365" t="str">
            <v>B26000404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B26000411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B26000412</v>
          </cell>
          <cell r="AP1367">
            <v>0</v>
          </cell>
          <cell r="AQ1367">
            <v>0</v>
          </cell>
          <cell r="AV1367">
            <v>0</v>
          </cell>
        </row>
        <row r="1368">
          <cell r="E1368" t="str">
            <v>B26000490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B26000588</v>
          </cell>
          <cell r="AP1369">
            <v>0</v>
          </cell>
          <cell r="AQ1369">
            <v>0</v>
          </cell>
          <cell r="AV1369">
            <v>0</v>
          </cell>
        </row>
        <row r="1370">
          <cell r="E1370" t="str">
            <v>D26000673</v>
          </cell>
          <cell r="AP1370">
            <v>0</v>
          </cell>
          <cell r="AQ1370">
            <v>0</v>
          </cell>
          <cell r="AV1370">
            <v>0</v>
          </cell>
        </row>
        <row r="1371">
          <cell r="E1371" t="str">
            <v>B26000683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B26000863</v>
          </cell>
          <cell r="AP1372">
            <v>0</v>
          </cell>
          <cell r="AQ1372">
            <v>0</v>
          </cell>
          <cell r="AV1372">
            <v>0</v>
          </cell>
        </row>
        <row r="1373">
          <cell r="E1373" t="str">
            <v>B26000864</v>
          </cell>
          <cell r="AP1373">
            <v>0</v>
          </cell>
          <cell r="AQ1373">
            <v>0</v>
          </cell>
          <cell r="AV1373">
            <v>0</v>
          </cell>
        </row>
        <row r="1374">
          <cell r="E1374" t="str">
            <v>D26001128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D26001139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B26001217</v>
          </cell>
          <cell r="AP1376">
            <v>0</v>
          </cell>
          <cell r="AQ1376">
            <v>0</v>
          </cell>
          <cell r="AV1376">
            <v>0</v>
          </cell>
        </row>
        <row r="1377">
          <cell r="E1377" t="str">
            <v>B26001244</v>
          </cell>
          <cell r="AP1377">
            <v>0</v>
          </cell>
          <cell r="AQ1377">
            <v>0</v>
          </cell>
          <cell r="AV1377">
            <v>50000000</v>
          </cell>
        </row>
        <row r="1378">
          <cell r="E1378" t="str">
            <v>B26001244</v>
          </cell>
          <cell r="AP1378">
            <v>0</v>
          </cell>
          <cell r="AQ1378">
            <v>0</v>
          </cell>
          <cell r="AV1378">
            <v>25000000</v>
          </cell>
        </row>
        <row r="1379">
          <cell r="E1379" t="str">
            <v>B26001244</v>
          </cell>
          <cell r="AP1379">
            <v>0</v>
          </cell>
          <cell r="AQ1379">
            <v>0</v>
          </cell>
          <cell r="AV1379">
            <v>17500000</v>
          </cell>
        </row>
        <row r="1380">
          <cell r="E1380" t="str">
            <v>B26001290</v>
          </cell>
          <cell r="AP1380">
            <v>0</v>
          </cell>
          <cell r="AQ1380">
            <v>0</v>
          </cell>
          <cell r="AV1380">
            <v>0</v>
          </cell>
        </row>
        <row r="1381">
          <cell r="E1381" t="str">
            <v>B26001399</v>
          </cell>
          <cell r="AP1381">
            <v>0</v>
          </cell>
          <cell r="AQ1381">
            <v>0</v>
          </cell>
          <cell r="AV1381">
            <v>0</v>
          </cell>
        </row>
        <row r="1382">
          <cell r="E1382" t="str">
            <v>D26001433</v>
          </cell>
          <cell r="AP1382">
            <v>0</v>
          </cell>
          <cell r="AQ1382">
            <v>0</v>
          </cell>
          <cell r="AV1382">
            <v>0</v>
          </cell>
        </row>
        <row r="1383">
          <cell r="E1383" t="str">
            <v>D26001490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B26001483</v>
          </cell>
          <cell r="AP1384">
            <v>0</v>
          </cell>
          <cell r="AQ1384">
            <v>0</v>
          </cell>
          <cell r="AV1384">
            <v>14000000</v>
          </cell>
        </row>
        <row r="1385">
          <cell r="E1385" t="str">
            <v>B26001553</v>
          </cell>
          <cell r="AP1385">
            <v>0</v>
          </cell>
          <cell r="AQ1385">
            <v>0</v>
          </cell>
          <cell r="AV1385">
            <v>0</v>
          </cell>
        </row>
        <row r="1386">
          <cell r="E1386" t="str">
            <v>B26001554</v>
          </cell>
          <cell r="AP1386">
            <v>0</v>
          </cell>
          <cell r="AQ1386">
            <v>0</v>
          </cell>
          <cell r="AV1386">
            <v>0</v>
          </cell>
        </row>
        <row r="1387">
          <cell r="E1387" t="str">
            <v>D26001765</v>
          </cell>
          <cell r="AP1387">
            <v>0</v>
          </cell>
          <cell r="AQ1387">
            <v>0</v>
          </cell>
          <cell r="AV1387">
            <v>0</v>
          </cell>
        </row>
        <row r="1388">
          <cell r="E1388" t="str">
            <v>B26001798</v>
          </cell>
          <cell r="AP1388">
            <v>0</v>
          </cell>
          <cell r="AQ1388">
            <v>0</v>
          </cell>
          <cell r="AV1388">
            <v>0</v>
          </cell>
        </row>
        <row r="1389">
          <cell r="E1389" t="str">
            <v>B26001803</v>
          </cell>
          <cell r="AP1389">
            <v>0</v>
          </cell>
          <cell r="AQ1389">
            <v>0</v>
          </cell>
          <cell r="AV1389">
            <v>0</v>
          </cell>
        </row>
        <row r="1390">
          <cell r="E1390" t="str">
            <v>B26001909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B26001929</v>
          </cell>
          <cell r="AP1391">
            <v>0</v>
          </cell>
          <cell r="AQ1391">
            <v>0</v>
          </cell>
          <cell r="AV1391">
            <v>0</v>
          </cell>
        </row>
        <row r="1392">
          <cell r="E1392" t="str">
            <v>B26001930</v>
          </cell>
          <cell r="AP1392">
            <v>0</v>
          </cell>
          <cell r="AQ1392">
            <v>0</v>
          </cell>
          <cell r="AV1392">
            <v>0</v>
          </cell>
        </row>
        <row r="1393">
          <cell r="E1393" t="str">
            <v>D26002067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B25015690</v>
          </cell>
          <cell r="AP1394">
            <v>0</v>
          </cell>
          <cell r="AQ1394">
            <v>0</v>
          </cell>
          <cell r="AV1394">
            <v>50000000</v>
          </cell>
        </row>
        <row r="1395">
          <cell r="E1395" t="str">
            <v>D26000913</v>
          </cell>
          <cell r="AP1395">
            <v>0</v>
          </cell>
          <cell r="AQ1395">
            <v>0</v>
          </cell>
          <cell r="AV1395">
            <v>0</v>
          </cell>
        </row>
        <row r="1396">
          <cell r="E1396" t="str">
            <v>T26000060</v>
          </cell>
          <cell r="AP1396">
            <v>0</v>
          </cell>
          <cell r="AQ1396">
            <v>0</v>
          </cell>
          <cell r="AV1396">
            <v>0</v>
          </cell>
        </row>
        <row r="1397">
          <cell r="E1397" t="str">
            <v>T26000061</v>
          </cell>
          <cell r="AP1397">
            <v>0</v>
          </cell>
          <cell r="AQ1397">
            <v>0</v>
          </cell>
          <cell r="AV1397">
            <v>0</v>
          </cell>
        </row>
        <row r="1398">
          <cell r="E1398" t="str">
            <v>T26000062</v>
          </cell>
          <cell r="AP1398">
            <v>0</v>
          </cell>
          <cell r="AQ1398">
            <v>0</v>
          </cell>
          <cell r="AV1398">
            <v>0</v>
          </cell>
        </row>
        <row r="1399">
          <cell r="E1399" t="str">
            <v>D26001682</v>
          </cell>
          <cell r="AP1399">
            <v>0</v>
          </cell>
          <cell r="AQ1399">
            <v>0</v>
          </cell>
          <cell r="AV1399">
            <v>0</v>
          </cell>
        </row>
        <row r="1400">
          <cell r="E1400" t="str">
            <v>C25001129</v>
          </cell>
          <cell r="AP1400">
            <v>0</v>
          </cell>
          <cell r="AQ1400">
            <v>0</v>
          </cell>
          <cell r="AV1400">
            <v>0</v>
          </cell>
        </row>
        <row r="1401">
          <cell r="E1401" t="str">
            <v>B26001885</v>
          </cell>
          <cell r="AP1401">
            <v>0</v>
          </cell>
          <cell r="AQ1401">
            <v>0</v>
          </cell>
          <cell r="AV1401">
            <v>7400000</v>
          </cell>
        </row>
        <row r="1402">
          <cell r="E1402" t="str">
            <v>D25019225</v>
          </cell>
          <cell r="AP1402">
            <v>0</v>
          </cell>
          <cell r="AQ1402">
            <v>0</v>
          </cell>
          <cell r="AV1402">
            <v>0</v>
          </cell>
        </row>
        <row r="1403">
          <cell r="E1403" t="str">
            <v>B26000054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B25014145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B25014223</v>
          </cell>
          <cell r="AP1405">
            <v>0</v>
          </cell>
          <cell r="AQ1405">
            <v>0</v>
          </cell>
          <cell r="AV1405">
            <v>0</v>
          </cell>
        </row>
        <row r="1406">
          <cell r="E1406" t="str">
            <v>T25001636</v>
          </cell>
          <cell r="AP1406">
            <v>0</v>
          </cell>
          <cell r="AQ1406">
            <v>0</v>
          </cell>
          <cell r="AV1406">
            <v>0</v>
          </cell>
        </row>
        <row r="1407">
          <cell r="E1407" t="str">
            <v>Z25002935</v>
          </cell>
          <cell r="AP1407">
            <v>0</v>
          </cell>
          <cell r="AQ1407">
            <v>0</v>
          </cell>
          <cell r="AV1407">
            <v>34160000</v>
          </cell>
        </row>
        <row r="1408">
          <cell r="E1408" t="str">
            <v>B25015058</v>
          </cell>
          <cell r="AP1408">
            <v>0</v>
          </cell>
          <cell r="AQ1408">
            <v>0</v>
          </cell>
          <cell r="AV1408">
            <v>31150000</v>
          </cell>
        </row>
        <row r="1409">
          <cell r="E1409" t="str">
            <v>Z25002997</v>
          </cell>
          <cell r="AP1409">
            <v>0</v>
          </cell>
          <cell r="AQ1409">
            <v>0</v>
          </cell>
          <cell r="AV1409">
            <v>34690000</v>
          </cell>
        </row>
        <row r="1410">
          <cell r="E1410" t="str">
            <v>Z25002997</v>
          </cell>
          <cell r="AP1410">
            <v>0</v>
          </cell>
          <cell r="AQ1410">
            <v>0</v>
          </cell>
          <cell r="AV1410">
            <v>70000000</v>
          </cell>
        </row>
        <row r="1411">
          <cell r="E1411" t="str">
            <v>D25017624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D25017734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Z25003042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Z25003049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B25015411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B25015419</v>
          </cell>
          <cell r="AP1416">
            <v>0</v>
          </cell>
          <cell r="AQ1416">
            <v>0</v>
          </cell>
          <cell r="AV1416">
            <v>0</v>
          </cell>
        </row>
        <row r="1417">
          <cell r="E1417" t="str">
            <v>B25015420</v>
          </cell>
          <cell r="AP1417">
            <v>0</v>
          </cell>
          <cell r="AQ1417">
            <v>0</v>
          </cell>
          <cell r="AV1417">
            <v>0</v>
          </cell>
        </row>
        <row r="1418">
          <cell r="E1418" t="str">
            <v>B25015650</v>
          </cell>
          <cell r="AP1418">
            <v>0</v>
          </cell>
          <cell r="AQ1418">
            <v>0</v>
          </cell>
          <cell r="AV1418">
            <v>0</v>
          </cell>
        </row>
        <row r="1419">
          <cell r="E1419" t="str">
            <v>Z25003073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B25015679</v>
          </cell>
          <cell r="AP1420">
            <v>0</v>
          </cell>
          <cell r="AQ1420">
            <v>0</v>
          </cell>
          <cell r="AV1420">
            <v>0</v>
          </cell>
        </row>
        <row r="1421">
          <cell r="E1421" t="str">
            <v>B25015722</v>
          </cell>
          <cell r="AP1421">
            <v>0</v>
          </cell>
          <cell r="AQ1421">
            <v>0</v>
          </cell>
          <cell r="AV1421">
            <v>0</v>
          </cell>
        </row>
        <row r="1422">
          <cell r="E1422" t="str">
            <v>B25015726</v>
          </cell>
          <cell r="AP1422">
            <v>0</v>
          </cell>
          <cell r="AQ1422">
            <v>0</v>
          </cell>
          <cell r="AV1422">
            <v>0</v>
          </cell>
        </row>
        <row r="1423">
          <cell r="E1423" t="str">
            <v>Z25003099</v>
          </cell>
          <cell r="AP1423">
            <v>0</v>
          </cell>
          <cell r="AQ1423">
            <v>0</v>
          </cell>
          <cell r="AV1423">
            <v>0</v>
          </cell>
        </row>
        <row r="1424">
          <cell r="E1424" t="str">
            <v>B25015823</v>
          </cell>
          <cell r="AP1424">
            <v>0</v>
          </cell>
          <cell r="AQ1424">
            <v>0</v>
          </cell>
          <cell r="AV1424">
            <v>0</v>
          </cell>
        </row>
        <row r="1425">
          <cell r="E1425" t="str">
            <v>D25018213</v>
          </cell>
          <cell r="AP1425">
            <v>0</v>
          </cell>
          <cell r="AQ1425">
            <v>0</v>
          </cell>
          <cell r="AV1425">
            <v>0</v>
          </cell>
        </row>
        <row r="1426">
          <cell r="E1426" t="str">
            <v>D25018256</v>
          </cell>
          <cell r="AP1426">
            <v>0</v>
          </cell>
          <cell r="AQ1426">
            <v>0</v>
          </cell>
          <cell r="AV1426">
            <v>0</v>
          </cell>
        </row>
        <row r="1427">
          <cell r="E1427" t="str">
            <v>B25015907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B25016015</v>
          </cell>
          <cell r="AP1428">
            <v>0</v>
          </cell>
          <cell r="AQ1428">
            <v>0</v>
          </cell>
          <cell r="AV1428">
            <v>0</v>
          </cell>
        </row>
        <row r="1429">
          <cell r="E1429" t="str">
            <v>Z25003163</v>
          </cell>
          <cell r="AP1429">
            <v>0</v>
          </cell>
          <cell r="AQ1429">
            <v>0</v>
          </cell>
          <cell r="AV1429">
            <v>0</v>
          </cell>
        </row>
        <row r="1430">
          <cell r="E1430" t="str">
            <v>Z25003166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Z25003169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B25016175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B25016271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D25018881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D25018971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Z25003294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B25016697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Z25003321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D25019448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D25019496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D25019504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Z25003354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B25017019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B25017026</v>
          </cell>
          <cell r="AP1444">
            <v>0</v>
          </cell>
          <cell r="AQ1444">
            <v>0</v>
          </cell>
          <cell r="AV1444">
            <v>0</v>
          </cell>
        </row>
        <row r="1445">
          <cell r="E1445" t="str">
            <v>Z25003356</v>
          </cell>
          <cell r="AP1445">
            <v>0</v>
          </cell>
          <cell r="AQ1445">
            <v>0</v>
          </cell>
          <cell r="AV1445">
            <v>0</v>
          </cell>
        </row>
        <row r="1446">
          <cell r="E1446" t="str">
            <v>D25019620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Z25003374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Z25003397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B26000429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D26000565</v>
          </cell>
          <cell r="AP1450">
            <v>0</v>
          </cell>
          <cell r="AQ1450">
            <v>0</v>
          </cell>
          <cell r="AV1450">
            <v>0</v>
          </cell>
        </row>
        <row r="1451">
          <cell r="E1451" t="str">
            <v>Z26000091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B26000651</v>
          </cell>
          <cell r="AP1452">
            <v>0</v>
          </cell>
          <cell r="AQ1452">
            <v>0</v>
          </cell>
          <cell r="AV1452">
            <v>2250000</v>
          </cell>
        </row>
        <row r="1453">
          <cell r="E1453" t="str">
            <v>D26000711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D26000775</v>
          </cell>
          <cell r="AP1454">
            <v>0</v>
          </cell>
          <cell r="AQ1454">
            <v>0</v>
          </cell>
          <cell r="AV1454">
            <v>0</v>
          </cell>
        </row>
        <row r="1455">
          <cell r="E1455" t="str">
            <v>D26000776</v>
          </cell>
          <cell r="AP1455">
            <v>0</v>
          </cell>
          <cell r="AQ1455">
            <v>0</v>
          </cell>
          <cell r="AV1455">
            <v>0</v>
          </cell>
        </row>
        <row r="1456">
          <cell r="E1456" t="str">
            <v>D26000887</v>
          </cell>
          <cell r="AP1456">
            <v>0</v>
          </cell>
          <cell r="AQ1456">
            <v>0</v>
          </cell>
          <cell r="AV1456">
            <v>0</v>
          </cell>
        </row>
        <row r="1457">
          <cell r="E1457" t="str">
            <v>D26001205</v>
          </cell>
          <cell r="AP1457">
            <v>0</v>
          </cell>
          <cell r="AQ1457">
            <v>0</v>
          </cell>
          <cell r="AV1457">
            <v>0</v>
          </cell>
        </row>
        <row r="1458">
          <cell r="E1458" t="str">
            <v>Z26000194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B26001567</v>
          </cell>
          <cell r="AP1459">
            <v>0</v>
          </cell>
          <cell r="AQ1459">
            <v>0</v>
          </cell>
          <cell r="AV1459">
            <v>705000</v>
          </cell>
        </row>
        <row r="1460">
          <cell r="E1460" t="str">
            <v>B26001638</v>
          </cell>
          <cell r="AP1460">
            <v>0</v>
          </cell>
          <cell r="AQ1460">
            <v>0</v>
          </cell>
          <cell r="AV1460">
            <v>0</v>
          </cell>
        </row>
        <row r="1461">
          <cell r="E1461" t="str">
            <v>D26001751</v>
          </cell>
          <cell r="AP1461">
            <v>0</v>
          </cell>
          <cell r="AQ1461">
            <v>0</v>
          </cell>
          <cell r="AV1461">
            <v>0</v>
          </cell>
        </row>
        <row r="1462">
          <cell r="E1462" t="str">
            <v>D26001824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D26001832</v>
          </cell>
          <cell r="AP1463">
            <v>0</v>
          </cell>
          <cell r="AQ1463">
            <v>0</v>
          </cell>
          <cell r="AV1463">
            <v>0</v>
          </cell>
        </row>
        <row r="1464">
          <cell r="E1464" t="str">
            <v>B26001738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D26001880</v>
          </cell>
          <cell r="AP1465">
            <v>0</v>
          </cell>
          <cell r="AQ1465">
            <v>0</v>
          </cell>
          <cell r="AV1465">
            <v>0</v>
          </cell>
        </row>
        <row r="1466">
          <cell r="E1466" t="str">
            <v>D26001881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D26001882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D26001883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Z26000329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Z26000349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D26002089</v>
          </cell>
          <cell r="AP1471">
            <v>0</v>
          </cell>
          <cell r="AQ1471">
            <v>0</v>
          </cell>
          <cell r="AV1471">
            <v>0</v>
          </cell>
        </row>
        <row r="1472">
          <cell r="E1472" t="str">
            <v>B26001195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D26001628</v>
          </cell>
          <cell r="AP1473">
            <v>0</v>
          </cell>
          <cell r="AQ1473">
            <v>0</v>
          </cell>
          <cell r="AV1473">
            <v>984000</v>
          </cell>
        </row>
        <row r="1474">
          <cell r="E1474" t="str">
            <v>B26001863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B26000455</v>
          </cell>
          <cell r="AP1475">
            <v>0</v>
          </cell>
          <cell r="AQ1475">
            <v>0</v>
          </cell>
          <cell r="AV1475">
            <v>0</v>
          </cell>
        </row>
        <row r="1476">
          <cell r="E1476" t="str">
            <v>B26000658</v>
          </cell>
          <cell r="AP1476">
            <v>0</v>
          </cell>
          <cell r="AQ1476">
            <v>0</v>
          </cell>
          <cell r="AV1476">
            <v>0</v>
          </cell>
        </row>
        <row r="1477">
          <cell r="E1477" t="str">
            <v>D26000790</v>
          </cell>
          <cell r="AP1477">
            <v>0</v>
          </cell>
          <cell r="AQ1477">
            <v>0</v>
          </cell>
          <cell r="AV1477">
            <v>0</v>
          </cell>
        </row>
        <row r="1478">
          <cell r="E1478" t="str">
            <v>B26000754</v>
          </cell>
          <cell r="AP1478">
            <v>0</v>
          </cell>
          <cell r="AQ1478">
            <v>0</v>
          </cell>
          <cell r="AV1478">
            <v>0</v>
          </cell>
        </row>
        <row r="1479">
          <cell r="E1479" t="str">
            <v>D26000874</v>
          </cell>
          <cell r="AP1479">
            <v>0</v>
          </cell>
          <cell r="AQ1479">
            <v>0</v>
          </cell>
          <cell r="AV1479">
            <v>0</v>
          </cell>
        </row>
        <row r="1480">
          <cell r="E1480" t="str">
            <v>D26000875</v>
          </cell>
          <cell r="AP1480">
            <v>0</v>
          </cell>
          <cell r="AQ1480">
            <v>0</v>
          </cell>
          <cell r="AV1480">
            <v>0</v>
          </cell>
        </row>
        <row r="1481">
          <cell r="E1481" t="str">
            <v>D26001201</v>
          </cell>
          <cell r="AP1481">
            <v>0</v>
          </cell>
          <cell r="AQ1481">
            <v>0</v>
          </cell>
          <cell r="AV1481">
            <v>3250000</v>
          </cell>
        </row>
        <row r="1482">
          <cell r="E1482" t="str">
            <v>T25001609</v>
          </cell>
          <cell r="AP1482">
            <v>0</v>
          </cell>
          <cell r="AQ1482">
            <v>0</v>
          </cell>
          <cell r="AV1482">
            <v>0</v>
          </cell>
        </row>
        <row r="1483">
          <cell r="E1483" t="str">
            <v>B25015779</v>
          </cell>
          <cell r="AP1483">
            <v>0</v>
          </cell>
          <cell r="AQ1483">
            <v>0</v>
          </cell>
          <cell r="AV1483">
            <v>0</v>
          </cell>
        </row>
        <row r="1484">
          <cell r="E1484" t="str">
            <v>B25016451</v>
          </cell>
          <cell r="AP1484">
            <v>0</v>
          </cell>
          <cell r="AQ1484">
            <v>0</v>
          </cell>
          <cell r="AV1484">
            <v>0</v>
          </cell>
        </row>
        <row r="1485">
          <cell r="E1485" t="str">
            <v>B25016452</v>
          </cell>
          <cell r="AP1485">
            <v>0</v>
          </cell>
          <cell r="AQ1485">
            <v>0</v>
          </cell>
          <cell r="AV1485">
            <v>8400000</v>
          </cell>
        </row>
        <row r="1486">
          <cell r="E1486" t="str">
            <v>T25001859</v>
          </cell>
          <cell r="AP1486">
            <v>0</v>
          </cell>
          <cell r="AQ1486">
            <v>0</v>
          </cell>
          <cell r="AV1486">
            <v>0</v>
          </cell>
        </row>
        <row r="1487">
          <cell r="E1487" t="str">
            <v>B25016731</v>
          </cell>
          <cell r="AP1487">
            <v>0</v>
          </cell>
          <cell r="AQ1487">
            <v>0</v>
          </cell>
          <cell r="AV1487">
            <v>7000000</v>
          </cell>
        </row>
        <row r="1488">
          <cell r="E1488" t="str">
            <v>D25019246</v>
          </cell>
          <cell r="AP1488">
            <v>0</v>
          </cell>
          <cell r="AQ1488">
            <v>0</v>
          </cell>
          <cell r="AV1488">
            <v>0</v>
          </cell>
        </row>
        <row r="1489">
          <cell r="E1489" t="str">
            <v>B25016843</v>
          </cell>
          <cell r="AP1489">
            <v>0</v>
          </cell>
          <cell r="AQ1489">
            <v>0</v>
          </cell>
          <cell r="AV1489">
            <v>0</v>
          </cell>
        </row>
        <row r="1490">
          <cell r="E1490" t="str">
            <v>B26000238</v>
          </cell>
          <cell r="AP1490">
            <v>0</v>
          </cell>
          <cell r="AQ1490">
            <v>0</v>
          </cell>
          <cell r="AV1490">
            <v>0</v>
          </cell>
        </row>
        <row r="1491">
          <cell r="E1491" t="str">
            <v>B26000239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B26000240</v>
          </cell>
          <cell r="AP1492">
            <v>0</v>
          </cell>
          <cell r="AQ1492">
            <v>0</v>
          </cell>
          <cell r="AV1492">
            <v>0</v>
          </cell>
        </row>
        <row r="1493">
          <cell r="E1493" t="str">
            <v>B26000745</v>
          </cell>
          <cell r="AP1493">
            <v>0</v>
          </cell>
          <cell r="AQ1493">
            <v>0</v>
          </cell>
          <cell r="AV1493">
            <v>0</v>
          </cell>
        </row>
        <row r="1494">
          <cell r="E1494" t="str">
            <v>B26000746</v>
          </cell>
          <cell r="AP1494">
            <v>0</v>
          </cell>
          <cell r="AQ1494">
            <v>0</v>
          </cell>
          <cell r="AV1494">
            <v>0</v>
          </cell>
        </row>
        <row r="1495">
          <cell r="E1495" t="str">
            <v>D26001239</v>
          </cell>
          <cell r="AP1495">
            <v>0</v>
          </cell>
          <cell r="AQ1495">
            <v>0</v>
          </cell>
          <cell r="AV1495">
            <v>0</v>
          </cell>
        </row>
        <row r="1496">
          <cell r="E1496" t="str">
            <v>T26000083</v>
          </cell>
          <cell r="AP1496">
            <v>0</v>
          </cell>
          <cell r="AQ1496">
            <v>0</v>
          </cell>
          <cell r="AV1496">
            <v>0</v>
          </cell>
        </row>
        <row r="1497">
          <cell r="E1497" t="str">
            <v>D26001277</v>
          </cell>
          <cell r="AP1497">
            <v>0</v>
          </cell>
          <cell r="AQ1497">
            <v>0</v>
          </cell>
          <cell r="AV1497">
            <v>0</v>
          </cell>
        </row>
        <row r="1498">
          <cell r="E1498" t="str">
            <v>D26001287</v>
          </cell>
          <cell r="AP1498">
            <v>0</v>
          </cell>
          <cell r="AQ1498">
            <v>0</v>
          </cell>
          <cell r="AV1498">
            <v>0</v>
          </cell>
        </row>
        <row r="1499">
          <cell r="E1499" t="str">
            <v>B26001228</v>
          </cell>
          <cell r="AP1499">
            <v>0</v>
          </cell>
          <cell r="AQ1499">
            <v>0</v>
          </cell>
          <cell r="AV1499">
            <v>0</v>
          </cell>
        </row>
        <row r="1500">
          <cell r="E1500" t="str">
            <v>B26001248</v>
          </cell>
          <cell r="AP1500">
            <v>0</v>
          </cell>
          <cell r="AQ1500">
            <v>0</v>
          </cell>
          <cell r="AV1500">
            <v>0</v>
          </cell>
        </row>
        <row r="1501">
          <cell r="E1501" t="str">
            <v>B26001264</v>
          </cell>
          <cell r="AP1501">
            <v>0</v>
          </cell>
          <cell r="AQ1501">
            <v>0</v>
          </cell>
          <cell r="AV1501">
            <v>0</v>
          </cell>
        </row>
        <row r="1502">
          <cell r="E1502" t="str">
            <v>B26001275</v>
          </cell>
          <cell r="AP1502">
            <v>0</v>
          </cell>
          <cell r="AQ1502">
            <v>0</v>
          </cell>
          <cell r="AV1502">
            <v>0</v>
          </cell>
        </row>
        <row r="1503">
          <cell r="E1503" t="str">
            <v>B26001390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T26000025</v>
          </cell>
          <cell r="AP1504">
            <v>0</v>
          </cell>
          <cell r="AQ1504">
            <v>0</v>
          </cell>
          <cell r="AV1504">
            <v>0</v>
          </cell>
        </row>
        <row r="1505">
          <cell r="E1505" t="str">
            <v>D25019642</v>
          </cell>
          <cell r="AP1505">
            <v>0</v>
          </cell>
          <cell r="AQ1505">
            <v>0</v>
          </cell>
          <cell r="AV1505">
            <v>750000</v>
          </cell>
        </row>
        <row r="1506">
          <cell r="E1506" t="str">
            <v>B26000274</v>
          </cell>
          <cell r="AP1506">
            <v>0</v>
          </cell>
          <cell r="AQ1506">
            <v>0</v>
          </cell>
          <cell r="AV1506">
            <v>1500000</v>
          </cell>
        </row>
        <row r="1507">
          <cell r="E1507" t="str">
            <v>D26001376</v>
          </cell>
          <cell r="AP1507">
            <v>0</v>
          </cell>
          <cell r="AQ1507">
            <v>0</v>
          </cell>
          <cell r="AV1507">
            <v>0</v>
          </cell>
        </row>
        <row r="1508">
          <cell r="E1508" t="str">
            <v>B26001440</v>
          </cell>
          <cell r="AP1508">
            <v>0</v>
          </cell>
          <cell r="AQ1508">
            <v>0</v>
          </cell>
          <cell r="AV1508">
            <v>0</v>
          </cell>
        </row>
        <row r="1509">
          <cell r="E1509" t="str">
            <v>B26001923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D25017361</v>
          </cell>
          <cell r="AP1510">
            <v>0</v>
          </cell>
          <cell r="AQ1510">
            <v>0</v>
          </cell>
          <cell r="AV1510">
            <v>3500000</v>
          </cell>
        </row>
        <row r="1511">
          <cell r="E1511" t="str">
            <v>D26000757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D25019567</v>
          </cell>
          <cell r="AP1512">
            <v>0</v>
          </cell>
          <cell r="AQ1512">
            <v>0</v>
          </cell>
          <cell r="AV1512">
            <v>6529500</v>
          </cell>
        </row>
        <row r="1513">
          <cell r="E1513" t="str">
            <v>D25019568</v>
          </cell>
          <cell r="AP1513">
            <v>0</v>
          </cell>
          <cell r="AQ1513">
            <v>0</v>
          </cell>
          <cell r="AV1513">
            <v>2449750</v>
          </cell>
        </row>
        <row r="1514">
          <cell r="E1514" t="str">
            <v>D26000718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D26000744</v>
          </cell>
          <cell r="AP1515">
            <v>0</v>
          </cell>
          <cell r="AQ1515">
            <v>0</v>
          </cell>
          <cell r="AV1515">
            <v>0</v>
          </cell>
        </row>
        <row r="1516">
          <cell r="E1516" t="str">
            <v>D26001932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D26001933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D26001934</v>
          </cell>
          <cell r="AP1518">
            <v>0</v>
          </cell>
          <cell r="AQ1518">
            <v>0</v>
          </cell>
          <cell r="AV1518">
            <v>0</v>
          </cell>
        </row>
        <row r="1519">
          <cell r="E1519" t="str">
            <v>D26001935</v>
          </cell>
          <cell r="AP1519">
            <v>0</v>
          </cell>
          <cell r="AQ1519">
            <v>0</v>
          </cell>
          <cell r="AV1519">
            <v>0</v>
          </cell>
        </row>
        <row r="1520">
          <cell r="E1520" t="str">
            <v>D26001936</v>
          </cell>
          <cell r="AP1520">
            <v>0</v>
          </cell>
          <cell r="AQ1520">
            <v>0</v>
          </cell>
          <cell r="AV1520">
            <v>0</v>
          </cell>
        </row>
        <row r="1521">
          <cell r="E1521" t="str">
            <v>D26001936</v>
          </cell>
          <cell r="AP1521">
            <v>0</v>
          </cell>
          <cell r="AQ1521">
            <v>0</v>
          </cell>
          <cell r="AV1521">
            <v>2320000</v>
          </cell>
        </row>
        <row r="1522">
          <cell r="E1522" t="str">
            <v>D26000765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D26000806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D26000824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D26001212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D26001281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D25019385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D25016327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B26000179</v>
          </cell>
          <cell r="AP1529">
            <v>0</v>
          </cell>
          <cell r="AQ1529">
            <v>0</v>
          </cell>
          <cell r="AV1529">
            <v>0</v>
          </cell>
        </row>
        <row r="1530">
          <cell r="E1530" t="str">
            <v>D25018311</v>
          </cell>
          <cell r="AP1530">
            <v>0</v>
          </cell>
          <cell r="AQ1530">
            <v>0</v>
          </cell>
          <cell r="AV1530">
            <v>8777500</v>
          </cell>
        </row>
        <row r="1531">
          <cell r="E1531" t="str">
            <v>D26000223</v>
          </cell>
          <cell r="AP1531">
            <v>0</v>
          </cell>
          <cell r="AQ1531">
            <v>0</v>
          </cell>
          <cell r="AV1531">
            <v>0</v>
          </cell>
        </row>
        <row r="1532">
          <cell r="E1532" t="str">
            <v>D26000334</v>
          </cell>
          <cell r="AP1532">
            <v>0</v>
          </cell>
          <cell r="AQ1532">
            <v>0</v>
          </cell>
          <cell r="AV1532">
            <v>0</v>
          </cell>
        </row>
        <row r="1533">
          <cell r="E1533" t="str">
            <v>D26000336</v>
          </cell>
          <cell r="AP1533">
            <v>0</v>
          </cell>
          <cell r="AQ1533">
            <v>0</v>
          </cell>
          <cell r="AV1533">
            <v>0</v>
          </cell>
        </row>
        <row r="1534">
          <cell r="E1534" t="str">
            <v>D26000367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D26001177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D26001178</v>
          </cell>
          <cell r="AP1536">
            <v>0</v>
          </cell>
          <cell r="AQ1536">
            <v>0</v>
          </cell>
          <cell r="AV1536">
            <v>0</v>
          </cell>
        </row>
        <row r="1537">
          <cell r="E1537" t="str">
            <v>D26001197</v>
          </cell>
          <cell r="AP1537">
            <v>0</v>
          </cell>
          <cell r="AQ1537">
            <v>0</v>
          </cell>
          <cell r="AV1537">
            <v>0</v>
          </cell>
        </row>
        <row r="1538">
          <cell r="E1538" t="str">
            <v>B26001389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B26001896</v>
          </cell>
          <cell r="AP1539">
            <v>0</v>
          </cell>
          <cell r="AQ1539">
            <v>0</v>
          </cell>
          <cell r="AV1539">
            <v>0</v>
          </cell>
        </row>
        <row r="1540">
          <cell r="E1540" t="str">
            <v>B26001897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D25017318</v>
          </cell>
          <cell r="AP1541">
            <v>0</v>
          </cell>
          <cell r="AQ1541">
            <v>0</v>
          </cell>
          <cell r="AV1541">
            <v>13990200</v>
          </cell>
        </row>
        <row r="1542">
          <cell r="E1542" t="str">
            <v>B25015380</v>
          </cell>
          <cell r="AP1542">
            <v>0</v>
          </cell>
          <cell r="AQ1542">
            <v>0</v>
          </cell>
          <cell r="AV1542">
            <v>1350000</v>
          </cell>
        </row>
        <row r="1543">
          <cell r="E1543" t="str">
            <v>B25015502</v>
          </cell>
          <cell r="AP1543">
            <v>0</v>
          </cell>
          <cell r="AQ1543">
            <v>0</v>
          </cell>
          <cell r="AV1543">
            <v>1760000</v>
          </cell>
        </row>
        <row r="1544">
          <cell r="E1544" t="str">
            <v>D25018160</v>
          </cell>
          <cell r="AP1544">
            <v>0</v>
          </cell>
          <cell r="AQ1544">
            <v>0</v>
          </cell>
          <cell r="AV1544">
            <v>2899800</v>
          </cell>
        </row>
        <row r="1545">
          <cell r="E1545" t="str">
            <v>B25016063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B25016154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B25016418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B25016550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D25019411</v>
          </cell>
          <cell r="AP1549">
            <v>0</v>
          </cell>
          <cell r="AQ1549">
            <v>0</v>
          </cell>
          <cell r="AV1549">
            <v>0</v>
          </cell>
        </row>
        <row r="1550">
          <cell r="E1550" t="str">
            <v>B25017052</v>
          </cell>
          <cell r="AP1550">
            <v>0</v>
          </cell>
          <cell r="AQ1550">
            <v>0</v>
          </cell>
          <cell r="AV1550">
            <v>0</v>
          </cell>
        </row>
        <row r="1551">
          <cell r="E1551" t="str">
            <v>B26000047</v>
          </cell>
          <cell r="AP1551">
            <v>0</v>
          </cell>
          <cell r="AQ1551">
            <v>0</v>
          </cell>
          <cell r="AV1551">
            <v>0</v>
          </cell>
        </row>
        <row r="1552">
          <cell r="E1552" t="str">
            <v>B26000244</v>
          </cell>
          <cell r="AP1552">
            <v>0</v>
          </cell>
          <cell r="AQ1552">
            <v>0</v>
          </cell>
          <cell r="AV1552">
            <v>0</v>
          </cell>
        </row>
        <row r="1553">
          <cell r="E1553" t="str">
            <v>B26000324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B26000701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D26000758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B26001359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B26001578</v>
          </cell>
          <cell r="AP1557">
            <v>0</v>
          </cell>
          <cell r="AQ1557">
            <v>0</v>
          </cell>
          <cell r="AV1557">
            <v>0</v>
          </cell>
        </row>
        <row r="1558">
          <cell r="E1558" t="str">
            <v>B26001629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B26001675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B26001704</v>
          </cell>
          <cell r="AP1560">
            <v>0</v>
          </cell>
          <cell r="AQ1560">
            <v>0</v>
          </cell>
          <cell r="AV1560">
            <v>0</v>
          </cell>
        </row>
        <row r="1561">
          <cell r="E1561" t="str">
            <v>D26001945</v>
          </cell>
          <cell r="AP1561">
            <v>0</v>
          </cell>
          <cell r="AQ1561">
            <v>0</v>
          </cell>
          <cell r="AV1561">
            <v>0</v>
          </cell>
        </row>
        <row r="1562">
          <cell r="E1562" t="str">
            <v>D26000861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D25016535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D25017076</v>
          </cell>
          <cell r="AP1564">
            <v>0</v>
          </cell>
          <cell r="AQ1564">
            <v>0</v>
          </cell>
          <cell r="AV1564">
            <v>3360000</v>
          </cell>
        </row>
        <row r="1565">
          <cell r="E1565" t="str">
            <v>B25014981</v>
          </cell>
          <cell r="AP1565">
            <v>0</v>
          </cell>
          <cell r="AQ1565">
            <v>0</v>
          </cell>
          <cell r="AV1565">
            <v>0</v>
          </cell>
        </row>
        <row r="1566">
          <cell r="E1566" t="str">
            <v>D25017295</v>
          </cell>
          <cell r="AP1566">
            <v>0</v>
          </cell>
          <cell r="AQ1566">
            <v>0</v>
          </cell>
          <cell r="AV1566">
            <v>0</v>
          </cell>
        </row>
        <row r="1567">
          <cell r="E1567" t="str">
            <v>B25016007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B25016087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B25016228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B25016798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B25016802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B25017093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D26000237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B26000783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B26001561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B25014225</v>
          </cell>
          <cell r="AP1576">
            <v>0</v>
          </cell>
          <cell r="AQ1576">
            <v>0</v>
          </cell>
          <cell r="AV1576">
            <v>46055000</v>
          </cell>
        </row>
        <row r="1577">
          <cell r="E1577" t="str">
            <v>B25014226</v>
          </cell>
          <cell r="AP1577">
            <v>0</v>
          </cell>
          <cell r="AQ1577">
            <v>0</v>
          </cell>
          <cell r="AV1577">
            <v>13900000</v>
          </cell>
        </row>
        <row r="1578">
          <cell r="E1578" t="str">
            <v>B25014517</v>
          </cell>
          <cell r="AP1578">
            <v>0</v>
          </cell>
          <cell r="AQ1578">
            <v>0</v>
          </cell>
          <cell r="AV1578">
            <v>27800000</v>
          </cell>
        </row>
        <row r="1579">
          <cell r="E1579" t="str">
            <v>D25017414</v>
          </cell>
          <cell r="AP1579">
            <v>0</v>
          </cell>
          <cell r="AQ1579">
            <v>0</v>
          </cell>
          <cell r="AV1579">
            <v>4200000</v>
          </cell>
        </row>
        <row r="1580">
          <cell r="E1580" t="str">
            <v>T25001720K</v>
          </cell>
          <cell r="AP1580">
            <v>0</v>
          </cell>
          <cell r="AQ1580">
            <v>0</v>
          </cell>
          <cell r="AV1580">
            <v>0</v>
          </cell>
        </row>
        <row r="1581">
          <cell r="E1581" t="str">
            <v>D25017650</v>
          </cell>
          <cell r="AP1581">
            <v>0</v>
          </cell>
          <cell r="AQ1581">
            <v>0</v>
          </cell>
          <cell r="AV1581">
            <v>22050000</v>
          </cell>
        </row>
        <row r="1582">
          <cell r="E1582" t="str">
            <v>B25015494</v>
          </cell>
          <cell r="AP1582">
            <v>0</v>
          </cell>
          <cell r="AQ1582">
            <v>0</v>
          </cell>
          <cell r="AV1582">
            <v>22880000</v>
          </cell>
        </row>
        <row r="1583">
          <cell r="E1583" t="str">
            <v>D25018030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D25018036</v>
          </cell>
          <cell r="AP1584">
            <v>0</v>
          </cell>
          <cell r="AQ1584">
            <v>0</v>
          </cell>
          <cell r="AV1584">
            <v>11120000</v>
          </cell>
        </row>
        <row r="1585">
          <cell r="E1585" t="str">
            <v>B25015871</v>
          </cell>
          <cell r="AP1585">
            <v>0</v>
          </cell>
          <cell r="AQ1585">
            <v>0</v>
          </cell>
          <cell r="AV1585">
            <v>9450000</v>
          </cell>
        </row>
        <row r="1586">
          <cell r="E1586" t="str">
            <v>B25015935</v>
          </cell>
          <cell r="AP1586">
            <v>0</v>
          </cell>
          <cell r="AQ1586">
            <v>0</v>
          </cell>
          <cell r="AV1586">
            <v>8400000</v>
          </cell>
        </row>
        <row r="1587">
          <cell r="E1587" t="str">
            <v>B25015936</v>
          </cell>
          <cell r="AP1587">
            <v>0</v>
          </cell>
          <cell r="AQ1587">
            <v>0</v>
          </cell>
          <cell r="AV1587">
            <v>5400000</v>
          </cell>
        </row>
        <row r="1588">
          <cell r="E1588" t="str">
            <v>B25016022</v>
          </cell>
          <cell r="AP1588">
            <v>0</v>
          </cell>
          <cell r="AQ1588">
            <v>0</v>
          </cell>
          <cell r="AV1588">
            <v>0</v>
          </cell>
        </row>
        <row r="1589">
          <cell r="E1589" t="str">
            <v>B25016035</v>
          </cell>
          <cell r="AP1589">
            <v>0</v>
          </cell>
          <cell r="AQ1589">
            <v>0</v>
          </cell>
          <cell r="AV1589">
            <v>59920000</v>
          </cell>
        </row>
        <row r="1590">
          <cell r="E1590" t="str">
            <v>D25018449</v>
          </cell>
          <cell r="AP1590">
            <v>0</v>
          </cell>
          <cell r="AQ1590">
            <v>0</v>
          </cell>
          <cell r="AV1590">
            <v>14700000</v>
          </cell>
        </row>
        <row r="1591">
          <cell r="E1591" t="str">
            <v>D25018452</v>
          </cell>
          <cell r="AP1591">
            <v>0</v>
          </cell>
          <cell r="AQ1591">
            <v>0</v>
          </cell>
          <cell r="AV1591">
            <v>20350000</v>
          </cell>
        </row>
        <row r="1592">
          <cell r="E1592" t="str">
            <v>D25018462</v>
          </cell>
          <cell r="AP1592">
            <v>0</v>
          </cell>
          <cell r="AQ1592">
            <v>0</v>
          </cell>
          <cell r="AV1592">
            <v>3000000</v>
          </cell>
        </row>
        <row r="1593">
          <cell r="E1593" t="str">
            <v>B25016099</v>
          </cell>
          <cell r="AP1593">
            <v>0</v>
          </cell>
          <cell r="AQ1593">
            <v>0</v>
          </cell>
          <cell r="AV1593">
            <v>3600000</v>
          </cell>
        </row>
        <row r="1594">
          <cell r="E1594" t="str">
            <v>D25018538</v>
          </cell>
          <cell r="AP1594">
            <v>0</v>
          </cell>
          <cell r="AQ1594">
            <v>0</v>
          </cell>
          <cell r="AV1594">
            <v>5832000</v>
          </cell>
        </row>
        <row r="1595">
          <cell r="E1595" t="str">
            <v>B25016381</v>
          </cell>
          <cell r="AP1595">
            <v>0</v>
          </cell>
          <cell r="AQ1595">
            <v>0</v>
          </cell>
          <cell r="AV1595">
            <v>38820000</v>
          </cell>
        </row>
        <row r="1596">
          <cell r="E1596" t="str">
            <v>D25018937</v>
          </cell>
          <cell r="AP1596">
            <v>0</v>
          </cell>
          <cell r="AQ1596">
            <v>0</v>
          </cell>
          <cell r="AV1596">
            <v>0</v>
          </cell>
        </row>
        <row r="1597">
          <cell r="E1597" t="str">
            <v>B25016507</v>
          </cell>
          <cell r="AP1597">
            <v>0</v>
          </cell>
          <cell r="AQ1597">
            <v>0</v>
          </cell>
          <cell r="AV1597">
            <v>3320000</v>
          </cell>
        </row>
        <row r="1598">
          <cell r="E1598" t="str">
            <v>B25016519</v>
          </cell>
          <cell r="AP1598">
            <v>0</v>
          </cell>
          <cell r="AQ1598">
            <v>0</v>
          </cell>
          <cell r="AV1598">
            <v>0</v>
          </cell>
        </row>
        <row r="1599">
          <cell r="E1599" t="str">
            <v>B25016585</v>
          </cell>
          <cell r="AP1599">
            <v>0</v>
          </cell>
          <cell r="AQ1599">
            <v>0</v>
          </cell>
          <cell r="AV1599">
            <v>6300000</v>
          </cell>
        </row>
        <row r="1600">
          <cell r="E1600" t="str">
            <v>B25016610</v>
          </cell>
          <cell r="AP1600">
            <v>0</v>
          </cell>
          <cell r="AQ1600">
            <v>0</v>
          </cell>
          <cell r="AV1600">
            <v>0</v>
          </cell>
        </row>
        <row r="1601">
          <cell r="E1601" t="str">
            <v>D25019152</v>
          </cell>
          <cell r="AP1601">
            <v>0</v>
          </cell>
          <cell r="AQ1601">
            <v>0</v>
          </cell>
          <cell r="AV1601">
            <v>36000000</v>
          </cell>
        </row>
        <row r="1602">
          <cell r="E1602" t="str">
            <v>B25016775</v>
          </cell>
          <cell r="AP1602">
            <v>0</v>
          </cell>
          <cell r="AQ1602">
            <v>0</v>
          </cell>
          <cell r="AV1602">
            <v>50000000</v>
          </cell>
        </row>
        <row r="1603">
          <cell r="E1603" t="str">
            <v>D25019315</v>
          </cell>
          <cell r="AP1603">
            <v>0</v>
          </cell>
          <cell r="AQ1603">
            <v>0</v>
          </cell>
          <cell r="AV1603">
            <v>119900000</v>
          </cell>
        </row>
        <row r="1604">
          <cell r="E1604" t="str">
            <v>D25019343</v>
          </cell>
          <cell r="AP1604">
            <v>0</v>
          </cell>
          <cell r="AQ1604">
            <v>0</v>
          </cell>
          <cell r="AV1604">
            <v>0</v>
          </cell>
        </row>
        <row r="1605">
          <cell r="E1605" t="str">
            <v>D25019376</v>
          </cell>
          <cell r="AP1605">
            <v>0</v>
          </cell>
          <cell r="AQ1605">
            <v>0</v>
          </cell>
          <cell r="AV1605">
            <v>10625000</v>
          </cell>
        </row>
        <row r="1606">
          <cell r="E1606" t="str">
            <v>D25019377</v>
          </cell>
          <cell r="AP1606">
            <v>0</v>
          </cell>
          <cell r="AQ1606">
            <v>0</v>
          </cell>
          <cell r="AV1606">
            <v>8400000</v>
          </cell>
        </row>
        <row r="1607">
          <cell r="E1607" t="str">
            <v>B25016973</v>
          </cell>
          <cell r="AP1607">
            <v>0</v>
          </cell>
          <cell r="AQ1607">
            <v>0</v>
          </cell>
          <cell r="AV1607">
            <v>43575000</v>
          </cell>
        </row>
        <row r="1608">
          <cell r="E1608" t="str">
            <v>B25016974</v>
          </cell>
          <cell r="AP1608">
            <v>0</v>
          </cell>
          <cell r="AQ1608">
            <v>0</v>
          </cell>
          <cell r="AV1608">
            <v>1260000</v>
          </cell>
        </row>
        <row r="1609">
          <cell r="E1609" t="str">
            <v>B25016975</v>
          </cell>
          <cell r="AP1609">
            <v>0</v>
          </cell>
          <cell r="AQ1609">
            <v>0</v>
          </cell>
          <cell r="AV1609">
            <v>7440000</v>
          </cell>
        </row>
        <row r="1610">
          <cell r="E1610" t="str">
            <v>B26000267</v>
          </cell>
          <cell r="AP1610">
            <v>0</v>
          </cell>
          <cell r="AQ1610">
            <v>0</v>
          </cell>
          <cell r="AV1610">
            <v>0</v>
          </cell>
        </row>
        <row r="1611">
          <cell r="E1611" t="str">
            <v>B26000268</v>
          </cell>
          <cell r="AP1611">
            <v>0</v>
          </cell>
          <cell r="AQ1611">
            <v>0</v>
          </cell>
          <cell r="AV1611">
            <v>0</v>
          </cell>
        </row>
        <row r="1612">
          <cell r="E1612" t="str">
            <v>B26000284</v>
          </cell>
          <cell r="AP1612">
            <v>0</v>
          </cell>
          <cell r="AQ1612">
            <v>0</v>
          </cell>
          <cell r="AV1612">
            <v>0</v>
          </cell>
        </row>
        <row r="1613">
          <cell r="E1613" t="str">
            <v>B26000323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D26000387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D26000391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B26000395</v>
          </cell>
          <cell r="AP1616">
            <v>0</v>
          </cell>
          <cell r="AQ1616">
            <v>0</v>
          </cell>
          <cell r="AV1616">
            <v>0</v>
          </cell>
        </row>
        <row r="1617">
          <cell r="E1617" t="str">
            <v>B26000666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D26000737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D26000873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D26000882</v>
          </cell>
          <cell r="AP1620">
            <v>0</v>
          </cell>
          <cell r="AQ1620">
            <v>0</v>
          </cell>
          <cell r="AV1620">
            <v>0</v>
          </cell>
        </row>
        <row r="1621">
          <cell r="E1621" t="str">
            <v>D26000884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B26000827</v>
          </cell>
          <cell r="AP1622">
            <v>0</v>
          </cell>
          <cell r="AQ1622">
            <v>0</v>
          </cell>
          <cell r="AV1622">
            <v>0</v>
          </cell>
        </row>
        <row r="1623">
          <cell r="E1623" t="str">
            <v>B26000831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B26000872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D26000914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B26000926</v>
          </cell>
          <cell r="AP1626">
            <v>0</v>
          </cell>
          <cell r="AQ1626">
            <v>0</v>
          </cell>
          <cell r="AV1626">
            <v>0</v>
          </cell>
        </row>
        <row r="1627">
          <cell r="E1627" t="str">
            <v>D26001016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B26001032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B26001033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B26001047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D26001140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D26001157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B26001163</v>
          </cell>
          <cell r="AP1633">
            <v>0</v>
          </cell>
          <cell r="AQ1633">
            <v>0</v>
          </cell>
          <cell r="AV1633">
            <v>0</v>
          </cell>
        </row>
        <row r="1634">
          <cell r="E1634" t="str">
            <v>D26001214</v>
          </cell>
          <cell r="AP1634">
            <v>0</v>
          </cell>
          <cell r="AQ1634">
            <v>0</v>
          </cell>
          <cell r="AV1634">
            <v>0</v>
          </cell>
        </row>
        <row r="1635">
          <cell r="E1635" t="str">
            <v>B26001239</v>
          </cell>
          <cell r="AP1635">
            <v>0</v>
          </cell>
          <cell r="AQ1635">
            <v>0</v>
          </cell>
          <cell r="AV1635">
            <v>0</v>
          </cell>
        </row>
        <row r="1636">
          <cell r="E1636" t="str">
            <v>D26001300</v>
          </cell>
          <cell r="AP1636">
            <v>0</v>
          </cell>
          <cell r="AQ1636">
            <v>0</v>
          </cell>
          <cell r="AV1636">
            <v>0</v>
          </cell>
        </row>
        <row r="1637">
          <cell r="E1637" t="str">
            <v>D26001326</v>
          </cell>
          <cell r="AP1637">
            <v>0</v>
          </cell>
          <cell r="AQ1637">
            <v>0</v>
          </cell>
          <cell r="AV1637">
            <v>0</v>
          </cell>
        </row>
        <row r="1638">
          <cell r="E1638" t="str">
            <v>D26001367</v>
          </cell>
          <cell r="AP1638">
            <v>0</v>
          </cell>
          <cell r="AQ1638">
            <v>0</v>
          </cell>
          <cell r="AV1638">
            <v>0</v>
          </cell>
        </row>
        <row r="1639">
          <cell r="E1639" t="str">
            <v>D26001574</v>
          </cell>
          <cell r="AP1639">
            <v>0</v>
          </cell>
          <cell r="AQ1639">
            <v>0</v>
          </cell>
          <cell r="AV1639">
            <v>0</v>
          </cell>
        </row>
        <row r="1640">
          <cell r="E1640" t="str">
            <v>B26001538</v>
          </cell>
          <cell r="AP1640">
            <v>0</v>
          </cell>
          <cell r="AQ1640">
            <v>0</v>
          </cell>
          <cell r="AV1640">
            <v>2250000</v>
          </cell>
        </row>
        <row r="1641">
          <cell r="E1641" t="str">
            <v>B26001560</v>
          </cell>
          <cell r="AP1641">
            <v>0</v>
          </cell>
          <cell r="AQ1641">
            <v>0</v>
          </cell>
          <cell r="AV1641">
            <v>0</v>
          </cell>
        </row>
        <row r="1642">
          <cell r="E1642" t="str">
            <v>D26001685</v>
          </cell>
          <cell r="AP1642">
            <v>0</v>
          </cell>
          <cell r="AQ1642">
            <v>0</v>
          </cell>
          <cell r="AV1642">
            <v>0</v>
          </cell>
        </row>
        <row r="1643">
          <cell r="E1643" t="str">
            <v>D26001686</v>
          </cell>
          <cell r="AP1643">
            <v>0</v>
          </cell>
          <cell r="AQ1643">
            <v>0</v>
          </cell>
          <cell r="AV1643">
            <v>0</v>
          </cell>
        </row>
        <row r="1644">
          <cell r="E1644" t="str">
            <v>D26001687</v>
          </cell>
          <cell r="AP1644">
            <v>0</v>
          </cell>
          <cell r="AQ1644">
            <v>0</v>
          </cell>
          <cell r="AV1644">
            <v>0</v>
          </cell>
        </row>
        <row r="1645">
          <cell r="E1645" t="str">
            <v>D26001742</v>
          </cell>
          <cell r="AP1645">
            <v>0</v>
          </cell>
          <cell r="AQ1645">
            <v>0</v>
          </cell>
          <cell r="AV1645">
            <v>0</v>
          </cell>
        </row>
        <row r="1646">
          <cell r="E1646" t="str">
            <v>D26001796</v>
          </cell>
          <cell r="AP1646">
            <v>0</v>
          </cell>
          <cell r="AQ1646">
            <v>0</v>
          </cell>
          <cell r="AV1646">
            <v>0</v>
          </cell>
        </row>
        <row r="1647">
          <cell r="E1647" t="str">
            <v>B26001730</v>
          </cell>
          <cell r="AP1647">
            <v>0</v>
          </cell>
          <cell r="AQ1647">
            <v>0</v>
          </cell>
          <cell r="AV1647">
            <v>0</v>
          </cell>
        </row>
        <row r="1648">
          <cell r="E1648" t="str">
            <v>D26001867</v>
          </cell>
          <cell r="AP1648">
            <v>0</v>
          </cell>
          <cell r="AQ1648">
            <v>0</v>
          </cell>
          <cell r="AV1648">
            <v>0</v>
          </cell>
        </row>
        <row r="1649">
          <cell r="E1649" t="str">
            <v>B26001840</v>
          </cell>
          <cell r="AP1649">
            <v>0</v>
          </cell>
          <cell r="AQ1649">
            <v>0</v>
          </cell>
          <cell r="AV1649">
            <v>0</v>
          </cell>
        </row>
        <row r="1650">
          <cell r="E1650" t="str">
            <v>B26001844</v>
          </cell>
          <cell r="AP1650">
            <v>0</v>
          </cell>
          <cell r="AQ1650">
            <v>0</v>
          </cell>
          <cell r="AV1650">
            <v>0</v>
          </cell>
        </row>
        <row r="1651">
          <cell r="E1651" t="str">
            <v>B26001854</v>
          </cell>
          <cell r="AP1651">
            <v>0</v>
          </cell>
          <cell r="AQ1651">
            <v>0</v>
          </cell>
          <cell r="AV1651">
            <v>0</v>
          </cell>
        </row>
        <row r="1652">
          <cell r="E1652" t="str">
            <v>B26001859</v>
          </cell>
          <cell r="AP1652">
            <v>0</v>
          </cell>
          <cell r="AQ1652">
            <v>0</v>
          </cell>
          <cell r="AV1652">
            <v>0</v>
          </cell>
        </row>
        <row r="1653">
          <cell r="E1653" t="str">
            <v>D26001967</v>
          </cell>
          <cell r="AP1653">
            <v>0</v>
          </cell>
          <cell r="AQ1653">
            <v>0</v>
          </cell>
          <cell r="AV1653">
            <v>0</v>
          </cell>
        </row>
        <row r="1654">
          <cell r="E1654" t="str">
            <v>T26000139</v>
          </cell>
          <cell r="AP1654">
            <v>0</v>
          </cell>
          <cell r="AQ1654">
            <v>0</v>
          </cell>
          <cell r="AV1654">
            <v>0</v>
          </cell>
        </row>
        <row r="1655">
          <cell r="E1655" t="str">
            <v>D26000060</v>
          </cell>
          <cell r="AP1655">
            <v>0</v>
          </cell>
          <cell r="AQ1655">
            <v>0</v>
          </cell>
          <cell r="AV1655">
            <v>0</v>
          </cell>
        </row>
        <row r="1656">
          <cell r="E1656" t="str">
            <v>B26000190</v>
          </cell>
          <cell r="AP1656">
            <v>0</v>
          </cell>
          <cell r="AQ1656">
            <v>0</v>
          </cell>
          <cell r="AV1656">
            <v>0</v>
          </cell>
        </row>
        <row r="1657">
          <cell r="E1657" t="str">
            <v>B26000214</v>
          </cell>
          <cell r="AP1657">
            <v>0</v>
          </cell>
          <cell r="AQ1657">
            <v>0</v>
          </cell>
          <cell r="AV1657">
            <v>0</v>
          </cell>
        </row>
        <row r="1658">
          <cell r="E1658" t="str">
            <v>D26000496</v>
          </cell>
          <cell r="AP1658">
            <v>0</v>
          </cell>
          <cell r="AQ1658">
            <v>0</v>
          </cell>
          <cell r="AV1658">
            <v>0</v>
          </cell>
        </row>
        <row r="1659">
          <cell r="E1659" t="str">
            <v>D26000497</v>
          </cell>
          <cell r="AP1659">
            <v>0</v>
          </cell>
          <cell r="AQ1659">
            <v>0</v>
          </cell>
          <cell r="AV1659">
            <v>0</v>
          </cell>
        </row>
        <row r="1660">
          <cell r="E1660" t="str">
            <v>D26000878</v>
          </cell>
          <cell r="AP1660">
            <v>0</v>
          </cell>
          <cell r="AQ1660">
            <v>0</v>
          </cell>
          <cell r="AV1660">
            <v>0</v>
          </cell>
        </row>
        <row r="1661">
          <cell r="E1661" t="str">
            <v>T26000054</v>
          </cell>
          <cell r="AP1661">
            <v>0</v>
          </cell>
          <cell r="AQ1661">
            <v>0</v>
          </cell>
          <cell r="AV1661">
            <v>0</v>
          </cell>
        </row>
        <row r="1662">
          <cell r="E1662" t="str">
            <v>T26000055</v>
          </cell>
          <cell r="AP1662">
            <v>0</v>
          </cell>
          <cell r="AQ1662">
            <v>0</v>
          </cell>
          <cell r="AV1662">
            <v>0</v>
          </cell>
        </row>
        <row r="1663">
          <cell r="E1663" t="str">
            <v>B26001384</v>
          </cell>
          <cell r="AP1663">
            <v>0</v>
          </cell>
          <cell r="AQ1663">
            <v>0</v>
          </cell>
          <cell r="AV1663">
            <v>0</v>
          </cell>
        </row>
        <row r="1664">
          <cell r="E1664" t="str">
            <v>B26001385</v>
          </cell>
          <cell r="AP1664">
            <v>0</v>
          </cell>
          <cell r="AQ1664">
            <v>0</v>
          </cell>
          <cell r="AV1664">
            <v>0</v>
          </cell>
        </row>
        <row r="1665">
          <cell r="E1665" t="str">
            <v>D26001559</v>
          </cell>
          <cell r="AP1665">
            <v>0</v>
          </cell>
          <cell r="AQ1665">
            <v>0</v>
          </cell>
          <cell r="AV1665">
            <v>0</v>
          </cell>
        </row>
        <row r="1666">
          <cell r="E1666" t="str">
            <v>B26001568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B25015550</v>
          </cell>
          <cell r="AP1667">
            <v>0</v>
          </cell>
          <cell r="AQ1667">
            <v>0</v>
          </cell>
          <cell r="AV1667">
            <v>6135000</v>
          </cell>
        </row>
        <row r="1668">
          <cell r="E1668" t="str">
            <v>B25015864</v>
          </cell>
          <cell r="AP1668">
            <v>0</v>
          </cell>
          <cell r="AQ1668">
            <v>0</v>
          </cell>
          <cell r="AV1668">
            <v>10840000</v>
          </cell>
        </row>
        <row r="1669">
          <cell r="E1669" t="str">
            <v>B25016092</v>
          </cell>
          <cell r="AP1669">
            <v>0</v>
          </cell>
          <cell r="AQ1669">
            <v>0</v>
          </cell>
          <cell r="AV1669">
            <v>2750000</v>
          </cell>
        </row>
        <row r="1670">
          <cell r="E1670" t="str">
            <v>B25016384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D25019393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D25019652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B26000606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B26000956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B26001207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D26000012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D26000395</v>
          </cell>
          <cell r="AP1677">
            <v>0</v>
          </cell>
          <cell r="AQ1677">
            <v>0</v>
          </cell>
          <cell r="AV1677">
            <v>0</v>
          </cell>
        </row>
        <row r="1678">
          <cell r="E1678" t="str">
            <v>B26000722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B26001094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D26001151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B26001635</v>
          </cell>
          <cell r="AP1681">
            <v>0</v>
          </cell>
          <cell r="AQ1681">
            <v>0</v>
          </cell>
          <cell r="AV1681">
            <v>12950000</v>
          </cell>
        </row>
        <row r="1682">
          <cell r="E1682" t="str">
            <v>D26001766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B26001763</v>
          </cell>
          <cell r="AP1683">
            <v>0</v>
          </cell>
          <cell r="AQ1683">
            <v>0</v>
          </cell>
          <cell r="AV1683">
            <v>0</v>
          </cell>
        </row>
        <row r="1684">
          <cell r="E1684" t="str">
            <v>D25019621</v>
          </cell>
          <cell r="AP1684">
            <v>0</v>
          </cell>
          <cell r="AQ1684">
            <v>0</v>
          </cell>
          <cell r="AV1684">
            <v>2580000</v>
          </cell>
        </row>
        <row r="1685">
          <cell r="E1685" t="str">
            <v>D25019622</v>
          </cell>
          <cell r="AP1685">
            <v>0</v>
          </cell>
          <cell r="AQ1685">
            <v>0</v>
          </cell>
          <cell r="AV1685">
            <v>4782500</v>
          </cell>
        </row>
        <row r="1686">
          <cell r="E1686" t="str">
            <v>D25019623</v>
          </cell>
          <cell r="AP1686">
            <v>0</v>
          </cell>
          <cell r="AQ1686">
            <v>0</v>
          </cell>
          <cell r="AV1686">
            <v>1497500</v>
          </cell>
        </row>
        <row r="1687">
          <cell r="E1687" t="str">
            <v>D25019624</v>
          </cell>
          <cell r="AP1687">
            <v>0</v>
          </cell>
          <cell r="AQ1687">
            <v>0</v>
          </cell>
          <cell r="AV1687">
            <v>1440000</v>
          </cell>
        </row>
        <row r="1688">
          <cell r="E1688" t="str">
            <v>T25001894</v>
          </cell>
          <cell r="AP1688">
            <v>0</v>
          </cell>
          <cell r="AQ1688">
            <v>0</v>
          </cell>
          <cell r="AV1688">
            <v>180000</v>
          </cell>
        </row>
        <row r="1689">
          <cell r="E1689" t="str">
            <v>B25017101</v>
          </cell>
          <cell r="AP1689">
            <v>0</v>
          </cell>
          <cell r="AQ1689">
            <v>0</v>
          </cell>
          <cell r="AV1689">
            <v>5120000</v>
          </cell>
        </row>
        <row r="1690">
          <cell r="E1690" t="str">
            <v>D26000201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D26000220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D26000568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D26000569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D26000570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D26000571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D26000572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D26000573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B26000585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B26000640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B26001196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B26001197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B26001198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B26001199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B26001200</v>
          </cell>
          <cell r="AP1704">
            <v>0</v>
          </cell>
          <cell r="AQ1704">
            <v>0</v>
          </cell>
          <cell r="AV1704">
            <v>0</v>
          </cell>
        </row>
        <row r="1705">
          <cell r="E1705" t="str">
            <v>D26001307</v>
          </cell>
          <cell r="AP1705">
            <v>0</v>
          </cell>
          <cell r="AQ1705">
            <v>0</v>
          </cell>
          <cell r="AV1705">
            <v>0</v>
          </cell>
        </row>
        <row r="1706">
          <cell r="E1706" t="str">
            <v>B26001786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B26001787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B26001788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B26001789</v>
          </cell>
          <cell r="AP1709">
            <v>0</v>
          </cell>
          <cell r="AQ1709">
            <v>0</v>
          </cell>
          <cell r="AV1709">
            <v>0</v>
          </cell>
        </row>
        <row r="1710">
          <cell r="E1710" t="str">
            <v>B26001790</v>
          </cell>
          <cell r="AP1710">
            <v>0</v>
          </cell>
          <cell r="AQ1710">
            <v>0</v>
          </cell>
          <cell r="AV1710">
            <v>3880000</v>
          </cell>
        </row>
        <row r="1711">
          <cell r="E1711" t="str">
            <v>B26001791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D26001149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B26001901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D25018262</v>
          </cell>
          <cell r="AP1714">
            <v>0</v>
          </cell>
          <cell r="AQ1714">
            <v>0</v>
          </cell>
          <cell r="AV1714">
            <v>6000000</v>
          </cell>
        </row>
        <row r="1715">
          <cell r="E1715" t="str">
            <v>D26002017</v>
          </cell>
          <cell r="AP1715">
            <v>0</v>
          </cell>
          <cell r="AQ1715">
            <v>0</v>
          </cell>
          <cell r="AV1715">
            <v>0</v>
          </cell>
        </row>
        <row r="1716">
          <cell r="E1716" t="str">
            <v>T25001796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D26000332</v>
          </cell>
          <cell r="AP1717">
            <v>0</v>
          </cell>
          <cell r="AQ1717">
            <v>0</v>
          </cell>
          <cell r="AV1717">
            <v>0</v>
          </cell>
        </row>
        <row r="1718">
          <cell r="E1718" t="str">
            <v>B26000333</v>
          </cell>
          <cell r="AP1718">
            <v>0</v>
          </cell>
          <cell r="AQ1718">
            <v>0</v>
          </cell>
          <cell r="AV1718">
            <v>0</v>
          </cell>
        </row>
        <row r="1719">
          <cell r="E1719" t="str">
            <v>D26001846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D26001670</v>
          </cell>
          <cell r="AP1720">
            <v>7140000</v>
          </cell>
          <cell r="AQ1720">
            <v>0</v>
          </cell>
          <cell r="AV1720">
            <v>0</v>
          </cell>
        </row>
        <row r="1721">
          <cell r="E1721" t="str">
            <v>D26001738</v>
          </cell>
          <cell r="AP1721">
            <v>0</v>
          </cell>
          <cell r="AQ1721">
            <v>0</v>
          </cell>
          <cell r="AV1721">
            <v>115000000</v>
          </cell>
        </row>
        <row r="1722">
          <cell r="E1722" t="str">
            <v>B26001650</v>
          </cell>
          <cell r="AP1722">
            <v>0</v>
          </cell>
          <cell r="AQ1722">
            <v>0</v>
          </cell>
          <cell r="AV1722">
            <v>27200000</v>
          </cell>
        </row>
        <row r="1723">
          <cell r="E1723" t="str">
            <v>B26001735</v>
          </cell>
          <cell r="AP1723">
            <v>0</v>
          </cell>
          <cell r="AQ1723">
            <v>0</v>
          </cell>
          <cell r="AV1723">
            <v>96660000</v>
          </cell>
        </row>
        <row r="1724">
          <cell r="E1724" t="str">
            <v>B26001751</v>
          </cell>
          <cell r="AP1724">
            <v>0</v>
          </cell>
          <cell r="AQ1724">
            <v>0</v>
          </cell>
          <cell r="AV1724">
            <v>297375000</v>
          </cell>
        </row>
        <row r="1725">
          <cell r="E1725" t="str">
            <v>B26001802</v>
          </cell>
          <cell r="AP1725">
            <v>0</v>
          </cell>
          <cell r="AQ1725">
            <v>0</v>
          </cell>
          <cell r="AV1725">
            <v>184000000</v>
          </cell>
        </row>
        <row r="1726">
          <cell r="E1726" t="str">
            <v>D26001912</v>
          </cell>
          <cell r="AP1726">
            <v>0</v>
          </cell>
          <cell r="AQ1726">
            <v>0</v>
          </cell>
          <cell r="AV1726">
            <v>244250000</v>
          </cell>
        </row>
        <row r="1727">
          <cell r="E1727" t="str">
            <v>B26001847</v>
          </cell>
          <cell r="AP1727">
            <v>0</v>
          </cell>
          <cell r="AQ1727">
            <v>0</v>
          </cell>
          <cell r="AV1727">
            <v>30000000</v>
          </cell>
        </row>
        <row r="1728">
          <cell r="E1728" t="str">
            <v>B26001891</v>
          </cell>
          <cell r="AP1728">
            <v>0</v>
          </cell>
          <cell r="AQ1728">
            <v>0</v>
          </cell>
          <cell r="AV1728">
            <v>34750000</v>
          </cell>
        </row>
        <row r="1729">
          <cell r="E1729" t="str">
            <v>B26001939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D26002066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D26002088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B25005869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D25010517</v>
          </cell>
          <cell r="AP1733">
            <v>0</v>
          </cell>
          <cell r="AQ1733">
            <v>0</v>
          </cell>
          <cell r="AV1733">
            <v>0</v>
          </cell>
        </row>
        <row r="1734">
          <cell r="E1734" t="str">
            <v>D26002022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 t="str">
            <v>B25015254</v>
          </cell>
          <cell r="AP1735">
            <v>0</v>
          </cell>
          <cell r="AQ1735">
            <v>0</v>
          </cell>
          <cell r="AV1735">
            <v>20000000</v>
          </cell>
        </row>
        <row r="1736">
          <cell r="E1736" t="str">
            <v>B26000617</v>
          </cell>
          <cell r="AP1736">
            <v>0</v>
          </cell>
          <cell r="AQ1736">
            <v>0</v>
          </cell>
          <cell r="AV1736">
            <v>0</v>
          </cell>
        </row>
        <row r="1737">
          <cell r="E1737" t="str">
            <v>D25019574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D26002082</v>
          </cell>
          <cell r="AP1738">
            <v>0</v>
          </cell>
          <cell r="AQ1738">
            <v>0</v>
          </cell>
          <cell r="AV1738">
            <v>0</v>
          </cell>
        </row>
        <row r="1739">
          <cell r="E1739" t="str">
            <v>B26000044</v>
          </cell>
          <cell r="AP1739">
            <v>0</v>
          </cell>
          <cell r="AQ1739">
            <v>0</v>
          </cell>
          <cell r="AV1739">
            <v>7200000</v>
          </cell>
        </row>
        <row r="1740">
          <cell r="E1740" t="str">
            <v>D26000105</v>
          </cell>
          <cell r="AP1740">
            <v>0</v>
          </cell>
          <cell r="AQ1740">
            <v>0</v>
          </cell>
          <cell r="AV1740">
            <v>2900000</v>
          </cell>
        </row>
        <row r="1741">
          <cell r="E1741" t="str">
            <v>D26001797</v>
          </cell>
          <cell r="AP1741">
            <v>0</v>
          </cell>
          <cell r="AQ1741">
            <v>0</v>
          </cell>
          <cell r="AV1741">
            <v>0</v>
          </cell>
        </row>
        <row r="1742">
          <cell r="E1742" t="str">
            <v>B25014910</v>
          </cell>
          <cell r="AP1742">
            <v>0</v>
          </cell>
          <cell r="AQ1742">
            <v>0</v>
          </cell>
          <cell r="AV1742">
            <v>128375000</v>
          </cell>
        </row>
        <row r="1743">
          <cell r="E1743" t="str">
            <v>B25014911</v>
          </cell>
          <cell r="AP1743">
            <v>0</v>
          </cell>
          <cell r="AQ1743">
            <v>0</v>
          </cell>
          <cell r="AV1743">
            <v>23950000</v>
          </cell>
        </row>
        <row r="1744">
          <cell r="E1744" t="str">
            <v>B25014912</v>
          </cell>
          <cell r="AP1744">
            <v>0</v>
          </cell>
          <cell r="AQ1744">
            <v>0</v>
          </cell>
          <cell r="AV1744">
            <v>31500000</v>
          </cell>
        </row>
        <row r="1745">
          <cell r="E1745" t="str">
            <v>D25018930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D25018967</v>
          </cell>
          <cell r="AP1746">
            <v>0</v>
          </cell>
          <cell r="AQ1746">
            <v>0</v>
          </cell>
          <cell r="AV1746">
            <v>0</v>
          </cell>
        </row>
        <row r="1747">
          <cell r="E1747" t="str">
            <v>D26002047</v>
          </cell>
          <cell r="AP1747">
            <v>0</v>
          </cell>
          <cell r="AQ1747">
            <v>0</v>
          </cell>
          <cell r="AV1747">
            <v>0</v>
          </cell>
        </row>
        <row r="1748">
          <cell r="E1748" t="str">
            <v>C26000095</v>
          </cell>
          <cell r="AP1748">
            <v>0</v>
          </cell>
          <cell r="AQ1748">
            <v>0</v>
          </cell>
          <cell r="AV1748">
            <v>1488000</v>
          </cell>
        </row>
        <row r="1749">
          <cell r="E1749" t="str">
            <v>C26000096</v>
          </cell>
          <cell r="AP1749">
            <v>0</v>
          </cell>
          <cell r="AQ1749">
            <v>0</v>
          </cell>
          <cell r="AV1749">
            <v>595000</v>
          </cell>
        </row>
        <row r="1750">
          <cell r="E1750" t="str">
            <v>M26000023</v>
          </cell>
          <cell r="AP1750">
            <v>0</v>
          </cell>
          <cell r="AQ1750">
            <v>0</v>
          </cell>
          <cell r="AV1750">
            <v>17500</v>
          </cell>
        </row>
        <row r="1751">
          <cell r="E1751" t="str">
            <v>C26000103</v>
          </cell>
          <cell r="AP1751">
            <v>0</v>
          </cell>
          <cell r="AQ1751">
            <v>0</v>
          </cell>
          <cell r="AV1751">
            <v>1625000</v>
          </cell>
        </row>
        <row r="1752">
          <cell r="E1752" t="str">
            <v>C26000105</v>
          </cell>
          <cell r="AP1752">
            <v>0</v>
          </cell>
          <cell r="AQ1752">
            <v>0</v>
          </cell>
          <cell r="AV1752">
            <v>126000</v>
          </cell>
        </row>
        <row r="1753">
          <cell r="E1753" t="str">
            <v>C26000106</v>
          </cell>
          <cell r="AP1753">
            <v>0</v>
          </cell>
          <cell r="AQ1753">
            <v>0</v>
          </cell>
          <cell r="AV1753">
            <v>66000</v>
          </cell>
        </row>
        <row r="1754">
          <cell r="E1754" t="str">
            <v>C26000108</v>
          </cell>
          <cell r="AP1754">
            <v>0</v>
          </cell>
          <cell r="AQ1754">
            <v>0</v>
          </cell>
          <cell r="AV1754">
            <v>1123500</v>
          </cell>
        </row>
        <row r="1755">
          <cell r="E1755" t="str">
            <v>C26000111</v>
          </cell>
          <cell r="AP1755">
            <v>0</v>
          </cell>
          <cell r="AQ1755">
            <v>0</v>
          </cell>
          <cell r="AV1755">
            <v>657000</v>
          </cell>
        </row>
        <row r="1756">
          <cell r="E1756" t="str">
            <v>C26000113</v>
          </cell>
          <cell r="AP1756">
            <v>0</v>
          </cell>
          <cell r="AQ1756">
            <v>0</v>
          </cell>
          <cell r="AV1756">
            <v>309500</v>
          </cell>
        </row>
        <row r="1757">
          <cell r="E1757" t="str">
            <v>M26000031</v>
          </cell>
          <cell r="AP1757">
            <v>0</v>
          </cell>
          <cell r="AQ1757">
            <v>0</v>
          </cell>
          <cell r="AV1757">
            <v>115500</v>
          </cell>
        </row>
        <row r="1758">
          <cell r="E1758" t="str">
            <v>M26000031</v>
          </cell>
          <cell r="AP1758">
            <v>0</v>
          </cell>
          <cell r="AQ1758">
            <v>0</v>
          </cell>
          <cell r="AV1758">
            <v>46000</v>
          </cell>
        </row>
        <row r="1759">
          <cell r="E1759" t="str">
            <v>M26000031</v>
          </cell>
          <cell r="AP1759">
            <v>0</v>
          </cell>
          <cell r="AQ1759">
            <v>0</v>
          </cell>
          <cell r="AV1759">
            <v>138500</v>
          </cell>
        </row>
        <row r="1760">
          <cell r="E1760" t="str">
            <v>D25019067</v>
          </cell>
          <cell r="AP1760">
            <v>0</v>
          </cell>
          <cell r="AQ1760">
            <v>0</v>
          </cell>
          <cell r="AV1760">
            <v>579500</v>
          </cell>
        </row>
        <row r="1761">
          <cell r="E1761" t="str">
            <v>B25016684</v>
          </cell>
          <cell r="AP1761">
            <v>0</v>
          </cell>
          <cell r="AQ1761">
            <v>0</v>
          </cell>
          <cell r="AV1761">
            <v>560000</v>
          </cell>
        </row>
        <row r="1762">
          <cell r="E1762" t="str">
            <v>B26000154</v>
          </cell>
          <cell r="AP1762">
            <v>0</v>
          </cell>
          <cell r="AQ1762">
            <v>0</v>
          </cell>
          <cell r="AV1762">
            <v>860500</v>
          </cell>
        </row>
        <row r="1763">
          <cell r="E1763" t="str">
            <v>D26001055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D26001521</v>
          </cell>
          <cell r="AP1764">
            <v>0</v>
          </cell>
          <cell r="AQ1764">
            <v>0</v>
          </cell>
          <cell r="AV1764">
            <v>0</v>
          </cell>
        </row>
        <row r="1765">
          <cell r="E1765" t="str">
            <v>D26001554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D26001568</v>
          </cell>
          <cell r="AP1766">
            <v>0</v>
          </cell>
          <cell r="AQ1766">
            <v>0</v>
          </cell>
          <cell r="AV1766">
            <v>0</v>
          </cell>
        </row>
        <row r="1767">
          <cell r="E1767" t="str">
            <v>B26001889</v>
          </cell>
          <cell r="AP1767">
            <v>0</v>
          </cell>
          <cell r="AQ1767">
            <v>0</v>
          </cell>
          <cell r="AV1767">
            <v>0</v>
          </cell>
        </row>
        <row r="1768">
          <cell r="E1768" t="str">
            <v>D26002000</v>
          </cell>
          <cell r="AP1768">
            <v>0</v>
          </cell>
          <cell r="AQ1768">
            <v>0</v>
          </cell>
          <cell r="AV1768">
            <v>0</v>
          </cell>
        </row>
        <row r="1769">
          <cell r="E1769" t="str">
            <v>D25017840</v>
          </cell>
          <cell r="AP1769">
            <v>0</v>
          </cell>
          <cell r="AQ1769">
            <v>0</v>
          </cell>
          <cell r="AV1769">
            <v>0</v>
          </cell>
        </row>
        <row r="1770">
          <cell r="E1770" t="str">
            <v>D25018603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D25018672</v>
          </cell>
          <cell r="AP1771">
            <v>0</v>
          </cell>
          <cell r="AQ1771">
            <v>0</v>
          </cell>
          <cell r="AV1771">
            <v>0</v>
          </cell>
        </row>
        <row r="1772">
          <cell r="E1772" t="str">
            <v>D25018799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B25016397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B25016408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B25016446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D25018938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D25018939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D25018940</v>
          </cell>
          <cell r="AP1778">
            <v>0</v>
          </cell>
          <cell r="AQ1778">
            <v>0</v>
          </cell>
          <cell r="AV1778">
            <v>0</v>
          </cell>
        </row>
        <row r="1779">
          <cell r="E1779" t="str">
            <v>D26001386</v>
          </cell>
          <cell r="AP1779">
            <v>0</v>
          </cell>
          <cell r="AQ1779">
            <v>0</v>
          </cell>
          <cell r="AV1779">
            <v>0</v>
          </cell>
        </row>
        <row r="1780">
          <cell r="E1780" t="str">
            <v>D26001392</v>
          </cell>
          <cell r="AP1780">
            <v>0</v>
          </cell>
          <cell r="AQ1780">
            <v>0</v>
          </cell>
          <cell r="AV1780">
            <v>0</v>
          </cell>
        </row>
        <row r="1781">
          <cell r="E1781" t="str">
            <v>D25019335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Z26000236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Z26000335</v>
          </cell>
          <cell r="AP1783">
            <v>0</v>
          </cell>
          <cell r="AQ1783">
            <v>0</v>
          </cell>
          <cell r="AV1783">
            <v>0</v>
          </cell>
        </row>
        <row r="1784">
          <cell r="E1784" t="str">
            <v>Z26000313</v>
          </cell>
          <cell r="AP1784">
            <v>0</v>
          </cell>
          <cell r="AQ1784">
            <v>0</v>
          </cell>
          <cell r="AV1784">
            <v>2025000</v>
          </cell>
        </row>
        <row r="1785">
          <cell r="E1785" t="str">
            <v>D26000317</v>
          </cell>
          <cell r="AP1785">
            <v>0</v>
          </cell>
          <cell r="AQ1785">
            <v>0</v>
          </cell>
          <cell r="AV1785">
            <v>0</v>
          </cell>
        </row>
        <row r="1786">
          <cell r="E1786" t="str">
            <v>B26001203</v>
          </cell>
          <cell r="AP1786">
            <v>0</v>
          </cell>
          <cell r="AQ1786">
            <v>0</v>
          </cell>
          <cell r="AV1786">
            <v>0</v>
          </cell>
        </row>
        <row r="1787">
          <cell r="E1787" t="str">
            <v>T25001533K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T25001617</v>
          </cell>
          <cell r="AP1788">
            <v>0</v>
          </cell>
          <cell r="AQ1788">
            <v>0</v>
          </cell>
          <cell r="AV1788">
            <v>0</v>
          </cell>
        </row>
        <row r="1789">
          <cell r="E1789" t="str">
            <v>T26000086</v>
          </cell>
          <cell r="AP1789">
            <v>0</v>
          </cell>
          <cell r="AQ1789">
            <v>0</v>
          </cell>
          <cell r="AV1789">
            <v>0</v>
          </cell>
        </row>
        <row r="1790">
          <cell r="E1790" t="str">
            <v>D25017894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D25017895</v>
          </cell>
          <cell r="AP1791">
            <v>0</v>
          </cell>
          <cell r="AQ1791">
            <v>0</v>
          </cell>
          <cell r="AV1791">
            <v>0</v>
          </cell>
        </row>
        <row r="1792">
          <cell r="E1792" t="str">
            <v>D25017897</v>
          </cell>
          <cell r="AP1792">
            <v>0</v>
          </cell>
          <cell r="AQ1792">
            <v>0</v>
          </cell>
          <cell r="AV1792">
            <v>0</v>
          </cell>
        </row>
        <row r="1793">
          <cell r="E1793" t="str">
            <v>B25012755</v>
          </cell>
          <cell r="AP1793">
            <v>0</v>
          </cell>
          <cell r="AQ1793">
            <v>0</v>
          </cell>
          <cell r="AV1793">
            <v>0</v>
          </cell>
        </row>
        <row r="1794">
          <cell r="E1794" t="str">
            <v>D25015098</v>
          </cell>
          <cell r="AP1794">
            <v>0</v>
          </cell>
          <cell r="AQ1794">
            <v>0</v>
          </cell>
          <cell r="AV1794">
            <v>0</v>
          </cell>
        </row>
        <row r="1795">
          <cell r="E1795" t="str">
            <v>T25001556K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D26000323</v>
          </cell>
          <cell r="AP1796">
            <v>0</v>
          </cell>
          <cell r="AQ1796">
            <v>0</v>
          </cell>
          <cell r="AV1796">
            <v>0</v>
          </cell>
        </row>
        <row r="1797">
          <cell r="E1797" t="str">
            <v>B26001924</v>
          </cell>
          <cell r="AP1797">
            <v>0</v>
          </cell>
          <cell r="AQ1797">
            <v>0</v>
          </cell>
          <cell r="AV1797">
            <v>0</v>
          </cell>
        </row>
        <row r="1798">
          <cell r="E1798" t="str">
            <v>D25019539</v>
          </cell>
          <cell r="AP1798">
            <v>0</v>
          </cell>
          <cell r="AQ1798">
            <v>0</v>
          </cell>
          <cell r="AV1798">
            <v>0</v>
          </cell>
        </row>
        <row r="1799">
          <cell r="E1799" t="str">
            <v>D26000840</v>
          </cell>
          <cell r="AP1799">
            <v>0</v>
          </cell>
          <cell r="AQ1799">
            <v>0</v>
          </cell>
          <cell r="AV1799">
            <v>0</v>
          </cell>
        </row>
        <row r="1800">
          <cell r="E1800" t="str">
            <v>B26001123</v>
          </cell>
          <cell r="AP1800">
            <v>0</v>
          </cell>
          <cell r="AQ1800">
            <v>0</v>
          </cell>
          <cell r="AV1800">
            <v>0</v>
          </cell>
        </row>
        <row r="1801">
          <cell r="E1801" t="str">
            <v>B26001136</v>
          </cell>
          <cell r="AP1801">
            <v>0</v>
          </cell>
          <cell r="AQ1801">
            <v>0</v>
          </cell>
          <cell r="AV1801">
            <v>0</v>
          </cell>
        </row>
        <row r="1802">
          <cell r="E1802" t="str">
            <v>B26001590</v>
          </cell>
          <cell r="AP1802">
            <v>0</v>
          </cell>
          <cell r="AQ1802">
            <v>0</v>
          </cell>
          <cell r="AV1802">
            <v>0</v>
          </cell>
        </row>
        <row r="1803">
          <cell r="E1803" t="str">
            <v>B26001591</v>
          </cell>
          <cell r="AP1803">
            <v>0</v>
          </cell>
          <cell r="AQ1803">
            <v>0</v>
          </cell>
          <cell r="AV1803">
            <v>0</v>
          </cell>
        </row>
        <row r="1804">
          <cell r="E1804" t="str">
            <v>Z25003263</v>
          </cell>
          <cell r="AP1804">
            <v>0</v>
          </cell>
          <cell r="AQ1804">
            <v>0</v>
          </cell>
          <cell r="AV1804">
            <v>14125000</v>
          </cell>
        </row>
        <row r="1805">
          <cell r="E1805" t="str">
            <v>Z25003273</v>
          </cell>
          <cell r="AP1805">
            <v>0</v>
          </cell>
          <cell r="AQ1805">
            <v>0</v>
          </cell>
          <cell r="AV1805">
            <v>2400000</v>
          </cell>
        </row>
        <row r="1806">
          <cell r="E1806" t="str">
            <v>Z26000020</v>
          </cell>
          <cell r="AP1806">
            <v>0</v>
          </cell>
          <cell r="AQ1806">
            <v>0</v>
          </cell>
          <cell r="AV1806">
            <v>0</v>
          </cell>
        </row>
        <row r="1807">
          <cell r="E1807" t="str">
            <v>Z26000021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Z26000024</v>
          </cell>
          <cell r="AP1808">
            <v>0</v>
          </cell>
          <cell r="AQ1808">
            <v>0</v>
          </cell>
          <cell r="AV1808">
            <v>0</v>
          </cell>
        </row>
        <row r="1809">
          <cell r="E1809" t="str">
            <v>Z26000231</v>
          </cell>
          <cell r="AP1809">
            <v>0</v>
          </cell>
          <cell r="AQ1809">
            <v>0</v>
          </cell>
          <cell r="AV1809">
            <v>0</v>
          </cell>
        </row>
        <row r="1810">
          <cell r="E1810" t="str">
            <v>Z26000232</v>
          </cell>
          <cell r="AP1810">
            <v>0</v>
          </cell>
          <cell r="AQ1810">
            <v>0</v>
          </cell>
          <cell r="AV1810">
            <v>0</v>
          </cell>
        </row>
        <row r="1811">
          <cell r="E1811" t="str">
            <v>D26000400</v>
          </cell>
          <cell r="AP1811">
            <v>800</v>
          </cell>
          <cell r="AQ1811">
            <v>0</v>
          </cell>
          <cell r="AV1811">
            <v>39980000</v>
          </cell>
        </row>
        <row r="1812">
          <cell r="E1812" t="str">
            <v>D26000401</v>
          </cell>
          <cell r="AP1812">
            <v>0</v>
          </cell>
          <cell r="AQ1812">
            <v>0</v>
          </cell>
          <cell r="AV1812">
            <v>6120000</v>
          </cell>
        </row>
        <row r="1813">
          <cell r="E1813" t="str">
            <v>B25015510</v>
          </cell>
          <cell r="AP1813">
            <v>0</v>
          </cell>
          <cell r="AQ1813">
            <v>0</v>
          </cell>
          <cell r="AV1813">
            <v>7000000</v>
          </cell>
        </row>
        <row r="1814">
          <cell r="E1814" t="str">
            <v>B25015647</v>
          </cell>
          <cell r="AP1814">
            <v>0</v>
          </cell>
          <cell r="AQ1814">
            <v>0</v>
          </cell>
          <cell r="AV1814">
            <v>105000000</v>
          </cell>
        </row>
        <row r="1815">
          <cell r="E1815" t="str">
            <v>B25015928</v>
          </cell>
          <cell r="AP1815">
            <v>0</v>
          </cell>
          <cell r="AQ1815">
            <v>0</v>
          </cell>
          <cell r="AV1815">
            <v>59350000</v>
          </cell>
        </row>
        <row r="1816">
          <cell r="E1816" t="str">
            <v>B25015929</v>
          </cell>
          <cell r="AP1816">
            <v>0</v>
          </cell>
          <cell r="AQ1816">
            <v>0</v>
          </cell>
          <cell r="AV1816">
            <v>46062500</v>
          </cell>
        </row>
        <row r="1817">
          <cell r="E1817" t="str">
            <v>B25015930</v>
          </cell>
          <cell r="AP1817">
            <v>0</v>
          </cell>
          <cell r="AQ1817">
            <v>0</v>
          </cell>
          <cell r="AV1817">
            <v>44050000</v>
          </cell>
        </row>
        <row r="1818">
          <cell r="E1818" t="str">
            <v>B25015991</v>
          </cell>
          <cell r="AP1818">
            <v>0</v>
          </cell>
          <cell r="AQ1818">
            <v>0</v>
          </cell>
          <cell r="AV1818">
            <v>7000000</v>
          </cell>
        </row>
        <row r="1819">
          <cell r="E1819" t="str">
            <v>D25018525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D25018606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B25016177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B25016825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B25016837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B25017008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D25019579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D26000036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D26000149</v>
          </cell>
          <cell r="AP1827">
            <v>0</v>
          </cell>
          <cell r="AQ1827">
            <v>0</v>
          </cell>
          <cell r="AV1827">
            <v>0</v>
          </cell>
        </row>
        <row r="1828">
          <cell r="E1828" t="str">
            <v>D26000150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B26000166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B26000347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D26000810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B26000982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B26000983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B26001042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B26001049</v>
          </cell>
          <cell r="AP1835">
            <v>0</v>
          </cell>
          <cell r="AQ1835">
            <v>0</v>
          </cell>
          <cell r="AV1835">
            <v>0</v>
          </cell>
        </row>
        <row r="1836">
          <cell r="E1836" t="str">
            <v>D26001275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D26001314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B26001274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B26001388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B26001410</v>
          </cell>
          <cell r="AP1840">
            <v>0</v>
          </cell>
          <cell r="AQ1840">
            <v>0</v>
          </cell>
          <cell r="AV1840">
            <v>0</v>
          </cell>
        </row>
        <row r="1841">
          <cell r="E1841" t="str">
            <v>B26001446</v>
          </cell>
          <cell r="AP1841">
            <v>0</v>
          </cell>
          <cell r="AQ1841">
            <v>0</v>
          </cell>
          <cell r="AV1841">
            <v>0</v>
          </cell>
        </row>
        <row r="1842">
          <cell r="E1842" t="str">
            <v>B26001574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B26001580</v>
          </cell>
          <cell r="AP1843">
            <v>0</v>
          </cell>
          <cell r="AQ1843">
            <v>0</v>
          </cell>
          <cell r="AV1843">
            <v>0</v>
          </cell>
        </row>
        <row r="1844">
          <cell r="E1844" t="str">
            <v>D26001839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B26001745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D26002091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D26002058</v>
          </cell>
          <cell r="AP1847">
            <v>0</v>
          </cell>
          <cell r="AQ1847">
            <v>0</v>
          </cell>
          <cell r="AV1847">
            <v>0</v>
          </cell>
        </row>
        <row r="1848">
          <cell r="E1848" t="str">
            <v>B25015694</v>
          </cell>
          <cell r="AP1848">
            <v>0</v>
          </cell>
          <cell r="AQ1848">
            <v>0</v>
          </cell>
          <cell r="AV1848">
            <v>1630000</v>
          </cell>
        </row>
        <row r="1849">
          <cell r="E1849" t="str">
            <v>B25015943</v>
          </cell>
          <cell r="AP1849">
            <v>0</v>
          </cell>
          <cell r="AQ1849">
            <v>0</v>
          </cell>
          <cell r="AV1849">
            <v>5300000</v>
          </cell>
        </row>
        <row r="1850">
          <cell r="E1850" t="str">
            <v>D25019008</v>
          </cell>
          <cell r="AP1850">
            <v>0</v>
          </cell>
          <cell r="AQ1850">
            <v>0</v>
          </cell>
          <cell r="AV1850">
            <v>4125000</v>
          </cell>
        </row>
        <row r="1851">
          <cell r="E1851" t="str">
            <v>B25016619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D25019634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B25013203</v>
          </cell>
          <cell r="AP1853">
            <v>0</v>
          </cell>
          <cell r="AQ1853">
            <v>0</v>
          </cell>
          <cell r="AV1853">
            <v>1725000</v>
          </cell>
        </row>
        <row r="1854">
          <cell r="E1854" t="str">
            <v>B25013215</v>
          </cell>
          <cell r="AP1854">
            <v>0</v>
          </cell>
          <cell r="AQ1854">
            <v>0</v>
          </cell>
          <cell r="AV1854">
            <v>275000</v>
          </cell>
        </row>
        <row r="1855">
          <cell r="E1855" t="str">
            <v>B25013285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T24000347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E23005700</v>
          </cell>
          <cell r="AP1857">
            <v>0</v>
          </cell>
          <cell r="AQ1857">
            <v>0</v>
          </cell>
          <cell r="AV1857">
            <v>0</v>
          </cell>
        </row>
        <row r="1858">
          <cell r="E1858" t="str">
            <v>B25008183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D25017488</v>
          </cell>
          <cell r="AP1859">
            <v>0</v>
          </cell>
          <cell r="AQ1859">
            <v>0</v>
          </cell>
          <cell r="AV1859">
            <v>8600000</v>
          </cell>
        </row>
        <row r="1860">
          <cell r="E1860" t="str">
            <v>B26001004</v>
          </cell>
          <cell r="AP1860">
            <v>0</v>
          </cell>
          <cell r="AQ1860">
            <v>0</v>
          </cell>
          <cell r="AV1860">
            <v>0</v>
          </cell>
        </row>
        <row r="1861">
          <cell r="E1861" t="str">
            <v>B25016804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B25016832</v>
          </cell>
          <cell r="AP1862">
            <v>0</v>
          </cell>
          <cell r="AQ1862">
            <v>0</v>
          </cell>
          <cell r="AV1862">
            <v>0</v>
          </cell>
        </row>
        <row r="1863">
          <cell r="E1863">
            <v>250190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B25015868</v>
          </cell>
          <cell r="AP1864">
            <v>0</v>
          </cell>
          <cell r="AQ1864">
            <v>0</v>
          </cell>
          <cell r="AV1864">
            <v>4187500</v>
          </cell>
        </row>
        <row r="1865">
          <cell r="E1865" t="str">
            <v>B25016678</v>
          </cell>
          <cell r="AP1865">
            <v>0</v>
          </cell>
          <cell r="AQ1865">
            <v>0</v>
          </cell>
          <cell r="AV1865">
            <v>0</v>
          </cell>
        </row>
        <row r="1866">
          <cell r="E1866" t="str">
            <v>B25016955</v>
          </cell>
          <cell r="AP1866">
            <v>0</v>
          </cell>
          <cell r="AQ1866">
            <v>0</v>
          </cell>
          <cell r="AV1866">
            <v>0</v>
          </cell>
        </row>
        <row r="1867">
          <cell r="E1867" t="str">
            <v>D26000664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T25001725K</v>
          </cell>
          <cell r="AP1868">
            <v>0</v>
          </cell>
          <cell r="AQ1868">
            <v>0</v>
          </cell>
          <cell r="AV1868">
            <v>0</v>
          </cell>
        </row>
        <row r="1869">
          <cell r="E1869" t="str">
            <v>B25015538</v>
          </cell>
          <cell r="AP1869">
            <v>0</v>
          </cell>
          <cell r="AQ1869">
            <v>0</v>
          </cell>
          <cell r="AV1869">
            <v>11750000</v>
          </cell>
        </row>
        <row r="1870">
          <cell r="E1870" t="str">
            <v>B25015969</v>
          </cell>
          <cell r="AP1870">
            <v>0</v>
          </cell>
          <cell r="AQ1870">
            <v>0</v>
          </cell>
          <cell r="AV1870">
            <v>5312500</v>
          </cell>
        </row>
        <row r="1871">
          <cell r="E1871" t="str">
            <v>T26000030</v>
          </cell>
          <cell r="AP1871">
            <v>0</v>
          </cell>
          <cell r="AQ1871">
            <v>0</v>
          </cell>
          <cell r="AV1871">
            <v>0</v>
          </cell>
        </row>
        <row r="1872">
          <cell r="E1872" t="str">
            <v>D26000770</v>
          </cell>
          <cell r="AP1872">
            <v>0</v>
          </cell>
          <cell r="AQ1872">
            <v>0</v>
          </cell>
          <cell r="AV1872">
            <v>4500</v>
          </cell>
        </row>
        <row r="1873">
          <cell r="E1873" t="str">
            <v>D26000899</v>
          </cell>
          <cell r="AP1873">
            <v>0</v>
          </cell>
          <cell r="AQ1873">
            <v>0</v>
          </cell>
          <cell r="AV1873">
            <v>0</v>
          </cell>
        </row>
        <row r="1874">
          <cell r="E1874" t="str">
            <v>T26000064</v>
          </cell>
          <cell r="AP1874">
            <v>0</v>
          </cell>
          <cell r="AQ1874">
            <v>0</v>
          </cell>
          <cell r="AV1874">
            <v>0</v>
          </cell>
        </row>
        <row r="1875">
          <cell r="E1875" t="str">
            <v>T26000089</v>
          </cell>
          <cell r="AP1875">
            <v>0</v>
          </cell>
          <cell r="AQ1875">
            <v>0</v>
          </cell>
          <cell r="AV1875">
            <v>0</v>
          </cell>
        </row>
        <row r="1876">
          <cell r="E1876" t="str">
            <v>D25015378</v>
          </cell>
          <cell r="AP1876">
            <v>0</v>
          </cell>
          <cell r="AQ1876">
            <v>0</v>
          </cell>
          <cell r="AV1876">
            <v>675000</v>
          </cell>
        </row>
        <row r="1877">
          <cell r="E1877" t="str">
            <v>D25019511</v>
          </cell>
          <cell r="AP1877">
            <v>0</v>
          </cell>
          <cell r="AQ1877">
            <v>0</v>
          </cell>
          <cell r="AV1877">
            <v>4300000</v>
          </cell>
        </row>
        <row r="1878">
          <cell r="E1878" t="str">
            <v>D26000811</v>
          </cell>
          <cell r="AP1878">
            <v>0</v>
          </cell>
          <cell r="AQ1878">
            <v>0</v>
          </cell>
          <cell r="AV1878">
            <v>0</v>
          </cell>
        </row>
        <row r="1879">
          <cell r="E1879" t="str">
            <v>D25015654</v>
          </cell>
          <cell r="AP1879">
            <v>0</v>
          </cell>
          <cell r="AQ1879">
            <v>0</v>
          </cell>
          <cell r="AV1879">
            <v>0</v>
          </cell>
        </row>
        <row r="1880">
          <cell r="E1880" t="str">
            <v>B25015473</v>
          </cell>
          <cell r="AP1880">
            <v>0</v>
          </cell>
          <cell r="AQ1880">
            <v>0</v>
          </cell>
          <cell r="AV1880">
            <v>0</v>
          </cell>
        </row>
        <row r="1881">
          <cell r="E1881" t="str">
            <v>T25001759</v>
          </cell>
          <cell r="AP1881">
            <v>0</v>
          </cell>
          <cell r="AQ1881">
            <v>0</v>
          </cell>
          <cell r="AV1881">
            <v>0</v>
          </cell>
        </row>
        <row r="1882">
          <cell r="E1882" t="str">
            <v>D25018034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T25001854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D25019148</v>
          </cell>
          <cell r="AP1884">
            <v>0</v>
          </cell>
          <cell r="AQ1884">
            <v>0</v>
          </cell>
          <cell r="AV1884">
            <v>0</v>
          </cell>
        </row>
        <row r="1885">
          <cell r="E1885" t="str">
            <v>B26000046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B26000125</v>
          </cell>
          <cell r="AP1886">
            <v>0</v>
          </cell>
          <cell r="AQ1886">
            <v>0</v>
          </cell>
          <cell r="AV1886">
            <v>0</v>
          </cell>
        </row>
        <row r="1887">
          <cell r="E1887" t="str">
            <v>B26000508</v>
          </cell>
          <cell r="AP1887">
            <v>0</v>
          </cell>
          <cell r="AQ1887">
            <v>0</v>
          </cell>
          <cell r="AV1887">
            <v>0</v>
          </cell>
        </row>
        <row r="1888">
          <cell r="E1888" t="str">
            <v>B26001344</v>
          </cell>
          <cell r="AP1888">
            <v>0</v>
          </cell>
          <cell r="AQ1888">
            <v>0</v>
          </cell>
          <cell r="AV1888">
            <v>0</v>
          </cell>
        </row>
        <row r="1889">
          <cell r="E1889" t="str">
            <v>D26001318</v>
          </cell>
          <cell r="AP1889">
            <v>0</v>
          </cell>
          <cell r="AQ1889">
            <v>0</v>
          </cell>
          <cell r="AV1889">
            <v>0</v>
          </cell>
        </row>
        <row r="1890">
          <cell r="E1890" t="str">
            <v>D26001747</v>
          </cell>
          <cell r="AP1890">
            <v>0</v>
          </cell>
          <cell r="AQ1890">
            <v>0</v>
          </cell>
          <cell r="AV1890">
            <v>11500000</v>
          </cell>
        </row>
        <row r="1891">
          <cell r="E1891" t="str">
            <v>B25015743</v>
          </cell>
          <cell r="AP1891">
            <v>0</v>
          </cell>
          <cell r="AQ1891">
            <v>0</v>
          </cell>
          <cell r="AV1891">
            <v>4500000</v>
          </cell>
        </row>
        <row r="1892">
          <cell r="E1892" t="str">
            <v>B25015755</v>
          </cell>
          <cell r="AP1892">
            <v>12665000</v>
          </cell>
          <cell r="AQ1892">
            <v>0</v>
          </cell>
          <cell r="AV1892">
            <v>0</v>
          </cell>
        </row>
        <row r="1893">
          <cell r="E1893" t="str">
            <v>B25015755</v>
          </cell>
          <cell r="AP1893">
            <v>0</v>
          </cell>
          <cell r="AQ1893">
            <v>0</v>
          </cell>
          <cell r="AV1893">
            <v>101585000</v>
          </cell>
        </row>
        <row r="1894">
          <cell r="E1894" t="str">
            <v>B25015756</v>
          </cell>
          <cell r="AP1894">
            <v>0</v>
          </cell>
          <cell r="AQ1894">
            <v>0</v>
          </cell>
          <cell r="AV1894">
            <v>124980500</v>
          </cell>
        </row>
        <row r="1895">
          <cell r="E1895" t="str">
            <v>B25015830</v>
          </cell>
          <cell r="AP1895">
            <v>0</v>
          </cell>
          <cell r="AQ1895">
            <v>0</v>
          </cell>
          <cell r="AV1895">
            <v>17305000</v>
          </cell>
        </row>
        <row r="1896">
          <cell r="E1896" t="str">
            <v>D25018201</v>
          </cell>
          <cell r="AP1896">
            <v>0</v>
          </cell>
          <cell r="AQ1896">
            <v>0</v>
          </cell>
          <cell r="AV1896">
            <v>88800000</v>
          </cell>
        </row>
        <row r="1897">
          <cell r="E1897" t="str">
            <v>D25018385</v>
          </cell>
          <cell r="AP1897">
            <v>0</v>
          </cell>
          <cell r="AQ1897">
            <v>0</v>
          </cell>
          <cell r="AV1897">
            <v>3840000</v>
          </cell>
        </row>
        <row r="1898">
          <cell r="E1898" t="str">
            <v>D25018386</v>
          </cell>
          <cell r="AP1898">
            <v>0</v>
          </cell>
          <cell r="AQ1898">
            <v>0</v>
          </cell>
          <cell r="AV1898">
            <v>46250000</v>
          </cell>
        </row>
        <row r="1899">
          <cell r="E1899" t="str">
            <v>D25018392</v>
          </cell>
          <cell r="AP1899">
            <v>0</v>
          </cell>
          <cell r="AQ1899">
            <v>0</v>
          </cell>
          <cell r="AV1899">
            <v>6739500</v>
          </cell>
        </row>
        <row r="1900">
          <cell r="E1900" t="str">
            <v>D25018392</v>
          </cell>
          <cell r="AP1900">
            <v>0</v>
          </cell>
          <cell r="AQ1900">
            <v>0</v>
          </cell>
          <cell r="AV1900">
            <v>10500</v>
          </cell>
        </row>
        <row r="1901">
          <cell r="E1901" t="str">
            <v>B25015993</v>
          </cell>
          <cell r="AP1901">
            <v>0</v>
          </cell>
          <cell r="AQ1901">
            <v>0</v>
          </cell>
          <cell r="AV1901">
            <v>6850000</v>
          </cell>
        </row>
        <row r="1902">
          <cell r="E1902" t="str">
            <v>D25018437</v>
          </cell>
          <cell r="AP1902">
            <v>0</v>
          </cell>
          <cell r="AQ1902">
            <v>0</v>
          </cell>
          <cell r="AV1902">
            <v>19905000</v>
          </cell>
        </row>
        <row r="1903">
          <cell r="E1903" t="str">
            <v>D25018500</v>
          </cell>
          <cell r="AP1903">
            <v>0</v>
          </cell>
          <cell r="AQ1903">
            <v>0</v>
          </cell>
          <cell r="AV1903">
            <v>25025000</v>
          </cell>
        </row>
        <row r="1904">
          <cell r="E1904" t="str">
            <v>D25018523</v>
          </cell>
          <cell r="AP1904">
            <v>0</v>
          </cell>
          <cell r="AQ1904">
            <v>0</v>
          </cell>
          <cell r="AV1904">
            <v>150000000</v>
          </cell>
        </row>
        <row r="1905">
          <cell r="E1905" t="str">
            <v>D25018567</v>
          </cell>
          <cell r="AP1905">
            <v>0</v>
          </cell>
          <cell r="AQ1905">
            <v>0</v>
          </cell>
          <cell r="AV1905">
            <v>670000</v>
          </cell>
        </row>
        <row r="1906">
          <cell r="E1906" t="str">
            <v>D25018663</v>
          </cell>
          <cell r="AP1906">
            <v>0</v>
          </cell>
          <cell r="AQ1906">
            <v>0</v>
          </cell>
          <cell r="AV1906">
            <v>915000</v>
          </cell>
        </row>
        <row r="1907">
          <cell r="E1907" t="str">
            <v>D25018692</v>
          </cell>
          <cell r="AP1907">
            <v>0</v>
          </cell>
          <cell r="AQ1907">
            <v>0</v>
          </cell>
          <cell r="AV1907">
            <v>190000</v>
          </cell>
        </row>
        <row r="1908">
          <cell r="E1908" t="str">
            <v>D25018729</v>
          </cell>
          <cell r="AP1908">
            <v>0</v>
          </cell>
          <cell r="AQ1908">
            <v>0</v>
          </cell>
          <cell r="AV1908">
            <v>6750000</v>
          </cell>
        </row>
        <row r="1909">
          <cell r="E1909" t="str">
            <v>B25016347</v>
          </cell>
          <cell r="AP1909">
            <v>0</v>
          </cell>
          <cell r="AQ1909">
            <v>0</v>
          </cell>
          <cell r="AV1909">
            <v>114250000</v>
          </cell>
        </row>
        <row r="1910">
          <cell r="E1910" t="str">
            <v>B25016352</v>
          </cell>
          <cell r="AP1910">
            <v>0</v>
          </cell>
          <cell r="AQ1910">
            <v>0</v>
          </cell>
          <cell r="AV1910">
            <v>16080000</v>
          </cell>
        </row>
        <row r="1911">
          <cell r="E1911" t="str">
            <v>B25016411</v>
          </cell>
          <cell r="AP1911">
            <v>0</v>
          </cell>
          <cell r="AQ1911">
            <v>0</v>
          </cell>
          <cell r="AV1911">
            <v>12000000</v>
          </cell>
        </row>
        <row r="1912">
          <cell r="E1912" t="str">
            <v>B25016412</v>
          </cell>
          <cell r="AP1912">
            <v>0</v>
          </cell>
          <cell r="AQ1912">
            <v>0</v>
          </cell>
          <cell r="AV1912">
            <v>7830000</v>
          </cell>
        </row>
        <row r="1913">
          <cell r="E1913" t="str">
            <v>B25016458</v>
          </cell>
          <cell r="AP1913">
            <v>0</v>
          </cell>
          <cell r="AQ1913">
            <v>0</v>
          </cell>
          <cell r="AV1913">
            <v>24800000</v>
          </cell>
        </row>
        <row r="1914">
          <cell r="E1914" t="str">
            <v>B25016459</v>
          </cell>
          <cell r="AP1914">
            <v>0</v>
          </cell>
          <cell r="AQ1914">
            <v>0</v>
          </cell>
          <cell r="AV1914">
            <v>420000</v>
          </cell>
        </row>
        <row r="1915">
          <cell r="E1915" t="str">
            <v>B25016534</v>
          </cell>
          <cell r="AP1915">
            <v>0</v>
          </cell>
          <cell r="AQ1915">
            <v>0</v>
          </cell>
          <cell r="AV1915">
            <v>190000</v>
          </cell>
        </row>
        <row r="1916">
          <cell r="E1916" t="str">
            <v>B25016535</v>
          </cell>
          <cell r="AP1916">
            <v>0</v>
          </cell>
          <cell r="AQ1916">
            <v>0</v>
          </cell>
          <cell r="AV1916">
            <v>14114500</v>
          </cell>
        </row>
        <row r="1917">
          <cell r="E1917" t="str">
            <v>B25016535</v>
          </cell>
          <cell r="AP1917">
            <v>0</v>
          </cell>
          <cell r="AQ1917">
            <v>0</v>
          </cell>
          <cell r="AV1917">
            <v>27885500</v>
          </cell>
        </row>
        <row r="1918">
          <cell r="E1918" t="str">
            <v>D25019100</v>
          </cell>
          <cell r="AP1918">
            <v>0</v>
          </cell>
          <cell r="AQ1918">
            <v>0</v>
          </cell>
          <cell r="AV1918">
            <v>80950000</v>
          </cell>
        </row>
        <row r="1919">
          <cell r="E1919" t="str">
            <v>D25019105</v>
          </cell>
          <cell r="AP1919">
            <v>0</v>
          </cell>
          <cell r="AQ1919">
            <v>0</v>
          </cell>
          <cell r="AV1919">
            <v>15000000</v>
          </cell>
        </row>
        <row r="1920">
          <cell r="E1920" t="str">
            <v>D25019194</v>
          </cell>
          <cell r="AP1920">
            <v>0</v>
          </cell>
          <cell r="AQ1920">
            <v>0</v>
          </cell>
          <cell r="AV1920">
            <v>46706000</v>
          </cell>
        </row>
        <row r="1921">
          <cell r="E1921" t="str">
            <v>D25019195</v>
          </cell>
          <cell r="AP1921">
            <v>0</v>
          </cell>
          <cell r="AQ1921">
            <v>0</v>
          </cell>
          <cell r="AV1921">
            <v>6940000</v>
          </cell>
        </row>
        <row r="1922">
          <cell r="E1922" t="str">
            <v>D25019247</v>
          </cell>
          <cell r="AP1922">
            <v>0</v>
          </cell>
          <cell r="AQ1922">
            <v>0</v>
          </cell>
          <cell r="AV1922">
            <v>15000000</v>
          </cell>
        </row>
        <row r="1923">
          <cell r="E1923" t="str">
            <v>D25019294</v>
          </cell>
          <cell r="AP1923">
            <v>0</v>
          </cell>
          <cell r="AQ1923">
            <v>0</v>
          </cell>
          <cell r="AV1923">
            <v>2925000</v>
          </cell>
        </row>
        <row r="1924">
          <cell r="E1924" t="str">
            <v>D25019325</v>
          </cell>
          <cell r="AP1924">
            <v>0</v>
          </cell>
          <cell r="AQ1924">
            <v>0</v>
          </cell>
          <cell r="AV1924">
            <v>95287500</v>
          </cell>
        </row>
        <row r="1925">
          <cell r="E1925" t="str">
            <v>B25016828</v>
          </cell>
          <cell r="AP1925">
            <v>0</v>
          </cell>
          <cell r="AQ1925">
            <v>0</v>
          </cell>
          <cell r="AV1925">
            <v>7800000</v>
          </cell>
        </row>
        <row r="1926">
          <cell r="E1926" t="str">
            <v>B25016877</v>
          </cell>
          <cell r="AP1926">
            <v>0</v>
          </cell>
          <cell r="AQ1926">
            <v>0</v>
          </cell>
          <cell r="AV1926">
            <v>12000000</v>
          </cell>
        </row>
        <row r="1927">
          <cell r="E1927" t="str">
            <v>B25016878</v>
          </cell>
          <cell r="AP1927">
            <v>0</v>
          </cell>
          <cell r="AQ1927">
            <v>0</v>
          </cell>
          <cell r="AV1927">
            <v>14770000</v>
          </cell>
        </row>
        <row r="1928">
          <cell r="E1928" t="str">
            <v>B25016884</v>
          </cell>
          <cell r="AP1928">
            <v>0</v>
          </cell>
          <cell r="AQ1928">
            <v>0</v>
          </cell>
          <cell r="AV1928">
            <v>3920000</v>
          </cell>
        </row>
        <row r="1929">
          <cell r="E1929" t="str">
            <v>B25016885</v>
          </cell>
          <cell r="AP1929">
            <v>0</v>
          </cell>
          <cell r="AQ1929">
            <v>0</v>
          </cell>
          <cell r="AV1929">
            <v>19800000</v>
          </cell>
        </row>
        <row r="1930">
          <cell r="E1930" t="str">
            <v>B25016908</v>
          </cell>
          <cell r="AP1930">
            <v>0</v>
          </cell>
          <cell r="AQ1930">
            <v>0</v>
          </cell>
          <cell r="AV1930">
            <v>4980000</v>
          </cell>
        </row>
        <row r="1931">
          <cell r="E1931" t="str">
            <v>B25016950</v>
          </cell>
          <cell r="AP1931">
            <v>0</v>
          </cell>
          <cell r="AQ1931">
            <v>0</v>
          </cell>
          <cell r="AV1931">
            <v>44675000</v>
          </cell>
        </row>
        <row r="1932">
          <cell r="E1932" t="str">
            <v>B25016957</v>
          </cell>
          <cell r="AP1932">
            <v>0</v>
          </cell>
          <cell r="AQ1932">
            <v>0</v>
          </cell>
          <cell r="AV1932">
            <v>1361000</v>
          </cell>
        </row>
        <row r="1933">
          <cell r="E1933" t="str">
            <v>D25019538</v>
          </cell>
          <cell r="AP1933">
            <v>0</v>
          </cell>
          <cell r="AQ1933">
            <v>0</v>
          </cell>
          <cell r="AV1933">
            <v>0</v>
          </cell>
        </row>
        <row r="1934">
          <cell r="E1934" t="str">
            <v>B25017082</v>
          </cell>
          <cell r="AP1934">
            <v>0</v>
          </cell>
          <cell r="AQ1934">
            <v>0</v>
          </cell>
          <cell r="AV1934">
            <v>0</v>
          </cell>
        </row>
        <row r="1935">
          <cell r="E1935" t="str">
            <v>D25019671</v>
          </cell>
          <cell r="AP1935">
            <v>0</v>
          </cell>
          <cell r="AQ1935">
            <v>0</v>
          </cell>
          <cell r="AV1935">
            <v>0</v>
          </cell>
        </row>
        <row r="1936">
          <cell r="E1936" t="str">
            <v>B25017106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D25019697</v>
          </cell>
          <cell r="AP1937">
            <v>0</v>
          </cell>
          <cell r="AQ1937">
            <v>0</v>
          </cell>
          <cell r="AV1937">
            <v>0</v>
          </cell>
        </row>
        <row r="1938">
          <cell r="E1938" t="str">
            <v>B26000001</v>
          </cell>
          <cell r="AP1938">
            <v>0</v>
          </cell>
          <cell r="AQ1938">
            <v>0</v>
          </cell>
          <cell r="AV1938">
            <v>0</v>
          </cell>
        </row>
        <row r="1939">
          <cell r="E1939" t="str">
            <v>B26000052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B26000053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B26000062</v>
          </cell>
          <cell r="AP1941">
            <v>0</v>
          </cell>
          <cell r="AQ1941">
            <v>0</v>
          </cell>
          <cell r="AV1941">
            <v>0</v>
          </cell>
        </row>
        <row r="1942">
          <cell r="E1942" t="str">
            <v>B26000102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D26000066</v>
          </cell>
          <cell r="AP1943">
            <v>0</v>
          </cell>
          <cell r="AQ1943">
            <v>0</v>
          </cell>
          <cell r="AV1943">
            <v>0</v>
          </cell>
        </row>
        <row r="1944">
          <cell r="E1944" t="str">
            <v>D26000222</v>
          </cell>
          <cell r="AP1944">
            <v>0</v>
          </cell>
          <cell r="AQ1944">
            <v>0</v>
          </cell>
          <cell r="AV1944">
            <v>0</v>
          </cell>
        </row>
        <row r="1945">
          <cell r="E1945" t="str">
            <v>D26000314</v>
          </cell>
          <cell r="AP1945">
            <v>0</v>
          </cell>
          <cell r="AQ1945">
            <v>0</v>
          </cell>
          <cell r="AV1945">
            <v>0</v>
          </cell>
        </row>
        <row r="1946">
          <cell r="E1946" t="str">
            <v>B26000311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B26000314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D26000382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D26000383</v>
          </cell>
          <cell r="AP1949">
            <v>0</v>
          </cell>
          <cell r="AQ1949">
            <v>0</v>
          </cell>
          <cell r="AV1949">
            <v>0</v>
          </cell>
        </row>
        <row r="1950">
          <cell r="E1950" t="str">
            <v>D26000460</v>
          </cell>
          <cell r="AP1950">
            <v>0</v>
          </cell>
          <cell r="AQ1950">
            <v>0</v>
          </cell>
          <cell r="AV1950">
            <v>0</v>
          </cell>
        </row>
        <row r="1951">
          <cell r="E1951" t="str">
            <v>D26000513</v>
          </cell>
          <cell r="AP1951">
            <v>0</v>
          </cell>
          <cell r="AQ1951">
            <v>0</v>
          </cell>
          <cell r="AV1951">
            <v>0</v>
          </cell>
        </row>
        <row r="1952">
          <cell r="E1952" t="str">
            <v>D26000514</v>
          </cell>
          <cell r="AP1952">
            <v>0</v>
          </cell>
          <cell r="AQ1952">
            <v>0</v>
          </cell>
          <cell r="AV1952">
            <v>0</v>
          </cell>
        </row>
        <row r="1953">
          <cell r="E1953" t="str">
            <v>D26000515</v>
          </cell>
          <cell r="AP1953">
            <v>0</v>
          </cell>
          <cell r="AQ1953">
            <v>0</v>
          </cell>
          <cell r="AV1953">
            <v>0</v>
          </cell>
        </row>
        <row r="1954">
          <cell r="E1954" t="str">
            <v>B26000502</v>
          </cell>
          <cell r="AP1954">
            <v>0</v>
          </cell>
          <cell r="AQ1954">
            <v>0</v>
          </cell>
          <cell r="AV1954">
            <v>0</v>
          </cell>
        </row>
        <row r="1955">
          <cell r="E1955" t="str">
            <v>B26000531</v>
          </cell>
          <cell r="AP1955">
            <v>0</v>
          </cell>
          <cell r="AQ1955">
            <v>0</v>
          </cell>
          <cell r="AV1955">
            <v>0</v>
          </cell>
        </row>
        <row r="1956">
          <cell r="E1956" t="str">
            <v>B26000580</v>
          </cell>
          <cell r="AP1956">
            <v>0</v>
          </cell>
          <cell r="AQ1956">
            <v>0</v>
          </cell>
          <cell r="AV1956">
            <v>0</v>
          </cell>
        </row>
        <row r="1957">
          <cell r="E1957" t="str">
            <v>D26000633</v>
          </cell>
          <cell r="AP1957">
            <v>0</v>
          </cell>
          <cell r="AQ1957">
            <v>0</v>
          </cell>
          <cell r="AV1957">
            <v>0</v>
          </cell>
        </row>
        <row r="1958">
          <cell r="E1958" t="str">
            <v>D26000655</v>
          </cell>
          <cell r="AP1958">
            <v>0</v>
          </cell>
          <cell r="AQ1958">
            <v>0</v>
          </cell>
          <cell r="AV1958">
            <v>0</v>
          </cell>
        </row>
        <row r="1959">
          <cell r="E1959" t="str">
            <v>B26000665</v>
          </cell>
          <cell r="AP1959">
            <v>0</v>
          </cell>
          <cell r="AQ1959">
            <v>0</v>
          </cell>
          <cell r="AV1959">
            <v>0</v>
          </cell>
        </row>
        <row r="1960">
          <cell r="E1960" t="str">
            <v>B26000679</v>
          </cell>
          <cell r="AP1960">
            <v>0</v>
          </cell>
          <cell r="AQ1960">
            <v>0</v>
          </cell>
          <cell r="AV1960">
            <v>0</v>
          </cell>
        </row>
        <row r="1961">
          <cell r="E1961" t="str">
            <v>D26000708</v>
          </cell>
          <cell r="AP1961">
            <v>0</v>
          </cell>
          <cell r="AQ1961">
            <v>0</v>
          </cell>
          <cell r="AV1961">
            <v>0</v>
          </cell>
        </row>
        <row r="1962">
          <cell r="E1962" t="str">
            <v>D26000712</v>
          </cell>
          <cell r="AP1962">
            <v>0</v>
          </cell>
          <cell r="AQ1962">
            <v>0</v>
          </cell>
          <cell r="AV1962">
            <v>0</v>
          </cell>
        </row>
        <row r="1963">
          <cell r="E1963" t="str">
            <v>B26000731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D26000812</v>
          </cell>
          <cell r="AP1964">
            <v>0</v>
          </cell>
          <cell r="AQ1964">
            <v>0</v>
          </cell>
          <cell r="AV1964">
            <v>0</v>
          </cell>
        </row>
        <row r="1965">
          <cell r="E1965" t="str">
            <v>B26000778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D26000848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B26000811</v>
          </cell>
          <cell r="AP1967">
            <v>0</v>
          </cell>
          <cell r="AQ1967">
            <v>0</v>
          </cell>
          <cell r="AV1967">
            <v>0</v>
          </cell>
        </row>
        <row r="1968">
          <cell r="E1968" t="str">
            <v>B26000842</v>
          </cell>
          <cell r="AP1968">
            <v>0</v>
          </cell>
          <cell r="AQ1968">
            <v>0</v>
          </cell>
          <cell r="AV1968">
            <v>0</v>
          </cell>
        </row>
        <row r="1969">
          <cell r="E1969" t="str">
            <v>B26000843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B26000894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B26000895</v>
          </cell>
          <cell r="AP1971">
            <v>0</v>
          </cell>
          <cell r="AQ1971">
            <v>0</v>
          </cell>
          <cell r="AV1971">
            <v>0</v>
          </cell>
        </row>
        <row r="1972">
          <cell r="E1972" t="str">
            <v>B26000907</v>
          </cell>
          <cell r="AP1972">
            <v>0</v>
          </cell>
          <cell r="AQ1972">
            <v>0</v>
          </cell>
          <cell r="AV1972">
            <v>0</v>
          </cell>
        </row>
        <row r="1973">
          <cell r="E1973" t="str">
            <v>D26001026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D26001084</v>
          </cell>
          <cell r="AP1974">
            <v>0</v>
          </cell>
          <cell r="AQ1974">
            <v>0</v>
          </cell>
          <cell r="AV1974">
            <v>0</v>
          </cell>
        </row>
        <row r="1975">
          <cell r="E1975" t="str">
            <v>B26001113</v>
          </cell>
          <cell r="AP1975">
            <v>0</v>
          </cell>
          <cell r="AQ1975">
            <v>0</v>
          </cell>
          <cell r="AV1975">
            <v>0</v>
          </cell>
        </row>
        <row r="1976">
          <cell r="E1976" t="str">
            <v>D26001153</v>
          </cell>
          <cell r="AP1976">
            <v>0</v>
          </cell>
          <cell r="AQ1976">
            <v>0</v>
          </cell>
          <cell r="AV1976">
            <v>0</v>
          </cell>
        </row>
        <row r="1977">
          <cell r="E1977" t="str">
            <v>D26001171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D26001172</v>
          </cell>
          <cell r="AP1978">
            <v>0</v>
          </cell>
          <cell r="AQ1978">
            <v>0</v>
          </cell>
          <cell r="AV1978">
            <v>0</v>
          </cell>
        </row>
        <row r="1979">
          <cell r="E1979" t="str">
            <v>B26001146</v>
          </cell>
          <cell r="AP1979">
            <v>0</v>
          </cell>
          <cell r="AQ1979">
            <v>0</v>
          </cell>
          <cell r="AV1979">
            <v>0</v>
          </cell>
        </row>
        <row r="1980">
          <cell r="E1980" t="str">
            <v>D26001224</v>
          </cell>
          <cell r="AP1980">
            <v>0</v>
          </cell>
          <cell r="AQ1980">
            <v>0</v>
          </cell>
          <cell r="AV1980">
            <v>0</v>
          </cell>
        </row>
        <row r="1981">
          <cell r="E1981" t="str">
            <v>B26001218</v>
          </cell>
          <cell r="AP1981">
            <v>0</v>
          </cell>
          <cell r="AQ1981">
            <v>0</v>
          </cell>
          <cell r="AV1981">
            <v>0</v>
          </cell>
        </row>
        <row r="1982">
          <cell r="E1982" t="str">
            <v>B26001219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D26001283</v>
          </cell>
          <cell r="AP1983">
            <v>0</v>
          </cell>
          <cell r="AQ1983">
            <v>0</v>
          </cell>
          <cell r="AV1983">
            <v>0</v>
          </cell>
        </row>
        <row r="1984">
          <cell r="E1984" t="str">
            <v>D26001297</v>
          </cell>
          <cell r="AP1984">
            <v>0</v>
          </cell>
          <cell r="AQ1984">
            <v>0</v>
          </cell>
          <cell r="AV1984">
            <v>0</v>
          </cell>
        </row>
        <row r="1985">
          <cell r="E1985" t="str">
            <v>B26001238</v>
          </cell>
          <cell r="AP1985">
            <v>0</v>
          </cell>
          <cell r="AQ1985">
            <v>0</v>
          </cell>
          <cell r="AV1985">
            <v>0</v>
          </cell>
        </row>
        <row r="1986">
          <cell r="E1986" t="str">
            <v>B26001295</v>
          </cell>
          <cell r="AP1986">
            <v>0</v>
          </cell>
          <cell r="AQ1986">
            <v>0</v>
          </cell>
          <cell r="AV1986">
            <v>0</v>
          </cell>
        </row>
        <row r="1987">
          <cell r="E1987" t="str">
            <v>D26001383</v>
          </cell>
          <cell r="AP1987">
            <v>0</v>
          </cell>
          <cell r="AQ1987">
            <v>0</v>
          </cell>
          <cell r="AV1987">
            <v>0</v>
          </cell>
        </row>
        <row r="1988">
          <cell r="E1988" t="str">
            <v>D26001466</v>
          </cell>
          <cell r="AP1988">
            <v>0</v>
          </cell>
          <cell r="AQ1988">
            <v>0</v>
          </cell>
          <cell r="AV1988">
            <v>0</v>
          </cell>
        </row>
        <row r="1989">
          <cell r="E1989" t="str">
            <v>B26001433</v>
          </cell>
          <cell r="AP1989">
            <v>0</v>
          </cell>
          <cell r="AQ1989">
            <v>0</v>
          </cell>
          <cell r="AV1989">
            <v>0</v>
          </cell>
        </row>
        <row r="1990">
          <cell r="E1990" t="str">
            <v>B26001434</v>
          </cell>
          <cell r="AP1990">
            <v>0</v>
          </cell>
          <cell r="AQ1990">
            <v>0</v>
          </cell>
          <cell r="AV1990">
            <v>0</v>
          </cell>
        </row>
        <row r="1991">
          <cell r="E1991" t="str">
            <v>B26001459</v>
          </cell>
          <cell r="AP1991">
            <v>0</v>
          </cell>
          <cell r="AQ1991">
            <v>0</v>
          </cell>
          <cell r="AV1991">
            <v>0</v>
          </cell>
        </row>
        <row r="1992">
          <cell r="E1992" t="str">
            <v>B26001480</v>
          </cell>
          <cell r="AP1992">
            <v>0</v>
          </cell>
          <cell r="AQ1992">
            <v>0</v>
          </cell>
          <cell r="AV1992">
            <v>32250000</v>
          </cell>
        </row>
        <row r="1993">
          <cell r="E1993" t="str">
            <v>D26001631</v>
          </cell>
          <cell r="AP1993">
            <v>0</v>
          </cell>
          <cell r="AQ1993">
            <v>0</v>
          </cell>
          <cell r="AV1993">
            <v>0</v>
          </cell>
        </row>
        <row r="1994">
          <cell r="E1994" t="str">
            <v>D26001632</v>
          </cell>
          <cell r="AP1994">
            <v>0</v>
          </cell>
          <cell r="AQ1994">
            <v>0</v>
          </cell>
          <cell r="AV1994">
            <v>0</v>
          </cell>
        </row>
        <row r="1995">
          <cell r="E1995" t="str">
            <v>D26001684</v>
          </cell>
          <cell r="AP1995">
            <v>0</v>
          </cell>
          <cell r="AQ1995">
            <v>0</v>
          </cell>
          <cell r="AV1995">
            <v>0</v>
          </cell>
        </row>
        <row r="1996">
          <cell r="E1996" t="str">
            <v>D26001732</v>
          </cell>
          <cell r="AP1996">
            <v>0</v>
          </cell>
          <cell r="AQ1996">
            <v>0</v>
          </cell>
          <cell r="AV1996">
            <v>0</v>
          </cell>
        </row>
        <row r="1997">
          <cell r="E1997" t="str">
            <v>B26001655</v>
          </cell>
          <cell r="AP1997">
            <v>0</v>
          </cell>
          <cell r="AQ1997">
            <v>0</v>
          </cell>
          <cell r="AV1997">
            <v>0</v>
          </cell>
        </row>
        <row r="1998">
          <cell r="E1998" t="str">
            <v>B26001669</v>
          </cell>
          <cell r="AP1998">
            <v>0</v>
          </cell>
          <cell r="AQ1998">
            <v>0</v>
          </cell>
          <cell r="AV1998">
            <v>46250000</v>
          </cell>
        </row>
        <row r="1999">
          <cell r="E1999" t="str">
            <v>B26001670</v>
          </cell>
          <cell r="AP1999">
            <v>0</v>
          </cell>
          <cell r="AQ1999">
            <v>0</v>
          </cell>
          <cell r="AV1999">
            <v>0</v>
          </cell>
        </row>
        <row r="2000">
          <cell r="E2000" t="str">
            <v>D26001858</v>
          </cell>
          <cell r="AP2000">
            <v>0</v>
          </cell>
          <cell r="AQ2000">
            <v>0</v>
          </cell>
          <cell r="AV2000">
            <v>0</v>
          </cell>
        </row>
        <row r="2001">
          <cell r="E2001" t="str">
            <v>D26001859</v>
          </cell>
          <cell r="AP2001">
            <v>0</v>
          </cell>
          <cell r="AQ2001">
            <v>0</v>
          </cell>
          <cell r="AV2001">
            <v>0</v>
          </cell>
        </row>
        <row r="2002">
          <cell r="E2002" t="str">
            <v>D26001902</v>
          </cell>
          <cell r="AP2002">
            <v>0</v>
          </cell>
          <cell r="AQ2002">
            <v>0</v>
          </cell>
          <cell r="AV2002">
            <v>0</v>
          </cell>
        </row>
        <row r="2003">
          <cell r="E2003" t="str">
            <v>B26001821</v>
          </cell>
          <cell r="AP2003">
            <v>0</v>
          </cell>
          <cell r="AQ2003">
            <v>0</v>
          </cell>
          <cell r="AV2003">
            <v>0</v>
          </cell>
        </row>
        <row r="2004">
          <cell r="E2004" t="str">
            <v>B26001822</v>
          </cell>
          <cell r="AP2004">
            <v>0</v>
          </cell>
          <cell r="AQ2004">
            <v>0</v>
          </cell>
          <cell r="AV2004">
            <v>0</v>
          </cell>
        </row>
        <row r="2005">
          <cell r="E2005" t="str">
            <v>B26001869</v>
          </cell>
          <cell r="AP2005">
            <v>0</v>
          </cell>
          <cell r="AQ2005">
            <v>0</v>
          </cell>
          <cell r="AV2005">
            <v>0</v>
          </cell>
        </row>
        <row r="2006">
          <cell r="E2006" t="str">
            <v>B26001870</v>
          </cell>
          <cell r="AP2006">
            <v>0</v>
          </cell>
          <cell r="AQ2006">
            <v>0</v>
          </cell>
          <cell r="AV2006">
            <v>0</v>
          </cell>
        </row>
        <row r="2007">
          <cell r="E2007" t="str">
            <v>D26002052</v>
          </cell>
          <cell r="AP2007">
            <v>0</v>
          </cell>
          <cell r="AQ2007">
            <v>0</v>
          </cell>
          <cell r="AV2007">
            <v>0</v>
          </cell>
        </row>
        <row r="2008">
          <cell r="E2008" t="str">
            <v>D26002053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B26000024</v>
          </cell>
          <cell r="AP2009">
            <v>0</v>
          </cell>
          <cell r="AQ2009">
            <v>0</v>
          </cell>
          <cell r="AV2009">
            <v>2255000</v>
          </cell>
        </row>
        <row r="2010">
          <cell r="E2010" t="str">
            <v>D26000047</v>
          </cell>
          <cell r="AP2010">
            <v>0</v>
          </cell>
          <cell r="AQ2010">
            <v>0</v>
          </cell>
          <cell r="AV2010">
            <v>1600000</v>
          </cell>
        </row>
        <row r="2011">
          <cell r="E2011" t="str">
            <v>B26000878</v>
          </cell>
          <cell r="AP2011">
            <v>0</v>
          </cell>
          <cell r="AQ2011">
            <v>0</v>
          </cell>
          <cell r="AV2011">
            <v>0</v>
          </cell>
        </row>
        <row r="2012">
          <cell r="E2012" t="str">
            <v>B26001725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B26001726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B26000025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B26000847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D26001361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D26001875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D26001969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D26001101</v>
          </cell>
          <cell r="AP2019">
            <v>0</v>
          </cell>
          <cell r="AQ2019">
            <v>0</v>
          </cell>
          <cell r="AV2019">
            <v>0</v>
          </cell>
        </row>
        <row r="2020">
          <cell r="E2020" t="str">
            <v>B26001374</v>
          </cell>
          <cell r="AP2020">
            <v>0</v>
          </cell>
          <cell r="AQ2020">
            <v>0</v>
          </cell>
          <cell r="AV2020">
            <v>0</v>
          </cell>
        </row>
        <row r="2021">
          <cell r="E2021" t="str">
            <v>D26001733</v>
          </cell>
          <cell r="AP2021">
            <v>0</v>
          </cell>
          <cell r="AQ2021">
            <v>0</v>
          </cell>
          <cell r="AV2021">
            <v>0</v>
          </cell>
        </row>
        <row r="2022">
          <cell r="E2022" t="str">
            <v>B26001753</v>
          </cell>
          <cell r="AP2022">
            <v>0</v>
          </cell>
          <cell r="AQ2022">
            <v>0</v>
          </cell>
          <cell r="AV2022">
            <v>0</v>
          </cell>
        </row>
        <row r="2023">
          <cell r="E2023" t="str">
            <v>D26001879</v>
          </cell>
          <cell r="AP2023">
            <v>0</v>
          </cell>
          <cell r="AQ2023">
            <v>0</v>
          </cell>
          <cell r="AV2023">
            <v>0</v>
          </cell>
        </row>
        <row r="2024">
          <cell r="E2024" t="str">
            <v>D25019617</v>
          </cell>
          <cell r="AP2024">
            <v>0</v>
          </cell>
          <cell r="AQ2024">
            <v>0</v>
          </cell>
          <cell r="AV2024">
            <v>7470000</v>
          </cell>
        </row>
        <row r="2025">
          <cell r="E2025" t="str">
            <v>D25019692</v>
          </cell>
          <cell r="AP2025">
            <v>0</v>
          </cell>
          <cell r="AQ2025">
            <v>0</v>
          </cell>
          <cell r="AV2025">
            <v>1350000</v>
          </cell>
        </row>
        <row r="2026">
          <cell r="E2026" t="str">
            <v>D25019694</v>
          </cell>
          <cell r="AP2026">
            <v>0</v>
          </cell>
          <cell r="AQ2026">
            <v>0</v>
          </cell>
          <cell r="AV2026">
            <v>7440000</v>
          </cell>
        </row>
        <row r="2027">
          <cell r="E2027" t="str">
            <v>D26000648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B26000637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B26000870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D26000924</v>
          </cell>
          <cell r="AP2030">
            <v>0</v>
          </cell>
          <cell r="AQ2030">
            <v>0</v>
          </cell>
          <cell r="AV2030">
            <v>0</v>
          </cell>
        </row>
        <row r="2031">
          <cell r="E2031" t="str">
            <v>D26001053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D26001062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B26001055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D26001319</v>
          </cell>
          <cell r="AP2034">
            <v>0</v>
          </cell>
          <cell r="AQ2034">
            <v>0</v>
          </cell>
          <cell r="AV2034">
            <v>0</v>
          </cell>
        </row>
        <row r="2035">
          <cell r="E2035" t="str">
            <v>B26001537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B26001550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D25018610</v>
          </cell>
          <cell r="AP2037">
            <v>0</v>
          </cell>
          <cell r="AQ2037">
            <v>0</v>
          </cell>
          <cell r="AV2037">
            <v>8500000</v>
          </cell>
        </row>
        <row r="2038">
          <cell r="E2038" t="str">
            <v>D25019233</v>
          </cell>
          <cell r="AP2038">
            <v>0</v>
          </cell>
          <cell r="AQ2038">
            <v>0</v>
          </cell>
          <cell r="AV2038">
            <v>13600000</v>
          </cell>
        </row>
        <row r="2039">
          <cell r="E2039" t="str">
            <v>D25019485</v>
          </cell>
          <cell r="AP2039">
            <v>0</v>
          </cell>
          <cell r="AQ2039">
            <v>0</v>
          </cell>
          <cell r="AV2039">
            <v>19500000</v>
          </cell>
        </row>
        <row r="2040">
          <cell r="E2040" t="str">
            <v>B26000108</v>
          </cell>
          <cell r="AP2040">
            <v>0</v>
          </cell>
          <cell r="AQ2040">
            <v>0</v>
          </cell>
          <cell r="AV2040">
            <v>5100000</v>
          </cell>
        </row>
        <row r="2041">
          <cell r="E2041" t="str">
            <v>B26000315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B26001243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D26001524</v>
          </cell>
          <cell r="AP2043">
            <v>0</v>
          </cell>
          <cell r="AQ2043">
            <v>0</v>
          </cell>
          <cell r="AV2043">
            <v>0</v>
          </cell>
        </row>
        <row r="2044">
          <cell r="E2044" t="str">
            <v>D26001596</v>
          </cell>
          <cell r="AP2044">
            <v>0</v>
          </cell>
          <cell r="AQ2044">
            <v>0</v>
          </cell>
          <cell r="AV2044">
            <v>13400000</v>
          </cell>
        </row>
        <row r="2045">
          <cell r="E2045" t="str">
            <v>B26001575</v>
          </cell>
          <cell r="AP2045">
            <v>0</v>
          </cell>
          <cell r="AQ2045">
            <v>0</v>
          </cell>
          <cell r="AV2045">
            <v>11350000</v>
          </cell>
        </row>
        <row r="2046">
          <cell r="E2046" t="str">
            <v>B26001576</v>
          </cell>
          <cell r="AP2046">
            <v>0</v>
          </cell>
          <cell r="AQ2046">
            <v>0</v>
          </cell>
          <cell r="AV2046">
            <v>0</v>
          </cell>
        </row>
        <row r="2047">
          <cell r="E2047" t="str">
            <v>B26001846</v>
          </cell>
          <cell r="AP2047">
            <v>0</v>
          </cell>
          <cell r="AQ2047">
            <v>0</v>
          </cell>
          <cell r="AV2047">
            <v>0</v>
          </cell>
        </row>
        <row r="2048">
          <cell r="E2048" t="str">
            <v>D26001982</v>
          </cell>
          <cell r="AP2048">
            <v>0</v>
          </cell>
          <cell r="AQ2048">
            <v>0</v>
          </cell>
          <cell r="AV2048">
            <v>0</v>
          </cell>
        </row>
        <row r="2049">
          <cell r="E2049" t="str">
            <v>D25016516</v>
          </cell>
          <cell r="AP2049">
            <v>0</v>
          </cell>
          <cell r="AQ2049">
            <v>0</v>
          </cell>
          <cell r="AV2049">
            <v>0</v>
          </cell>
        </row>
        <row r="2050">
          <cell r="E2050" t="str">
            <v>N25000063</v>
          </cell>
          <cell r="AP2050">
            <v>0</v>
          </cell>
          <cell r="AQ2050">
            <v>0</v>
          </cell>
          <cell r="AV2050">
            <v>0</v>
          </cell>
        </row>
        <row r="2051">
          <cell r="E2051" t="str">
            <v>B25016278</v>
          </cell>
          <cell r="AP2051">
            <v>0</v>
          </cell>
          <cell r="AQ2051">
            <v>0</v>
          </cell>
          <cell r="AV2051">
            <v>0</v>
          </cell>
        </row>
        <row r="2052">
          <cell r="E2052" t="str">
            <v>B26000678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B25014533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B25014549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D25017159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D25017524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B25015180</v>
          </cell>
          <cell r="AP2057">
            <v>0</v>
          </cell>
          <cell r="AQ2057">
            <v>0</v>
          </cell>
          <cell r="AV2057">
            <v>0</v>
          </cell>
        </row>
        <row r="2058">
          <cell r="E2058" t="str">
            <v>B25015962</v>
          </cell>
          <cell r="AP2058">
            <v>0</v>
          </cell>
          <cell r="AQ2058">
            <v>0</v>
          </cell>
          <cell r="AV2058">
            <v>0</v>
          </cell>
        </row>
        <row r="2059">
          <cell r="E2059" t="str">
            <v>D25018402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B25016026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D25019077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B26000050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B26000726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D26000942</v>
          </cell>
          <cell r="AP2064">
            <v>0</v>
          </cell>
          <cell r="AQ2064">
            <v>0</v>
          </cell>
          <cell r="AV2064">
            <v>0</v>
          </cell>
        </row>
        <row r="2065">
          <cell r="E2065" t="str">
            <v>D26001481</v>
          </cell>
          <cell r="AP2065">
            <v>0</v>
          </cell>
          <cell r="AQ2065">
            <v>0</v>
          </cell>
          <cell r="AV2065">
            <v>0</v>
          </cell>
        </row>
        <row r="2066">
          <cell r="E2066" t="str">
            <v>D26001580</v>
          </cell>
          <cell r="AP2066">
            <v>0</v>
          </cell>
          <cell r="AQ2066">
            <v>0</v>
          </cell>
          <cell r="AV2066">
            <v>0</v>
          </cell>
        </row>
        <row r="2067">
          <cell r="E2067" t="str">
            <v>B25014904</v>
          </cell>
          <cell r="AP2067">
            <v>0</v>
          </cell>
          <cell r="AQ2067">
            <v>0</v>
          </cell>
          <cell r="AV2067">
            <v>0</v>
          </cell>
        </row>
        <row r="2068">
          <cell r="E2068" t="str">
            <v>B25015817</v>
          </cell>
          <cell r="AP2068">
            <v>0</v>
          </cell>
          <cell r="AQ2068">
            <v>0</v>
          </cell>
          <cell r="AV2068">
            <v>0</v>
          </cell>
        </row>
        <row r="2069">
          <cell r="E2069" t="str">
            <v>B25016025</v>
          </cell>
          <cell r="AP2069">
            <v>0</v>
          </cell>
          <cell r="AQ2069">
            <v>0</v>
          </cell>
          <cell r="AV2069">
            <v>0</v>
          </cell>
        </row>
        <row r="2070">
          <cell r="E2070" t="str">
            <v>B26000049</v>
          </cell>
          <cell r="AP2070">
            <v>0</v>
          </cell>
          <cell r="AQ2070">
            <v>0</v>
          </cell>
          <cell r="AV2070">
            <v>0</v>
          </cell>
        </row>
        <row r="2071">
          <cell r="E2071" t="str">
            <v>B26001029</v>
          </cell>
          <cell r="AP2071">
            <v>0</v>
          </cell>
          <cell r="AQ2071">
            <v>0</v>
          </cell>
          <cell r="AV2071">
            <v>0</v>
          </cell>
        </row>
        <row r="2072">
          <cell r="E2072" t="str">
            <v>T26000092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T26000093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B25015882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D25018793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D25019576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D26000315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D26000316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B26000653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B26001059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D26001184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D26002063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Z25003159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Z25003176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Z25003193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Z25003205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Z25003261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Z25003267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Z25003314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Z25003333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Z25003346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Z25003348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Z25003358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Z25003375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Z26000012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Z26000029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Z26000094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Z26000102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Z26000130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Z26000153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Z26000177</v>
          </cell>
          <cell r="AP2101">
            <v>0</v>
          </cell>
          <cell r="AQ2101">
            <v>0</v>
          </cell>
          <cell r="AV2101">
            <v>0</v>
          </cell>
        </row>
        <row r="2102">
          <cell r="E2102" t="str">
            <v>Z26000220</v>
          </cell>
          <cell r="AP2102">
            <v>0</v>
          </cell>
          <cell r="AQ2102">
            <v>0</v>
          </cell>
          <cell r="AV2102">
            <v>0</v>
          </cell>
        </row>
        <row r="2103">
          <cell r="E2103" t="str">
            <v>Z26000279</v>
          </cell>
          <cell r="AP2103">
            <v>0</v>
          </cell>
          <cell r="AQ2103">
            <v>0</v>
          </cell>
          <cell r="AV2103">
            <v>0</v>
          </cell>
        </row>
        <row r="2104">
          <cell r="E2104" t="str">
            <v>B26001903</v>
          </cell>
          <cell r="AP2104">
            <v>0</v>
          </cell>
          <cell r="AQ2104">
            <v>0</v>
          </cell>
          <cell r="AV2104">
            <v>0</v>
          </cell>
        </row>
        <row r="2105">
          <cell r="E2105" t="str">
            <v>D25017662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D25017911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D25017932</v>
          </cell>
          <cell r="AP2107">
            <v>0</v>
          </cell>
          <cell r="AQ2107">
            <v>0</v>
          </cell>
          <cell r="AV2107">
            <v>0</v>
          </cell>
        </row>
        <row r="2108">
          <cell r="E2108" t="str">
            <v>D25017933</v>
          </cell>
          <cell r="AP2108">
            <v>0</v>
          </cell>
          <cell r="AQ2108">
            <v>0</v>
          </cell>
          <cell r="AV2108">
            <v>0</v>
          </cell>
        </row>
        <row r="2109">
          <cell r="E2109" t="str">
            <v>D25018001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D25018139</v>
          </cell>
          <cell r="AP2110">
            <v>0</v>
          </cell>
          <cell r="AQ2110">
            <v>0</v>
          </cell>
          <cell r="AV2110">
            <v>0</v>
          </cell>
        </row>
        <row r="2111">
          <cell r="E2111" t="str">
            <v>D25018229</v>
          </cell>
          <cell r="AP2111">
            <v>0</v>
          </cell>
          <cell r="AQ2111">
            <v>0</v>
          </cell>
          <cell r="AV2111">
            <v>0</v>
          </cell>
        </row>
        <row r="2112">
          <cell r="E2112" t="str">
            <v>B25015912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D25018287</v>
          </cell>
          <cell r="AP2113">
            <v>0</v>
          </cell>
          <cell r="AQ2113">
            <v>0</v>
          </cell>
          <cell r="AV2113">
            <v>0</v>
          </cell>
        </row>
        <row r="2114">
          <cell r="E2114" t="str">
            <v>D25018353</v>
          </cell>
          <cell r="AP2114">
            <v>0</v>
          </cell>
          <cell r="AQ2114">
            <v>0</v>
          </cell>
          <cell r="AV2114">
            <v>0</v>
          </cell>
        </row>
        <row r="2115">
          <cell r="E2115" t="str">
            <v>D25018429</v>
          </cell>
          <cell r="AP2115">
            <v>0</v>
          </cell>
          <cell r="AQ2115">
            <v>0</v>
          </cell>
          <cell r="AV2115">
            <v>0</v>
          </cell>
        </row>
        <row r="2116">
          <cell r="E2116" t="str">
            <v>D25018492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D25018617</v>
          </cell>
          <cell r="AP2117">
            <v>0</v>
          </cell>
          <cell r="AQ2117">
            <v>0</v>
          </cell>
          <cell r="AV2117">
            <v>0</v>
          </cell>
        </row>
        <row r="2118">
          <cell r="E2118" t="str">
            <v>B25016247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 t="str">
            <v>B25016267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 t="str">
            <v>B25016447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B25016509</v>
          </cell>
          <cell r="AP2121">
            <v>0</v>
          </cell>
          <cell r="AQ2121">
            <v>0</v>
          </cell>
          <cell r="AV2121">
            <v>0</v>
          </cell>
        </row>
        <row r="2122">
          <cell r="E2122" t="str">
            <v>B25016792</v>
          </cell>
          <cell r="AP2122">
            <v>0</v>
          </cell>
          <cell r="AQ2122">
            <v>0</v>
          </cell>
          <cell r="AV2122">
            <v>0</v>
          </cell>
        </row>
        <row r="2123">
          <cell r="E2123" t="str">
            <v>D25019469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B26000118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D26000102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B26000292</v>
          </cell>
          <cell r="AP2126">
            <v>0</v>
          </cell>
          <cell r="AQ2126">
            <v>0</v>
          </cell>
          <cell r="AV2126">
            <v>0</v>
          </cell>
        </row>
        <row r="2127">
          <cell r="E2127" t="str">
            <v>B26000293</v>
          </cell>
          <cell r="AP2127">
            <v>0</v>
          </cell>
          <cell r="AQ2127">
            <v>0</v>
          </cell>
          <cell r="AV2127">
            <v>0</v>
          </cell>
        </row>
        <row r="2128">
          <cell r="E2128" t="str">
            <v>B26000528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B26000572</v>
          </cell>
          <cell r="AP2129">
            <v>0</v>
          </cell>
          <cell r="AQ2129">
            <v>0</v>
          </cell>
          <cell r="AV2129">
            <v>0</v>
          </cell>
        </row>
        <row r="2130">
          <cell r="E2130" t="str">
            <v>B26000621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B26000671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B26000696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B26000829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B26000865</v>
          </cell>
          <cell r="AP2134">
            <v>0</v>
          </cell>
          <cell r="AQ2134">
            <v>0</v>
          </cell>
          <cell r="AV2134">
            <v>0</v>
          </cell>
        </row>
        <row r="2135">
          <cell r="E2135" t="str">
            <v>B26001201</v>
          </cell>
          <cell r="AP2135">
            <v>0</v>
          </cell>
          <cell r="AQ2135">
            <v>0</v>
          </cell>
          <cell r="AV2135">
            <v>0</v>
          </cell>
        </row>
        <row r="2136">
          <cell r="E2136" t="str">
            <v>B26001231</v>
          </cell>
          <cell r="AP2136">
            <v>0</v>
          </cell>
          <cell r="AQ2136">
            <v>0</v>
          </cell>
          <cell r="AV2136">
            <v>463500000</v>
          </cell>
        </row>
        <row r="2137">
          <cell r="E2137" t="str">
            <v>B26001233</v>
          </cell>
          <cell r="AP2137">
            <v>0</v>
          </cell>
          <cell r="AQ2137">
            <v>0</v>
          </cell>
          <cell r="AV2137">
            <v>51500000</v>
          </cell>
        </row>
        <row r="2138">
          <cell r="E2138" t="str">
            <v>B26001289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B26001340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B26001341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B26001348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B26001382</v>
          </cell>
          <cell r="AP2142">
            <v>0</v>
          </cell>
          <cell r="AQ2142">
            <v>0</v>
          </cell>
          <cell r="AV2142">
            <v>264000000</v>
          </cell>
        </row>
        <row r="2143">
          <cell r="E2143" t="str">
            <v>B26001383</v>
          </cell>
          <cell r="AP2143">
            <v>0</v>
          </cell>
          <cell r="AQ2143">
            <v>0</v>
          </cell>
          <cell r="AV2143">
            <v>0</v>
          </cell>
        </row>
        <row r="2144">
          <cell r="E2144" t="str">
            <v>B26001464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B26001466</v>
          </cell>
          <cell r="AP2145">
            <v>0</v>
          </cell>
          <cell r="AQ2145">
            <v>0</v>
          </cell>
          <cell r="AV2145">
            <v>221000000</v>
          </cell>
        </row>
        <row r="2146">
          <cell r="E2146" t="str">
            <v>B26001551</v>
          </cell>
          <cell r="AP2146">
            <v>0</v>
          </cell>
          <cell r="AQ2146">
            <v>0</v>
          </cell>
          <cell r="AV2146">
            <v>0</v>
          </cell>
        </row>
        <row r="2147">
          <cell r="E2147" t="str">
            <v>B26001552</v>
          </cell>
          <cell r="AP2147">
            <v>0</v>
          </cell>
          <cell r="AQ2147">
            <v>0</v>
          </cell>
          <cell r="AV2147">
            <v>0</v>
          </cell>
        </row>
        <row r="2148">
          <cell r="E2148" t="str">
            <v>B26001664</v>
          </cell>
          <cell r="AP2148">
            <v>0</v>
          </cell>
          <cell r="AQ2148">
            <v>0</v>
          </cell>
          <cell r="AV2148">
            <v>0</v>
          </cell>
        </row>
        <row r="2149">
          <cell r="E2149" t="str">
            <v>B26001665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B26001698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B26001774</v>
          </cell>
          <cell r="AP2151">
            <v>0</v>
          </cell>
          <cell r="AQ2151">
            <v>0</v>
          </cell>
          <cell r="AV2151">
            <v>0</v>
          </cell>
        </row>
        <row r="2152">
          <cell r="E2152" t="str">
            <v>B26001779</v>
          </cell>
          <cell r="AP2152">
            <v>0</v>
          </cell>
          <cell r="AQ2152">
            <v>0</v>
          </cell>
          <cell r="AV2152">
            <v>0</v>
          </cell>
        </row>
        <row r="2153">
          <cell r="E2153" t="str">
            <v>B26001782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D26001927</v>
          </cell>
          <cell r="AP2154">
            <v>0</v>
          </cell>
          <cell r="AQ2154">
            <v>0</v>
          </cell>
          <cell r="AV2154">
            <v>0</v>
          </cell>
        </row>
        <row r="2155">
          <cell r="E2155" t="str">
            <v>D26001928</v>
          </cell>
          <cell r="AP2155">
            <v>0</v>
          </cell>
          <cell r="AQ2155">
            <v>0</v>
          </cell>
          <cell r="AV2155">
            <v>0</v>
          </cell>
        </row>
        <row r="2156">
          <cell r="E2156" t="str">
            <v>D26001938</v>
          </cell>
          <cell r="AP2156">
            <v>0</v>
          </cell>
          <cell r="AQ2156">
            <v>0</v>
          </cell>
          <cell r="AV2156">
            <v>0</v>
          </cell>
        </row>
        <row r="2157">
          <cell r="E2157" t="str">
            <v>D26002002</v>
          </cell>
          <cell r="AP2157">
            <v>0</v>
          </cell>
          <cell r="AQ2157">
            <v>0</v>
          </cell>
          <cell r="AV2157">
            <v>0</v>
          </cell>
        </row>
        <row r="2158">
          <cell r="E2158" t="str">
            <v>D26002049</v>
          </cell>
          <cell r="AP2158">
            <v>0</v>
          </cell>
          <cell r="AQ2158">
            <v>0</v>
          </cell>
          <cell r="AV2158">
            <v>0</v>
          </cell>
        </row>
        <row r="2159">
          <cell r="E2159" t="str">
            <v>D26002050</v>
          </cell>
          <cell r="AP2159">
            <v>0</v>
          </cell>
          <cell r="AQ2159">
            <v>0</v>
          </cell>
          <cell r="AV2159">
            <v>0</v>
          </cell>
        </row>
        <row r="2160">
          <cell r="E2160" t="str">
            <v>D26002051</v>
          </cell>
          <cell r="AP2160">
            <v>0</v>
          </cell>
          <cell r="AQ2160">
            <v>0</v>
          </cell>
          <cell r="AV2160">
            <v>0</v>
          </cell>
        </row>
        <row r="2161">
          <cell r="E2161" t="str">
            <v>D26002094</v>
          </cell>
          <cell r="AP2161">
            <v>0</v>
          </cell>
          <cell r="AQ2161">
            <v>0</v>
          </cell>
          <cell r="AV2161">
            <v>0</v>
          </cell>
        </row>
        <row r="2162">
          <cell r="E2162" t="str">
            <v>B26000380</v>
          </cell>
          <cell r="AP2162">
            <v>0</v>
          </cell>
          <cell r="AQ2162">
            <v>0</v>
          </cell>
          <cell r="AV2162">
            <v>0</v>
          </cell>
        </row>
        <row r="2163">
          <cell r="E2163" t="str">
            <v>B25002140</v>
          </cell>
          <cell r="AP2163">
            <v>0</v>
          </cell>
          <cell r="AQ2163">
            <v>0</v>
          </cell>
          <cell r="AV2163">
            <v>0</v>
          </cell>
        </row>
        <row r="2164">
          <cell r="E2164" t="str">
            <v>B25016848</v>
          </cell>
          <cell r="AP2164">
            <v>0</v>
          </cell>
          <cell r="AQ2164">
            <v>0</v>
          </cell>
          <cell r="AV2164">
            <v>19800000</v>
          </cell>
        </row>
        <row r="2165">
          <cell r="E2165" t="str">
            <v>D25019429</v>
          </cell>
          <cell r="AP2165">
            <v>0</v>
          </cell>
          <cell r="AQ2165">
            <v>0</v>
          </cell>
          <cell r="AV2165">
            <v>2100000</v>
          </cell>
        </row>
        <row r="2166">
          <cell r="E2166" t="str">
            <v>B26000013</v>
          </cell>
          <cell r="AP2166">
            <v>0</v>
          </cell>
          <cell r="AQ2166">
            <v>0</v>
          </cell>
          <cell r="AV2166">
            <v>0</v>
          </cell>
        </row>
        <row r="2167">
          <cell r="E2167" t="str">
            <v>D26000461</v>
          </cell>
          <cell r="AP2167">
            <v>0</v>
          </cell>
          <cell r="AQ2167">
            <v>0</v>
          </cell>
          <cell r="AV2167">
            <v>0</v>
          </cell>
        </row>
        <row r="2168">
          <cell r="E2168" t="str">
            <v>B26000517</v>
          </cell>
          <cell r="AP2168">
            <v>0</v>
          </cell>
          <cell r="AQ2168">
            <v>0</v>
          </cell>
          <cell r="AV2168">
            <v>0</v>
          </cell>
        </row>
        <row r="2169">
          <cell r="E2169" t="str">
            <v>B26000690</v>
          </cell>
          <cell r="AP2169">
            <v>0</v>
          </cell>
          <cell r="AQ2169">
            <v>0</v>
          </cell>
          <cell r="AV2169">
            <v>0</v>
          </cell>
        </row>
        <row r="2170">
          <cell r="E2170" t="str">
            <v>D26001024</v>
          </cell>
          <cell r="AP2170">
            <v>0</v>
          </cell>
          <cell r="AQ2170">
            <v>0</v>
          </cell>
          <cell r="AV2170">
            <v>0</v>
          </cell>
        </row>
        <row r="2171">
          <cell r="E2171" t="str">
            <v>B26001581</v>
          </cell>
          <cell r="AP2171">
            <v>0</v>
          </cell>
          <cell r="AQ2171">
            <v>0</v>
          </cell>
          <cell r="AV2171">
            <v>0</v>
          </cell>
        </row>
        <row r="2172">
          <cell r="E2172" t="str">
            <v>Z25003195</v>
          </cell>
          <cell r="AP2172">
            <v>0</v>
          </cell>
          <cell r="AQ2172">
            <v>0</v>
          </cell>
          <cell r="AV2172">
            <v>0</v>
          </cell>
        </row>
        <row r="2173">
          <cell r="E2173" t="str">
            <v>Z25003204</v>
          </cell>
          <cell r="AP2173">
            <v>0</v>
          </cell>
          <cell r="AQ2173">
            <v>0</v>
          </cell>
          <cell r="AV2173">
            <v>0</v>
          </cell>
        </row>
        <row r="2174">
          <cell r="E2174" t="str">
            <v>Z25003286</v>
          </cell>
          <cell r="AP2174">
            <v>0</v>
          </cell>
          <cell r="AQ2174">
            <v>0</v>
          </cell>
          <cell r="AV2174">
            <v>0</v>
          </cell>
        </row>
        <row r="2175">
          <cell r="E2175" t="str">
            <v>Z25003297</v>
          </cell>
          <cell r="AP2175">
            <v>0</v>
          </cell>
          <cell r="AQ2175">
            <v>0</v>
          </cell>
          <cell r="AV2175">
            <v>0</v>
          </cell>
        </row>
        <row r="2176">
          <cell r="E2176" t="str">
            <v>Z26000140</v>
          </cell>
          <cell r="AP2176">
            <v>0</v>
          </cell>
          <cell r="AQ2176">
            <v>0</v>
          </cell>
          <cell r="AV2176">
            <v>0</v>
          </cell>
        </row>
        <row r="2177">
          <cell r="E2177" t="str">
            <v>Z26000160</v>
          </cell>
          <cell r="AP2177">
            <v>0</v>
          </cell>
          <cell r="AQ2177">
            <v>0</v>
          </cell>
          <cell r="AV2177">
            <v>0</v>
          </cell>
        </row>
        <row r="2178">
          <cell r="E2178" t="str">
            <v>B25016833</v>
          </cell>
          <cell r="AP2178">
            <v>0</v>
          </cell>
          <cell r="AQ2178">
            <v>0</v>
          </cell>
          <cell r="AV2178">
            <v>0</v>
          </cell>
        </row>
        <row r="2179">
          <cell r="E2179" t="str">
            <v>B25016892</v>
          </cell>
          <cell r="AP2179">
            <v>0</v>
          </cell>
          <cell r="AQ2179">
            <v>0</v>
          </cell>
          <cell r="AV2179">
            <v>0</v>
          </cell>
        </row>
        <row r="2180">
          <cell r="E2180" t="str">
            <v>D26000030</v>
          </cell>
          <cell r="AP2180">
            <v>0</v>
          </cell>
          <cell r="AQ2180">
            <v>0</v>
          </cell>
          <cell r="AV2180">
            <v>0</v>
          </cell>
        </row>
        <row r="2181">
          <cell r="E2181" t="str">
            <v>D25018540</v>
          </cell>
          <cell r="AP2181">
            <v>0</v>
          </cell>
          <cell r="AQ2181">
            <v>0</v>
          </cell>
          <cell r="AV2181">
            <v>0</v>
          </cell>
        </row>
        <row r="2182">
          <cell r="E2182" t="str">
            <v>D25018671</v>
          </cell>
          <cell r="AP2182">
            <v>0</v>
          </cell>
          <cell r="AQ2182">
            <v>0</v>
          </cell>
          <cell r="AV2182">
            <v>0</v>
          </cell>
        </row>
        <row r="2183">
          <cell r="E2183" t="str">
            <v>B25016259</v>
          </cell>
          <cell r="AP2183">
            <v>0</v>
          </cell>
          <cell r="AQ2183">
            <v>0</v>
          </cell>
          <cell r="AV2183">
            <v>0</v>
          </cell>
        </row>
        <row r="2184">
          <cell r="E2184" t="str">
            <v>D25019399</v>
          </cell>
          <cell r="AP2184">
            <v>0</v>
          </cell>
          <cell r="AQ2184">
            <v>0</v>
          </cell>
          <cell r="AV2184">
            <v>0</v>
          </cell>
        </row>
        <row r="2185">
          <cell r="E2185" t="str">
            <v>B25016922</v>
          </cell>
          <cell r="AP2185">
            <v>0</v>
          </cell>
          <cell r="AQ2185">
            <v>0</v>
          </cell>
          <cell r="AV2185">
            <v>0</v>
          </cell>
        </row>
        <row r="2186">
          <cell r="E2186" t="str">
            <v>B26001649</v>
          </cell>
          <cell r="AP2186">
            <v>0</v>
          </cell>
          <cell r="AQ2186">
            <v>0</v>
          </cell>
          <cell r="AV2186">
            <v>0</v>
          </cell>
        </row>
        <row r="2187">
          <cell r="E2187" t="str">
            <v>B26001714</v>
          </cell>
          <cell r="AP2187">
            <v>0</v>
          </cell>
          <cell r="AQ2187">
            <v>0</v>
          </cell>
          <cell r="AV2187">
            <v>0</v>
          </cell>
        </row>
        <row r="2188">
          <cell r="E2188" t="str">
            <v>C25000307</v>
          </cell>
          <cell r="AP2188">
            <v>0</v>
          </cell>
          <cell r="AQ2188">
            <v>0</v>
          </cell>
          <cell r="AV2188">
            <v>0</v>
          </cell>
        </row>
        <row r="2189">
          <cell r="E2189" t="str">
            <v>D24015365</v>
          </cell>
          <cell r="AP2189">
            <v>0</v>
          </cell>
          <cell r="AQ2189">
            <v>0</v>
          </cell>
          <cell r="AV2189">
            <v>0</v>
          </cell>
        </row>
        <row r="2190">
          <cell r="E2190" t="str">
            <v>D24015541</v>
          </cell>
          <cell r="AP2190">
            <v>0</v>
          </cell>
          <cell r="AQ2190">
            <v>0</v>
          </cell>
          <cell r="AV2190">
            <v>0</v>
          </cell>
        </row>
        <row r="2191">
          <cell r="E2191" t="str">
            <v>C25000192</v>
          </cell>
          <cell r="AP2191">
            <v>0</v>
          </cell>
          <cell r="AQ2191">
            <v>0</v>
          </cell>
          <cell r="AV2191">
            <v>0</v>
          </cell>
        </row>
        <row r="2192">
          <cell r="E2192" t="str">
            <v>C25000195</v>
          </cell>
          <cell r="AP2192">
            <v>0</v>
          </cell>
          <cell r="AQ2192">
            <v>0</v>
          </cell>
          <cell r="AV2192">
            <v>0</v>
          </cell>
        </row>
        <row r="2193">
          <cell r="E2193" t="str">
            <v>C25000196</v>
          </cell>
          <cell r="AP2193">
            <v>0</v>
          </cell>
          <cell r="AQ2193">
            <v>0</v>
          </cell>
          <cell r="AV2193">
            <v>0</v>
          </cell>
        </row>
        <row r="2194">
          <cell r="E2194" t="str">
            <v>C25000197</v>
          </cell>
          <cell r="AP2194">
            <v>0</v>
          </cell>
          <cell r="AQ2194">
            <v>0</v>
          </cell>
          <cell r="AV2194">
            <v>0</v>
          </cell>
        </row>
        <row r="2195">
          <cell r="E2195" t="str">
            <v>C25000198</v>
          </cell>
          <cell r="AP2195">
            <v>0</v>
          </cell>
          <cell r="AQ2195">
            <v>0</v>
          </cell>
          <cell r="AV2195">
            <v>0</v>
          </cell>
        </row>
        <row r="2196">
          <cell r="E2196" t="str">
            <v>C25000445</v>
          </cell>
          <cell r="AP2196">
            <v>0</v>
          </cell>
          <cell r="AQ2196">
            <v>0</v>
          </cell>
          <cell r="AV2196">
            <v>0</v>
          </cell>
        </row>
        <row r="2197">
          <cell r="E2197" t="str">
            <v>B25008299</v>
          </cell>
          <cell r="AP2197">
            <v>0</v>
          </cell>
          <cell r="AQ2197">
            <v>0</v>
          </cell>
          <cell r="AV2197">
            <v>0</v>
          </cell>
        </row>
        <row r="2198">
          <cell r="E2198" t="str">
            <v>B25008808</v>
          </cell>
          <cell r="AP2198">
            <v>0</v>
          </cell>
          <cell r="AQ2198">
            <v>0</v>
          </cell>
          <cell r="AV2198">
            <v>0</v>
          </cell>
        </row>
        <row r="2199">
          <cell r="E2199" t="str">
            <v>B25009712</v>
          </cell>
          <cell r="AP2199">
            <v>0</v>
          </cell>
          <cell r="AQ2199">
            <v>0</v>
          </cell>
          <cell r="AV2199">
            <v>0</v>
          </cell>
        </row>
        <row r="2200">
          <cell r="E2200" t="str">
            <v>M25000081</v>
          </cell>
          <cell r="AP2200">
            <v>0</v>
          </cell>
          <cell r="AQ2200">
            <v>0</v>
          </cell>
          <cell r="AV2200">
            <v>0</v>
          </cell>
        </row>
        <row r="2201">
          <cell r="E2201" t="str">
            <v>D25018593</v>
          </cell>
          <cell r="AP2201">
            <v>0</v>
          </cell>
          <cell r="AQ2201">
            <v>0</v>
          </cell>
          <cell r="AV2201">
            <v>0</v>
          </cell>
        </row>
        <row r="2202">
          <cell r="E2202" t="str">
            <v>D26002033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B26000145</v>
          </cell>
          <cell r="AP2203">
            <v>0</v>
          </cell>
          <cell r="AQ2203">
            <v>0</v>
          </cell>
          <cell r="AV2203">
            <v>2261000</v>
          </cell>
        </row>
        <row r="2204">
          <cell r="E2204" t="str">
            <v>B26000146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D26000177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D26001775</v>
          </cell>
          <cell r="AP2206">
            <v>0</v>
          </cell>
          <cell r="AQ2206">
            <v>0</v>
          </cell>
          <cell r="AV2206">
            <v>1800000</v>
          </cell>
        </row>
        <row r="2207">
          <cell r="E2207" t="str">
            <v>D26001416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D26001537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D26001621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D25018553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D26001327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T25001822</v>
          </cell>
          <cell r="AP2212">
            <v>0</v>
          </cell>
          <cell r="AQ2212">
            <v>0</v>
          </cell>
          <cell r="AV2212">
            <v>650000</v>
          </cell>
        </row>
        <row r="2213">
          <cell r="E2213" t="str">
            <v>B25016227</v>
          </cell>
          <cell r="AP2213">
            <v>0</v>
          </cell>
          <cell r="AQ2213">
            <v>0</v>
          </cell>
          <cell r="AV2213">
            <v>2660000</v>
          </cell>
        </row>
        <row r="2214">
          <cell r="E2214" t="str">
            <v>D25019423</v>
          </cell>
          <cell r="AP2214">
            <v>0</v>
          </cell>
          <cell r="AQ2214">
            <v>0</v>
          </cell>
          <cell r="AV2214">
            <v>1062500</v>
          </cell>
        </row>
        <row r="2215">
          <cell r="E2215" t="str">
            <v>B25016972</v>
          </cell>
          <cell r="AP2215">
            <v>0</v>
          </cell>
          <cell r="AQ2215">
            <v>0</v>
          </cell>
          <cell r="AV2215">
            <v>0</v>
          </cell>
        </row>
        <row r="2216">
          <cell r="E2216" t="str">
            <v>B25017133</v>
          </cell>
          <cell r="AP2216">
            <v>0</v>
          </cell>
          <cell r="AQ2216">
            <v>0</v>
          </cell>
          <cell r="AV2216">
            <v>2252000</v>
          </cell>
        </row>
        <row r="2217">
          <cell r="E2217" t="str">
            <v>B26000326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B26001041</v>
          </cell>
          <cell r="AP2218">
            <v>0</v>
          </cell>
          <cell r="AQ2218">
            <v>0</v>
          </cell>
          <cell r="AV2218">
            <v>0</v>
          </cell>
        </row>
        <row r="2219">
          <cell r="E2219" t="str">
            <v>B26001680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B26000030</v>
          </cell>
          <cell r="AP2220">
            <v>0</v>
          </cell>
          <cell r="AQ2220">
            <v>0</v>
          </cell>
          <cell r="AV2220">
            <v>1395000</v>
          </cell>
        </row>
        <row r="2221">
          <cell r="E2221" t="str">
            <v>B26000073</v>
          </cell>
          <cell r="AP2221">
            <v>0</v>
          </cell>
          <cell r="AQ2221">
            <v>0</v>
          </cell>
          <cell r="AV2221">
            <v>5340000</v>
          </cell>
        </row>
        <row r="2222">
          <cell r="E2222" t="str">
            <v>D26000190</v>
          </cell>
          <cell r="AP2222">
            <v>0</v>
          </cell>
          <cell r="AQ2222">
            <v>0</v>
          </cell>
          <cell r="AV2222">
            <v>1580000</v>
          </cell>
        </row>
        <row r="2223">
          <cell r="E2223" t="str">
            <v>D26000235</v>
          </cell>
          <cell r="AP2223">
            <v>0</v>
          </cell>
          <cell r="AQ2223">
            <v>0</v>
          </cell>
          <cell r="AV2223">
            <v>5300000</v>
          </cell>
        </row>
        <row r="2224">
          <cell r="E2224" t="str">
            <v>B26000281</v>
          </cell>
          <cell r="AP2224">
            <v>0</v>
          </cell>
          <cell r="AQ2224">
            <v>0</v>
          </cell>
          <cell r="AV2224">
            <v>4755000</v>
          </cell>
        </row>
        <row r="2225">
          <cell r="E2225" t="str">
            <v>B26000487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B26000556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B26000557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B26000730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B26000777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B26000781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D26001025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B26001246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D26001520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D26001769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B26001766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B26001767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T26000124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D26001924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D26001929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D25019707</v>
          </cell>
          <cell r="AP2240">
            <v>0</v>
          </cell>
          <cell r="AQ2240">
            <v>0</v>
          </cell>
          <cell r="AV2240">
            <v>45600000</v>
          </cell>
        </row>
        <row r="2241">
          <cell r="E2241" t="str">
            <v>D25019707</v>
          </cell>
          <cell r="AP2241">
            <v>0</v>
          </cell>
          <cell r="AQ2241">
            <v>0</v>
          </cell>
          <cell r="AV2241">
            <v>130000000</v>
          </cell>
        </row>
        <row r="2242">
          <cell r="E2242" t="str">
            <v>D25019707</v>
          </cell>
          <cell r="AP2242">
            <v>0</v>
          </cell>
          <cell r="AQ2242">
            <v>0</v>
          </cell>
          <cell r="AV2242">
            <v>10000000</v>
          </cell>
        </row>
        <row r="2243">
          <cell r="E2243" t="str">
            <v>B26000288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D26000547</v>
          </cell>
          <cell r="AP2244">
            <v>0</v>
          </cell>
          <cell r="AQ2244">
            <v>0</v>
          </cell>
          <cell r="AV2244">
            <v>64000000</v>
          </cell>
        </row>
        <row r="2245">
          <cell r="E2245" t="str">
            <v>D26000547</v>
          </cell>
          <cell r="AP2245">
            <v>0</v>
          </cell>
          <cell r="AQ2245">
            <v>0</v>
          </cell>
          <cell r="AV2245">
            <v>174800000</v>
          </cell>
        </row>
        <row r="2246">
          <cell r="E2246" t="str">
            <v>T26000034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D26000779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D26000780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D26000885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D26001196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D26001504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D26001571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D26001745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D26001800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D26001801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D26001817</v>
          </cell>
          <cell r="AP2256">
            <v>0</v>
          </cell>
          <cell r="AQ2256">
            <v>0</v>
          </cell>
          <cell r="AV2256">
            <v>0</v>
          </cell>
        </row>
        <row r="2257">
          <cell r="E2257" t="str">
            <v>B26001712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D26002019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B26001898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D26002042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B25016747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B25016748</v>
          </cell>
          <cell r="AP2262">
            <v>0</v>
          </cell>
          <cell r="AQ2262">
            <v>0</v>
          </cell>
          <cell r="AV2262">
            <v>0</v>
          </cell>
        </row>
        <row r="2263">
          <cell r="E2263" t="str">
            <v>B26000037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D26000089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D26001302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D26001303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B26001765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T26000122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D26000752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D26000093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B26000913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T25001849</v>
          </cell>
          <cell r="AP2272">
            <v>0</v>
          </cell>
          <cell r="AQ2272">
            <v>0</v>
          </cell>
          <cell r="AV2272">
            <v>0</v>
          </cell>
        </row>
        <row r="2273">
          <cell r="E2273" t="str">
            <v>T25001850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B26000357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D26000440</v>
          </cell>
          <cell r="AP2275">
            <v>0</v>
          </cell>
          <cell r="AQ2275">
            <v>0</v>
          </cell>
          <cell r="AV2275">
            <v>0</v>
          </cell>
        </row>
        <row r="2276">
          <cell r="E2276" t="str">
            <v>B25009894</v>
          </cell>
          <cell r="AP2276">
            <v>0</v>
          </cell>
          <cell r="AQ2276">
            <v>0</v>
          </cell>
          <cell r="AV2276">
            <v>525000000</v>
          </cell>
        </row>
        <row r="2277">
          <cell r="E2277" t="str">
            <v>D25014407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B26001733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D25019157</v>
          </cell>
          <cell r="AP2279">
            <v>0</v>
          </cell>
          <cell r="AQ2279">
            <v>0</v>
          </cell>
          <cell r="AV2279">
            <v>2260000</v>
          </cell>
        </row>
        <row r="2280">
          <cell r="E2280" t="str">
            <v>D26001468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D26001781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B26000171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D26001079</v>
          </cell>
          <cell r="AP2283">
            <v>0</v>
          </cell>
          <cell r="AQ2283">
            <v>0</v>
          </cell>
          <cell r="AV2283">
            <v>0</v>
          </cell>
        </row>
        <row r="2284">
          <cell r="E2284" t="str">
            <v>T25001881k</v>
          </cell>
          <cell r="AP2284">
            <v>0</v>
          </cell>
          <cell r="AQ2284">
            <v>0</v>
          </cell>
          <cell r="AV2284">
            <v>0</v>
          </cell>
        </row>
        <row r="2285">
          <cell r="E2285" t="str">
            <v>D25019605</v>
          </cell>
          <cell r="AP2285">
            <v>0</v>
          </cell>
          <cell r="AQ2285">
            <v>0</v>
          </cell>
          <cell r="AV2285">
            <v>0</v>
          </cell>
        </row>
        <row r="2286">
          <cell r="E2286" t="str">
            <v>T26000023</v>
          </cell>
          <cell r="AP2286">
            <v>0</v>
          </cell>
          <cell r="AQ2286">
            <v>0</v>
          </cell>
          <cell r="AV2286">
            <v>0</v>
          </cell>
        </row>
        <row r="2287">
          <cell r="E2287" t="str">
            <v>D26000738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B26001319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D26002055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B25016739</v>
          </cell>
          <cell r="AP2290">
            <v>0</v>
          </cell>
          <cell r="AQ2290">
            <v>0</v>
          </cell>
          <cell r="AV2290">
            <v>0</v>
          </cell>
        </row>
        <row r="2291">
          <cell r="E2291" t="str">
            <v>B25016739</v>
          </cell>
          <cell r="AP2291">
            <v>0</v>
          </cell>
          <cell r="AQ2291">
            <v>0</v>
          </cell>
          <cell r="AV2291">
            <v>0</v>
          </cell>
        </row>
        <row r="2292">
          <cell r="E2292" t="str">
            <v>B25016739</v>
          </cell>
          <cell r="AP2292">
            <v>0</v>
          </cell>
          <cell r="AQ2292">
            <v>0</v>
          </cell>
          <cell r="AV2292">
            <v>0</v>
          </cell>
        </row>
        <row r="2293">
          <cell r="E2293" t="str">
            <v>B25016740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B25016740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D25019250</v>
          </cell>
          <cell r="AP2295">
            <v>0</v>
          </cell>
          <cell r="AQ2295">
            <v>0</v>
          </cell>
          <cell r="AV2295">
            <v>0</v>
          </cell>
        </row>
        <row r="2296">
          <cell r="E2296" t="str">
            <v>D25019250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D25019250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B25016887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B25016947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D26001633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D25017428</v>
          </cell>
          <cell r="AP2301">
            <v>0</v>
          </cell>
          <cell r="AQ2301">
            <v>0</v>
          </cell>
          <cell r="AV2301">
            <v>0</v>
          </cell>
        </row>
        <row r="2302">
          <cell r="E2302" t="str">
            <v>B25016171</v>
          </cell>
          <cell r="AP2302">
            <v>0</v>
          </cell>
          <cell r="AQ2302">
            <v>0</v>
          </cell>
          <cell r="AV2302">
            <v>0</v>
          </cell>
        </row>
        <row r="2303">
          <cell r="E2303" t="str">
            <v>D25019645</v>
          </cell>
          <cell r="AP2303">
            <v>0</v>
          </cell>
          <cell r="AQ2303">
            <v>0</v>
          </cell>
          <cell r="AV2303">
            <v>0</v>
          </cell>
        </row>
        <row r="2304">
          <cell r="E2304" t="str">
            <v>D26000850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B26001089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B26001313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B26001585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D25016631</v>
          </cell>
          <cell r="AP2308">
            <v>0</v>
          </cell>
          <cell r="AQ2308">
            <v>0</v>
          </cell>
          <cell r="AV2308">
            <v>981000</v>
          </cell>
        </row>
        <row r="2309">
          <cell r="E2309" t="str">
            <v>T25001655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D25016872</v>
          </cell>
          <cell r="AP2310">
            <v>0</v>
          </cell>
          <cell r="AQ2310">
            <v>0</v>
          </cell>
          <cell r="AV2310">
            <v>1480000</v>
          </cell>
        </row>
        <row r="2311">
          <cell r="E2311" t="str">
            <v>D25016902</v>
          </cell>
          <cell r="AP2311">
            <v>0</v>
          </cell>
          <cell r="AQ2311">
            <v>0</v>
          </cell>
          <cell r="AV2311">
            <v>4800000</v>
          </cell>
        </row>
        <row r="2312">
          <cell r="E2312" t="str">
            <v>T25001703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B25015308</v>
          </cell>
          <cell r="AP2313">
            <v>0</v>
          </cell>
          <cell r="AQ2313">
            <v>0</v>
          </cell>
          <cell r="AV2313">
            <v>1800000</v>
          </cell>
        </row>
        <row r="2314">
          <cell r="E2314" t="str">
            <v>B25016198</v>
          </cell>
          <cell r="AP2314">
            <v>0</v>
          </cell>
          <cell r="AQ2314">
            <v>0</v>
          </cell>
          <cell r="AV2314">
            <v>2629000</v>
          </cell>
        </row>
        <row r="2315">
          <cell r="E2315" t="str">
            <v>B25016199</v>
          </cell>
          <cell r="AP2315">
            <v>0</v>
          </cell>
          <cell r="AQ2315">
            <v>0</v>
          </cell>
          <cell r="AV2315">
            <v>0</v>
          </cell>
        </row>
        <row r="2316">
          <cell r="E2316" t="str">
            <v>B25016200</v>
          </cell>
          <cell r="AP2316">
            <v>0</v>
          </cell>
          <cell r="AQ2316">
            <v>0</v>
          </cell>
          <cell r="AV2316">
            <v>3310000</v>
          </cell>
        </row>
        <row r="2317">
          <cell r="E2317" t="str">
            <v>D26000630</v>
          </cell>
          <cell r="AP2317">
            <v>0</v>
          </cell>
          <cell r="AQ2317">
            <v>0</v>
          </cell>
          <cell r="AV2317">
            <v>0</v>
          </cell>
        </row>
        <row r="2318">
          <cell r="E2318" t="str">
            <v>D26000631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T26000033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D26000911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B26001613</v>
          </cell>
          <cell r="AP2321">
            <v>0</v>
          </cell>
          <cell r="AQ2321">
            <v>0</v>
          </cell>
          <cell r="AV2321">
            <v>0</v>
          </cell>
        </row>
        <row r="2322">
          <cell r="E2322" t="str">
            <v>D25018823</v>
          </cell>
          <cell r="AP2322">
            <v>0</v>
          </cell>
          <cell r="AQ2322">
            <v>0</v>
          </cell>
          <cell r="AV2322">
            <v>0</v>
          </cell>
        </row>
        <row r="2323">
          <cell r="E2323" t="str">
            <v>D25019101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D25019298</v>
          </cell>
          <cell r="AP2324">
            <v>0</v>
          </cell>
          <cell r="AQ2324">
            <v>0</v>
          </cell>
          <cell r="AV2324">
            <v>0</v>
          </cell>
        </row>
        <row r="2325">
          <cell r="E2325" t="str">
            <v>B25016923</v>
          </cell>
          <cell r="AP2325">
            <v>0</v>
          </cell>
          <cell r="AQ2325">
            <v>0</v>
          </cell>
          <cell r="AV2325">
            <v>0</v>
          </cell>
        </row>
        <row r="2326">
          <cell r="E2326" t="str">
            <v>D25019463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D26000125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D26000501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D26000524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D26000525</v>
          </cell>
          <cell r="AP2330">
            <v>0</v>
          </cell>
          <cell r="AQ2330">
            <v>0</v>
          </cell>
          <cell r="AV2330">
            <v>0</v>
          </cell>
        </row>
        <row r="2331">
          <cell r="E2331" t="str">
            <v>D26000541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D26000542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B26001159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B26001164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D26001298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D26001313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D26001380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D26001382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D26001428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B26001435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D26001644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D26001645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D26001854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B26001851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D26002080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D26000259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D26000265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D26000384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B26000695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D26001111</v>
          </cell>
          <cell r="AP2350">
            <v>0</v>
          </cell>
          <cell r="AQ2350">
            <v>2750000</v>
          </cell>
          <cell r="AV2350">
            <v>0</v>
          </cell>
        </row>
        <row r="2351">
          <cell r="E2351" t="str">
            <v>B26001065</v>
          </cell>
          <cell r="AP2351">
            <v>0</v>
          </cell>
          <cell r="AQ2351">
            <v>17250000</v>
          </cell>
          <cell r="AV2351">
            <v>0</v>
          </cell>
        </row>
        <row r="2352">
          <cell r="E2352" t="str">
            <v>B26001065</v>
          </cell>
          <cell r="AP2352">
            <v>0</v>
          </cell>
          <cell r="AQ2352">
            <v>18301750</v>
          </cell>
          <cell r="AV2352">
            <v>0</v>
          </cell>
        </row>
        <row r="2353">
          <cell r="E2353" t="str">
            <v>D26001794</v>
          </cell>
          <cell r="AP2353">
            <v>0</v>
          </cell>
          <cell r="AQ2353">
            <v>0</v>
          </cell>
          <cell r="AV2353">
            <v>0</v>
          </cell>
        </row>
        <row r="2354">
          <cell r="E2354" t="str">
            <v>D26001811</v>
          </cell>
          <cell r="AP2354">
            <v>0</v>
          </cell>
          <cell r="AQ2354">
            <v>0</v>
          </cell>
          <cell r="AV2354">
            <v>0</v>
          </cell>
        </row>
        <row r="2355">
          <cell r="E2355" t="str">
            <v>B26001834</v>
          </cell>
          <cell r="AP2355">
            <v>0</v>
          </cell>
          <cell r="AQ2355">
            <v>0</v>
          </cell>
          <cell r="AV2355">
            <v>860000</v>
          </cell>
        </row>
        <row r="2356">
          <cell r="E2356" t="str">
            <v>D26002059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D26001917</v>
          </cell>
          <cell r="AP2357">
            <v>0</v>
          </cell>
          <cell r="AQ2357">
            <v>0</v>
          </cell>
          <cell r="AV2357">
            <v>18000000</v>
          </cell>
        </row>
        <row r="2358">
          <cell r="E2358" t="str">
            <v>D26000393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D26000431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B26000625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D26000901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D26000916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D26001146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B26001472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B26001555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B26001902</v>
          </cell>
          <cell r="AP2366">
            <v>0</v>
          </cell>
          <cell r="AQ2366">
            <v>0</v>
          </cell>
          <cell r="AV2366">
            <v>0</v>
          </cell>
        </row>
        <row r="2367">
          <cell r="E2367" t="str">
            <v>B26001855</v>
          </cell>
          <cell r="AP2367">
            <v>0</v>
          </cell>
          <cell r="AQ2367">
            <v>0</v>
          </cell>
          <cell r="AV2367">
            <v>0</v>
          </cell>
        </row>
        <row r="2368">
          <cell r="E2368" t="str">
            <v>B26001856</v>
          </cell>
          <cell r="AP2368">
            <v>0</v>
          </cell>
          <cell r="AQ2368">
            <v>0</v>
          </cell>
          <cell r="AV2368">
            <v>0</v>
          </cell>
        </row>
        <row r="2369">
          <cell r="E2369" t="str">
            <v>B26001857</v>
          </cell>
          <cell r="AP2369">
            <v>0</v>
          </cell>
          <cell r="AQ2369">
            <v>0</v>
          </cell>
          <cell r="AV2369">
            <v>0</v>
          </cell>
        </row>
        <row r="2370">
          <cell r="E2370" t="str">
            <v>D26001719</v>
          </cell>
          <cell r="AP2370">
            <v>0</v>
          </cell>
          <cell r="AQ2370">
            <v>0</v>
          </cell>
          <cell r="AV2370">
            <v>6300000</v>
          </cell>
        </row>
        <row r="2371">
          <cell r="E2371" t="str">
            <v>T25000698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T25000700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D25016721</v>
          </cell>
          <cell r="AP2373">
            <v>0</v>
          </cell>
          <cell r="AQ2373">
            <v>0</v>
          </cell>
          <cell r="AV2373">
            <v>4440000</v>
          </cell>
        </row>
        <row r="2374">
          <cell r="E2374" t="str">
            <v>B25014674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B25014675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D25017210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B25015697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D25018775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D25018776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D25019491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B25016962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D26001199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D25015491</v>
          </cell>
          <cell r="AP2383">
            <v>0</v>
          </cell>
          <cell r="AQ2383">
            <v>0</v>
          </cell>
          <cell r="AV2383">
            <v>50000000</v>
          </cell>
        </row>
        <row r="2384">
          <cell r="E2384" t="str">
            <v>D25015492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D25015518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D25015519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D25018010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D25018011</v>
          </cell>
          <cell r="AP2388">
            <v>0</v>
          </cell>
          <cell r="AQ2388">
            <v>0</v>
          </cell>
          <cell r="AV2388">
            <v>0</v>
          </cell>
        </row>
        <row r="2389">
          <cell r="E2389" t="str">
            <v>B26001039</v>
          </cell>
          <cell r="AP2389">
            <v>0</v>
          </cell>
          <cell r="AQ2389">
            <v>0</v>
          </cell>
          <cell r="AV2389">
            <v>0</v>
          </cell>
        </row>
        <row r="2390">
          <cell r="E2390" t="str">
            <v>D26001222</v>
          </cell>
          <cell r="AP2390">
            <v>0</v>
          </cell>
          <cell r="AQ2390">
            <v>0</v>
          </cell>
          <cell r="AV2390">
            <v>0</v>
          </cell>
        </row>
        <row r="2391">
          <cell r="E2391" t="str">
            <v>B25012709</v>
          </cell>
          <cell r="AP2391">
            <v>0</v>
          </cell>
          <cell r="AQ2391">
            <v>0</v>
          </cell>
          <cell r="AV2391">
            <v>32757750</v>
          </cell>
        </row>
        <row r="2392">
          <cell r="E2392" t="str">
            <v>B25012875</v>
          </cell>
          <cell r="AP2392">
            <v>0</v>
          </cell>
          <cell r="AQ2392">
            <v>0</v>
          </cell>
          <cell r="AV2392">
            <v>16887750</v>
          </cell>
        </row>
        <row r="2393">
          <cell r="E2393" t="str">
            <v>B25012876</v>
          </cell>
          <cell r="AP2393">
            <v>0</v>
          </cell>
          <cell r="AQ2393">
            <v>0</v>
          </cell>
          <cell r="AV2393">
            <v>57743200</v>
          </cell>
        </row>
        <row r="2394">
          <cell r="E2394" t="str">
            <v>B25012907</v>
          </cell>
          <cell r="AP2394">
            <v>0</v>
          </cell>
          <cell r="AQ2394">
            <v>0</v>
          </cell>
          <cell r="AV2394">
            <v>30119000</v>
          </cell>
        </row>
        <row r="2395">
          <cell r="E2395" t="str">
            <v>D25016022</v>
          </cell>
          <cell r="AP2395">
            <v>0</v>
          </cell>
          <cell r="AQ2395">
            <v>0</v>
          </cell>
          <cell r="AV2395">
            <v>120625000</v>
          </cell>
        </row>
        <row r="2396">
          <cell r="E2396" t="str">
            <v>D25016347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B25014255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B25014494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D25016931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D25016947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D25016948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B25014783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B25015004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B25015067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D25017412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B25015250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B25015395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D25017843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B25015533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D25017972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D25018032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B25015677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D25018648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D25018929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B25016629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D25019093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D25019171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B25016746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D25019258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B25017047</v>
          </cell>
          <cell r="AP2420">
            <v>0</v>
          </cell>
          <cell r="AQ2420">
            <v>0</v>
          </cell>
          <cell r="AV2420">
            <v>0</v>
          </cell>
        </row>
        <row r="2421">
          <cell r="E2421" t="str">
            <v>B25017107</v>
          </cell>
          <cell r="AP2421">
            <v>0</v>
          </cell>
          <cell r="AQ2421">
            <v>0</v>
          </cell>
          <cell r="AV2421">
            <v>0</v>
          </cell>
        </row>
        <row r="2422">
          <cell r="E2422" t="str">
            <v>B25017109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D26000485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D26000506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D26000575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D26000852</v>
          </cell>
          <cell r="AP2426">
            <v>0</v>
          </cell>
          <cell r="AQ2426">
            <v>0</v>
          </cell>
          <cell r="AV2426">
            <v>0</v>
          </cell>
        </row>
        <row r="2427">
          <cell r="E2427" t="str">
            <v>D26001446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D26001587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D26001625</v>
          </cell>
          <cell r="AP2429">
            <v>0</v>
          </cell>
          <cell r="AQ2429">
            <v>0</v>
          </cell>
          <cell r="AV2429">
            <v>0</v>
          </cell>
        </row>
        <row r="2430">
          <cell r="E2430" t="str">
            <v>D26001850</v>
          </cell>
          <cell r="AP2430">
            <v>0</v>
          </cell>
          <cell r="AQ2430">
            <v>0</v>
          </cell>
          <cell r="AV2430">
            <v>0</v>
          </cell>
        </row>
        <row r="2431">
          <cell r="E2431" t="str">
            <v>T22000046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T22000053</v>
          </cell>
          <cell r="AP2432">
            <v>0</v>
          </cell>
          <cell r="AQ2432">
            <v>0</v>
          </cell>
          <cell r="AV2432">
            <v>0</v>
          </cell>
        </row>
        <row r="2433">
          <cell r="E2433" t="str">
            <v>T22000087</v>
          </cell>
          <cell r="AP2433">
            <v>0</v>
          </cell>
          <cell r="AQ2433">
            <v>0</v>
          </cell>
          <cell r="AV2433">
            <v>0</v>
          </cell>
        </row>
        <row r="2434">
          <cell r="E2434" t="str">
            <v>T22000122</v>
          </cell>
          <cell r="AP2434">
            <v>0</v>
          </cell>
          <cell r="AQ2434">
            <v>0</v>
          </cell>
          <cell r="AV2434">
            <v>0</v>
          </cell>
        </row>
        <row r="2435">
          <cell r="E2435" t="str">
            <v>T22000134</v>
          </cell>
          <cell r="AP2435">
            <v>0</v>
          </cell>
          <cell r="AQ2435">
            <v>0</v>
          </cell>
          <cell r="AV2435">
            <v>0</v>
          </cell>
        </row>
        <row r="2436">
          <cell r="E2436" t="str">
            <v>T22000139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T22000141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T22000167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T22000207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T22000231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T22000254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T22000265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T22000282</v>
          </cell>
          <cell r="AP2443">
            <v>0</v>
          </cell>
          <cell r="AQ2443">
            <v>0</v>
          </cell>
          <cell r="AV2443">
            <v>0</v>
          </cell>
        </row>
        <row r="2444">
          <cell r="E2444" t="str">
            <v>T22000316</v>
          </cell>
          <cell r="AP2444">
            <v>0</v>
          </cell>
          <cell r="AQ2444">
            <v>0</v>
          </cell>
          <cell r="AV2444">
            <v>0</v>
          </cell>
        </row>
        <row r="2445">
          <cell r="E2445" t="str">
            <v>T22000338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T22000378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T22000394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T22000405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T22000425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T22000456</v>
          </cell>
          <cell r="AP2450">
            <v>0</v>
          </cell>
          <cell r="AQ2450">
            <v>0</v>
          </cell>
          <cell r="AV2450">
            <v>0</v>
          </cell>
        </row>
        <row r="2451">
          <cell r="E2451" t="str">
            <v>T22000472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T22000491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T22000520</v>
          </cell>
          <cell r="AP2453">
            <v>0</v>
          </cell>
          <cell r="AQ2453">
            <v>0</v>
          </cell>
          <cell r="AV2453">
            <v>0</v>
          </cell>
        </row>
        <row r="2454">
          <cell r="E2454" t="str">
            <v>T22000560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T22000561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T22000580</v>
          </cell>
          <cell r="AP2456">
            <v>0</v>
          </cell>
          <cell r="AQ2456">
            <v>0</v>
          </cell>
          <cell r="AV2456">
            <v>0</v>
          </cell>
        </row>
        <row r="2457">
          <cell r="E2457" t="str">
            <v>T22000604</v>
          </cell>
          <cell r="AP2457">
            <v>0</v>
          </cell>
          <cell r="AQ2457">
            <v>0</v>
          </cell>
          <cell r="AV2457">
            <v>0</v>
          </cell>
        </row>
        <row r="2458">
          <cell r="E2458" t="str">
            <v>T22000664</v>
          </cell>
          <cell r="AP2458">
            <v>0</v>
          </cell>
          <cell r="AQ2458">
            <v>0</v>
          </cell>
          <cell r="AV2458">
            <v>0</v>
          </cell>
        </row>
        <row r="2459">
          <cell r="E2459" t="str">
            <v>T22000725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T22000772</v>
          </cell>
          <cell r="AP2460">
            <v>0</v>
          </cell>
          <cell r="AQ2460">
            <v>0</v>
          </cell>
          <cell r="AV2460">
            <v>0</v>
          </cell>
        </row>
        <row r="2461">
          <cell r="E2461" t="str">
            <v>T22000799</v>
          </cell>
          <cell r="AP2461">
            <v>0</v>
          </cell>
          <cell r="AQ2461">
            <v>0</v>
          </cell>
          <cell r="AV2461">
            <v>0</v>
          </cell>
        </row>
        <row r="2462">
          <cell r="E2462" t="str">
            <v>T23000003</v>
          </cell>
          <cell r="AP2462">
            <v>0</v>
          </cell>
          <cell r="AQ2462">
            <v>0</v>
          </cell>
          <cell r="AV2462">
            <v>0</v>
          </cell>
        </row>
        <row r="2463">
          <cell r="E2463" t="str">
            <v>T23000012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T23000013</v>
          </cell>
          <cell r="AP2464">
            <v>0</v>
          </cell>
          <cell r="AQ2464">
            <v>0</v>
          </cell>
          <cell r="AV2464">
            <v>0</v>
          </cell>
        </row>
        <row r="2465">
          <cell r="E2465" t="str">
            <v>T23000057</v>
          </cell>
          <cell r="AP2465">
            <v>0</v>
          </cell>
          <cell r="AQ2465">
            <v>0</v>
          </cell>
          <cell r="AV2465">
            <v>0</v>
          </cell>
        </row>
        <row r="2466">
          <cell r="E2466" t="str">
            <v>T23000064</v>
          </cell>
          <cell r="AP2466">
            <v>0</v>
          </cell>
          <cell r="AQ2466">
            <v>0</v>
          </cell>
          <cell r="AV2466">
            <v>0</v>
          </cell>
        </row>
        <row r="2467">
          <cell r="E2467" t="str">
            <v>T23000087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T23000120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D23001207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T23000149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T23000180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T23000184</v>
          </cell>
          <cell r="AP2472">
            <v>0</v>
          </cell>
          <cell r="AQ2472">
            <v>0</v>
          </cell>
          <cell r="AV2472">
            <v>0</v>
          </cell>
        </row>
        <row r="2473">
          <cell r="E2473" t="str">
            <v>T23000187</v>
          </cell>
          <cell r="AP2473">
            <v>0</v>
          </cell>
          <cell r="AQ2473">
            <v>0</v>
          </cell>
          <cell r="AV2473">
            <v>0</v>
          </cell>
        </row>
        <row r="2474">
          <cell r="E2474" t="str">
            <v>T23000252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T23000257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T23000275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T23000285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T23000332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T23000355</v>
          </cell>
          <cell r="AP2479">
            <v>0</v>
          </cell>
          <cell r="AQ2479">
            <v>0</v>
          </cell>
          <cell r="AV2479">
            <v>0</v>
          </cell>
        </row>
        <row r="2480">
          <cell r="E2480" t="str">
            <v>T23000382</v>
          </cell>
          <cell r="AP2480">
            <v>0</v>
          </cell>
          <cell r="AQ2480">
            <v>0</v>
          </cell>
          <cell r="AV2480">
            <v>0</v>
          </cell>
        </row>
        <row r="2481">
          <cell r="E2481" t="str">
            <v>T23000419</v>
          </cell>
          <cell r="AP2481">
            <v>0</v>
          </cell>
          <cell r="AQ2481">
            <v>0</v>
          </cell>
          <cell r="AV2481">
            <v>0</v>
          </cell>
        </row>
        <row r="2482">
          <cell r="E2482" t="str">
            <v>T23000426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T23000485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T23000492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T23000504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T23000507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T23000508</v>
          </cell>
          <cell r="AP2487">
            <v>0</v>
          </cell>
          <cell r="AQ2487">
            <v>0</v>
          </cell>
          <cell r="AV2487">
            <v>0</v>
          </cell>
        </row>
        <row r="2488">
          <cell r="E2488" t="str">
            <v>T23000509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T23000522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T23000524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T23000577</v>
          </cell>
          <cell r="AP2491">
            <v>0</v>
          </cell>
          <cell r="AQ2491">
            <v>0</v>
          </cell>
          <cell r="AV2491">
            <v>0</v>
          </cell>
        </row>
        <row r="2492">
          <cell r="E2492" t="str">
            <v>T23000584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T23000594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T23000630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T23000644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T23000686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T23000695</v>
          </cell>
          <cell r="AP2497">
            <v>0</v>
          </cell>
          <cell r="AQ2497">
            <v>0</v>
          </cell>
          <cell r="AV2497">
            <v>0</v>
          </cell>
        </row>
        <row r="2498">
          <cell r="E2498" t="str">
            <v>T23000741</v>
          </cell>
          <cell r="AP2498">
            <v>0</v>
          </cell>
          <cell r="AQ2498">
            <v>0</v>
          </cell>
          <cell r="AV2498">
            <v>0</v>
          </cell>
        </row>
        <row r="2499">
          <cell r="E2499" t="str">
            <v>T23000742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T23000772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T23000781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T23000782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T23000809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T23000845</v>
          </cell>
          <cell r="AP2504">
            <v>0</v>
          </cell>
          <cell r="AQ2504">
            <v>0</v>
          </cell>
          <cell r="AV2504">
            <v>0</v>
          </cell>
        </row>
        <row r="2505">
          <cell r="E2505" t="str">
            <v>T23000846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T23000860</v>
          </cell>
          <cell r="AP2506">
            <v>0</v>
          </cell>
          <cell r="AQ2506">
            <v>0</v>
          </cell>
          <cell r="AV2506">
            <v>0</v>
          </cell>
        </row>
        <row r="2507">
          <cell r="E2507" t="str">
            <v>T23000881</v>
          </cell>
          <cell r="AP2507">
            <v>0</v>
          </cell>
          <cell r="AQ2507">
            <v>0</v>
          </cell>
          <cell r="AV2507">
            <v>0</v>
          </cell>
        </row>
        <row r="2508">
          <cell r="E2508" t="str">
            <v>T23000884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T23000911</v>
          </cell>
          <cell r="AP2509">
            <v>0</v>
          </cell>
          <cell r="AQ2509">
            <v>0</v>
          </cell>
          <cell r="AV2509">
            <v>0</v>
          </cell>
        </row>
        <row r="2510">
          <cell r="E2510" t="str">
            <v>T23000912</v>
          </cell>
          <cell r="AP2510">
            <v>0</v>
          </cell>
          <cell r="AQ2510">
            <v>0</v>
          </cell>
          <cell r="AV2510">
            <v>0</v>
          </cell>
        </row>
        <row r="2511">
          <cell r="E2511" t="str">
            <v>T23000914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T23000919</v>
          </cell>
          <cell r="AP2512">
            <v>0</v>
          </cell>
          <cell r="AQ2512">
            <v>0</v>
          </cell>
          <cell r="AV2512">
            <v>0</v>
          </cell>
        </row>
        <row r="2513">
          <cell r="E2513" t="str">
            <v>T23000924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T23000935</v>
          </cell>
          <cell r="AP2514">
            <v>0</v>
          </cell>
          <cell r="AQ2514">
            <v>0</v>
          </cell>
          <cell r="AV2514">
            <v>0</v>
          </cell>
        </row>
        <row r="2515">
          <cell r="E2515" t="str">
            <v>T23000936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T23000986</v>
          </cell>
          <cell r="AP2516">
            <v>0</v>
          </cell>
          <cell r="AQ2516">
            <v>0</v>
          </cell>
          <cell r="AV2516">
            <v>0</v>
          </cell>
        </row>
        <row r="2517">
          <cell r="E2517" t="str">
            <v>T23000989</v>
          </cell>
          <cell r="AP2517">
            <v>0</v>
          </cell>
          <cell r="AQ2517">
            <v>0</v>
          </cell>
          <cell r="AV2517">
            <v>0</v>
          </cell>
        </row>
        <row r="2518">
          <cell r="E2518" t="str">
            <v>T23000994</v>
          </cell>
          <cell r="AP2518">
            <v>0</v>
          </cell>
          <cell r="AQ2518">
            <v>0</v>
          </cell>
          <cell r="AV2518">
            <v>0</v>
          </cell>
        </row>
        <row r="2519">
          <cell r="E2519" t="str">
            <v>T23000998</v>
          </cell>
          <cell r="AP2519">
            <v>0</v>
          </cell>
          <cell r="AQ2519">
            <v>0</v>
          </cell>
          <cell r="AV2519">
            <v>0</v>
          </cell>
        </row>
        <row r="2520">
          <cell r="E2520" t="str">
            <v>T23000999</v>
          </cell>
          <cell r="AP2520">
            <v>0</v>
          </cell>
          <cell r="AQ2520">
            <v>0</v>
          </cell>
          <cell r="AV2520">
            <v>0</v>
          </cell>
        </row>
        <row r="2521">
          <cell r="E2521" t="str">
            <v>T23001024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T23001025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T23001026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T23001057</v>
          </cell>
          <cell r="AP2524">
            <v>0</v>
          </cell>
          <cell r="AQ2524">
            <v>0</v>
          </cell>
          <cell r="AV2524">
            <v>0</v>
          </cell>
        </row>
        <row r="2525">
          <cell r="E2525" t="str">
            <v>T23001090</v>
          </cell>
          <cell r="AP2525">
            <v>0</v>
          </cell>
          <cell r="AQ2525">
            <v>0</v>
          </cell>
          <cell r="AV2525">
            <v>0</v>
          </cell>
        </row>
        <row r="2526">
          <cell r="E2526" t="str">
            <v>T23001094</v>
          </cell>
          <cell r="AP2526">
            <v>0</v>
          </cell>
          <cell r="AQ2526">
            <v>0</v>
          </cell>
          <cell r="AV2526">
            <v>0</v>
          </cell>
        </row>
        <row r="2527">
          <cell r="E2527" t="str">
            <v>T23001095</v>
          </cell>
          <cell r="AP2527">
            <v>0</v>
          </cell>
          <cell r="AQ2527">
            <v>0</v>
          </cell>
          <cell r="AV2527">
            <v>0</v>
          </cell>
        </row>
        <row r="2528">
          <cell r="E2528" t="str">
            <v>T23001103</v>
          </cell>
          <cell r="AP2528">
            <v>0</v>
          </cell>
          <cell r="AQ2528">
            <v>0</v>
          </cell>
          <cell r="AV2528">
            <v>0</v>
          </cell>
        </row>
        <row r="2529">
          <cell r="E2529" t="str">
            <v>T24000001</v>
          </cell>
          <cell r="AP2529">
            <v>0</v>
          </cell>
          <cell r="AQ2529">
            <v>0</v>
          </cell>
          <cell r="AV2529">
            <v>0</v>
          </cell>
        </row>
        <row r="2530">
          <cell r="E2530" t="str">
            <v>T24000018</v>
          </cell>
          <cell r="AP2530">
            <v>0</v>
          </cell>
          <cell r="AQ2530">
            <v>0</v>
          </cell>
          <cell r="AV2530">
            <v>0</v>
          </cell>
        </row>
        <row r="2531">
          <cell r="E2531" t="str">
            <v>T24000040</v>
          </cell>
          <cell r="AP2531">
            <v>0</v>
          </cell>
          <cell r="AQ2531">
            <v>0</v>
          </cell>
          <cell r="AV2531">
            <v>0</v>
          </cell>
        </row>
        <row r="2532">
          <cell r="E2532" t="str">
            <v>T24000113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T24000118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T24000126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T24000149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T24000166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T24000175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T24000176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T24000250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T24000251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T24000260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T24000265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T24000279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T24000299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T24000376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T24000384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T24000391</v>
          </cell>
          <cell r="AP2547">
            <v>0</v>
          </cell>
          <cell r="AQ2547">
            <v>0</v>
          </cell>
          <cell r="AV2547">
            <v>0</v>
          </cell>
        </row>
        <row r="2548">
          <cell r="E2548" t="str">
            <v>T24000392</v>
          </cell>
          <cell r="AP2548">
            <v>0</v>
          </cell>
          <cell r="AQ2548">
            <v>0</v>
          </cell>
          <cell r="AV2548">
            <v>0</v>
          </cell>
        </row>
        <row r="2549">
          <cell r="E2549" t="str">
            <v>T24000419</v>
          </cell>
          <cell r="AP2549">
            <v>0</v>
          </cell>
          <cell r="AQ2549">
            <v>0</v>
          </cell>
          <cell r="AV2549">
            <v>0</v>
          </cell>
        </row>
        <row r="2550">
          <cell r="E2550" t="str">
            <v>T24000448</v>
          </cell>
          <cell r="AP2550">
            <v>0</v>
          </cell>
          <cell r="AQ2550">
            <v>0</v>
          </cell>
          <cell r="AV2550">
            <v>0</v>
          </cell>
        </row>
        <row r="2551">
          <cell r="E2551" t="str">
            <v>T24000488</v>
          </cell>
          <cell r="AP2551">
            <v>0</v>
          </cell>
          <cell r="AQ2551">
            <v>0</v>
          </cell>
          <cell r="AV2551">
            <v>0</v>
          </cell>
        </row>
        <row r="2552">
          <cell r="E2552" t="str">
            <v>T24000489</v>
          </cell>
          <cell r="AP2552">
            <v>0</v>
          </cell>
          <cell r="AQ2552">
            <v>0</v>
          </cell>
          <cell r="AV2552">
            <v>0</v>
          </cell>
        </row>
        <row r="2553">
          <cell r="E2553" t="str">
            <v>T24000495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T24000496</v>
          </cell>
          <cell r="AP2554">
            <v>0</v>
          </cell>
          <cell r="AQ2554">
            <v>0</v>
          </cell>
          <cell r="AV2554">
            <v>0</v>
          </cell>
        </row>
        <row r="2555">
          <cell r="E2555" t="str">
            <v>T24000497</v>
          </cell>
          <cell r="AP2555">
            <v>0</v>
          </cell>
          <cell r="AQ2555">
            <v>0</v>
          </cell>
          <cell r="AV2555">
            <v>0</v>
          </cell>
        </row>
        <row r="2556">
          <cell r="E2556" t="str">
            <v>T24000498</v>
          </cell>
          <cell r="AP2556">
            <v>0</v>
          </cell>
          <cell r="AQ2556">
            <v>0</v>
          </cell>
          <cell r="AV2556">
            <v>0</v>
          </cell>
        </row>
        <row r="2557">
          <cell r="E2557" t="str">
            <v>T24000499</v>
          </cell>
          <cell r="AP2557">
            <v>0</v>
          </cell>
          <cell r="AQ2557">
            <v>0</v>
          </cell>
          <cell r="AV2557">
            <v>0</v>
          </cell>
        </row>
        <row r="2558">
          <cell r="E2558" t="str">
            <v>T24000519</v>
          </cell>
          <cell r="AP2558">
            <v>0</v>
          </cell>
          <cell r="AQ2558">
            <v>0</v>
          </cell>
          <cell r="AV2558">
            <v>0</v>
          </cell>
        </row>
        <row r="2559">
          <cell r="E2559" t="str">
            <v>T24000527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T24000598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T24000600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T24000601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T24000602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T24000603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T24000612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T24000631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T24000635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T24000673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T24000717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T24000718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T24000719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T24000720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T24000726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T24000727</v>
          </cell>
          <cell r="AP2574">
            <v>0</v>
          </cell>
          <cell r="AQ2574">
            <v>0</v>
          </cell>
          <cell r="AV2574">
            <v>0</v>
          </cell>
        </row>
        <row r="2575">
          <cell r="E2575" t="str">
            <v>T24000754</v>
          </cell>
          <cell r="AP2575">
            <v>0</v>
          </cell>
          <cell r="AQ2575">
            <v>0</v>
          </cell>
          <cell r="AV2575">
            <v>0</v>
          </cell>
        </row>
        <row r="2576">
          <cell r="E2576" t="str">
            <v>T24000755</v>
          </cell>
          <cell r="AP2576">
            <v>0</v>
          </cell>
          <cell r="AQ2576">
            <v>0</v>
          </cell>
          <cell r="AV2576">
            <v>0</v>
          </cell>
        </row>
        <row r="2577">
          <cell r="E2577" t="str">
            <v>T24000787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T24000936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T24000937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T24000938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T24000939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T24000946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T24000983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T24000984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T24000985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T24001077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T24001078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T24001079</v>
          </cell>
          <cell r="AP2588">
            <v>0</v>
          </cell>
          <cell r="AQ2588">
            <v>0</v>
          </cell>
          <cell r="AV2588">
            <v>0</v>
          </cell>
        </row>
        <row r="2589">
          <cell r="E2589" t="str">
            <v>T24001085</v>
          </cell>
          <cell r="AP2589">
            <v>0</v>
          </cell>
          <cell r="AQ2589">
            <v>0</v>
          </cell>
          <cell r="AV2589">
            <v>0</v>
          </cell>
        </row>
        <row r="2590">
          <cell r="E2590" t="str">
            <v>T24001086</v>
          </cell>
          <cell r="AP2590">
            <v>0</v>
          </cell>
          <cell r="AQ2590">
            <v>0</v>
          </cell>
          <cell r="AV2590">
            <v>0</v>
          </cell>
        </row>
        <row r="2591">
          <cell r="E2591" t="str">
            <v>T24001087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T24001088</v>
          </cell>
          <cell r="AP2592">
            <v>0</v>
          </cell>
          <cell r="AQ2592">
            <v>0</v>
          </cell>
          <cell r="AV2592">
            <v>0</v>
          </cell>
        </row>
        <row r="2593">
          <cell r="E2593" t="str">
            <v>T24001108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T24001119</v>
          </cell>
          <cell r="AP2594">
            <v>0</v>
          </cell>
          <cell r="AQ2594">
            <v>0</v>
          </cell>
          <cell r="AV2594">
            <v>0</v>
          </cell>
        </row>
        <row r="2595">
          <cell r="E2595" t="str">
            <v>T24001120</v>
          </cell>
          <cell r="AP2595">
            <v>0</v>
          </cell>
          <cell r="AQ2595">
            <v>0</v>
          </cell>
          <cell r="AV2595">
            <v>0</v>
          </cell>
        </row>
        <row r="2596">
          <cell r="E2596" t="str">
            <v>T24001121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T24001210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T24001211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T24001215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T24001220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T24001241</v>
          </cell>
          <cell r="AP2601">
            <v>0</v>
          </cell>
          <cell r="AQ2601">
            <v>0</v>
          </cell>
          <cell r="AV2601">
            <v>0</v>
          </cell>
        </row>
        <row r="2602">
          <cell r="E2602" t="str">
            <v>T24001249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T24001250</v>
          </cell>
          <cell r="AP2603">
            <v>0</v>
          </cell>
          <cell r="AQ2603">
            <v>0</v>
          </cell>
          <cell r="AV2603">
            <v>0</v>
          </cell>
        </row>
        <row r="2604">
          <cell r="E2604" t="str">
            <v>T24001265</v>
          </cell>
          <cell r="AP2604">
            <v>0</v>
          </cell>
          <cell r="AQ2604">
            <v>0</v>
          </cell>
          <cell r="AV2604">
            <v>0</v>
          </cell>
        </row>
        <row r="2605">
          <cell r="E2605" t="str">
            <v>T24001359</v>
          </cell>
          <cell r="AP2605">
            <v>0</v>
          </cell>
          <cell r="AQ2605">
            <v>0</v>
          </cell>
          <cell r="AV2605">
            <v>0</v>
          </cell>
        </row>
        <row r="2606">
          <cell r="E2606" t="str">
            <v>T24001360</v>
          </cell>
          <cell r="AP2606">
            <v>0</v>
          </cell>
          <cell r="AQ2606">
            <v>0</v>
          </cell>
          <cell r="AV2606">
            <v>0</v>
          </cell>
        </row>
        <row r="2607">
          <cell r="E2607" t="str">
            <v>T24001361</v>
          </cell>
          <cell r="AP2607">
            <v>0</v>
          </cell>
          <cell r="AQ2607">
            <v>0</v>
          </cell>
          <cell r="AV2607">
            <v>0</v>
          </cell>
        </row>
        <row r="2608">
          <cell r="E2608" t="str">
            <v>T24001369</v>
          </cell>
          <cell r="AP2608">
            <v>0</v>
          </cell>
          <cell r="AQ2608">
            <v>0</v>
          </cell>
          <cell r="AV2608">
            <v>0</v>
          </cell>
        </row>
        <row r="2609">
          <cell r="E2609" t="str">
            <v>T24001372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T24001380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T24001423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T24001424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T24001446</v>
          </cell>
          <cell r="AP2613">
            <v>0</v>
          </cell>
          <cell r="AQ2613">
            <v>0</v>
          </cell>
          <cell r="AV2613">
            <v>0</v>
          </cell>
        </row>
        <row r="2614">
          <cell r="E2614" t="str">
            <v>T24001447</v>
          </cell>
          <cell r="AP2614">
            <v>0</v>
          </cell>
          <cell r="AQ2614">
            <v>0</v>
          </cell>
          <cell r="AV2614">
            <v>0</v>
          </cell>
        </row>
        <row r="2615">
          <cell r="E2615" t="str">
            <v>T24001638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T24001639</v>
          </cell>
          <cell r="AP2616">
            <v>0</v>
          </cell>
          <cell r="AQ2616">
            <v>0</v>
          </cell>
          <cell r="AV2616">
            <v>0</v>
          </cell>
        </row>
        <row r="2617">
          <cell r="E2617" t="str">
            <v>T24001651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T24001652</v>
          </cell>
          <cell r="AP2618">
            <v>0</v>
          </cell>
          <cell r="AQ2618">
            <v>0</v>
          </cell>
          <cell r="AV2618">
            <v>0</v>
          </cell>
        </row>
        <row r="2619">
          <cell r="E2619" t="str">
            <v>T24001653</v>
          </cell>
          <cell r="AP2619">
            <v>0</v>
          </cell>
          <cell r="AQ2619">
            <v>0</v>
          </cell>
          <cell r="AV2619">
            <v>0</v>
          </cell>
        </row>
        <row r="2620">
          <cell r="E2620" t="str">
            <v>T24001654</v>
          </cell>
          <cell r="AP2620">
            <v>0</v>
          </cell>
          <cell r="AQ2620">
            <v>0</v>
          </cell>
          <cell r="AV2620">
            <v>0</v>
          </cell>
        </row>
        <row r="2621">
          <cell r="E2621" t="str">
            <v>T24001655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T24001697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T24001717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T24001721</v>
          </cell>
          <cell r="AP2624">
            <v>0</v>
          </cell>
          <cell r="AQ2624">
            <v>0</v>
          </cell>
          <cell r="AV2624">
            <v>0</v>
          </cell>
        </row>
        <row r="2625">
          <cell r="E2625" t="str">
            <v>T24001842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T25000023</v>
          </cell>
          <cell r="AP2626">
            <v>0</v>
          </cell>
          <cell r="AQ2626">
            <v>0</v>
          </cell>
          <cell r="AV2626">
            <v>0</v>
          </cell>
        </row>
        <row r="2627">
          <cell r="E2627" t="str">
            <v>T25000025</v>
          </cell>
          <cell r="AP2627">
            <v>0</v>
          </cell>
          <cell r="AQ2627">
            <v>0</v>
          </cell>
          <cell r="AV2627">
            <v>0</v>
          </cell>
        </row>
        <row r="2628">
          <cell r="E2628" t="str">
            <v>T25000026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T25000027</v>
          </cell>
          <cell r="AP2629">
            <v>0</v>
          </cell>
          <cell r="AQ2629">
            <v>0</v>
          </cell>
          <cell r="AV2629">
            <v>0</v>
          </cell>
        </row>
        <row r="2630">
          <cell r="E2630" t="str">
            <v>T25000028</v>
          </cell>
          <cell r="AP2630">
            <v>0</v>
          </cell>
          <cell r="AQ2630">
            <v>0</v>
          </cell>
          <cell r="AV2630">
            <v>0</v>
          </cell>
        </row>
        <row r="2631">
          <cell r="E2631" t="str">
            <v>T25000029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T25000035</v>
          </cell>
          <cell r="AP2632">
            <v>0</v>
          </cell>
          <cell r="AQ2632">
            <v>0</v>
          </cell>
          <cell r="AV2632">
            <v>0</v>
          </cell>
        </row>
        <row r="2633">
          <cell r="E2633" t="str">
            <v>T25000036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T25000091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T25000142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T25000157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T25000158</v>
          </cell>
          <cell r="AP2637">
            <v>0</v>
          </cell>
          <cell r="AQ2637">
            <v>0</v>
          </cell>
          <cell r="AV2637">
            <v>0</v>
          </cell>
        </row>
        <row r="2638">
          <cell r="E2638" t="str">
            <v>T25000161</v>
          </cell>
          <cell r="AP2638">
            <v>0</v>
          </cell>
          <cell r="AQ2638">
            <v>0</v>
          </cell>
          <cell r="AV2638">
            <v>0</v>
          </cell>
        </row>
        <row r="2639">
          <cell r="E2639" t="str">
            <v>T25000171</v>
          </cell>
          <cell r="AP2639">
            <v>0</v>
          </cell>
          <cell r="AQ2639">
            <v>0</v>
          </cell>
          <cell r="AV2639">
            <v>0</v>
          </cell>
        </row>
        <row r="2640">
          <cell r="E2640" t="str">
            <v>T25000172</v>
          </cell>
          <cell r="AP2640">
            <v>0</v>
          </cell>
          <cell r="AQ2640">
            <v>0</v>
          </cell>
          <cell r="AV2640">
            <v>0</v>
          </cell>
        </row>
        <row r="2641">
          <cell r="E2641" t="str">
            <v>T25000178</v>
          </cell>
          <cell r="AP2641">
            <v>0</v>
          </cell>
          <cell r="AQ2641">
            <v>0</v>
          </cell>
          <cell r="AV2641">
            <v>0</v>
          </cell>
        </row>
        <row r="2642">
          <cell r="E2642" t="str">
            <v>T25000328</v>
          </cell>
          <cell r="AP2642">
            <v>0</v>
          </cell>
          <cell r="AQ2642">
            <v>0</v>
          </cell>
          <cell r="AV2642">
            <v>0</v>
          </cell>
        </row>
        <row r="2643">
          <cell r="E2643" t="str">
            <v>T25000329</v>
          </cell>
          <cell r="AP2643">
            <v>0</v>
          </cell>
          <cell r="AQ2643">
            <v>0</v>
          </cell>
          <cell r="AV2643">
            <v>0</v>
          </cell>
        </row>
        <row r="2644">
          <cell r="E2644" t="str">
            <v>T25000357</v>
          </cell>
          <cell r="AP2644">
            <v>0</v>
          </cell>
          <cell r="AQ2644">
            <v>0</v>
          </cell>
          <cell r="AV2644">
            <v>0</v>
          </cell>
        </row>
        <row r="2645">
          <cell r="E2645" t="str">
            <v>T25000363</v>
          </cell>
          <cell r="AP2645">
            <v>0</v>
          </cell>
          <cell r="AQ2645">
            <v>0</v>
          </cell>
          <cell r="AV2645">
            <v>0</v>
          </cell>
        </row>
        <row r="2646">
          <cell r="E2646" t="str">
            <v>T25000364</v>
          </cell>
          <cell r="AP2646">
            <v>0</v>
          </cell>
          <cell r="AQ2646">
            <v>0</v>
          </cell>
          <cell r="AV2646">
            <v>0</v>
          </cell>
        </row>
        <row r="2647">
          <cell r="E2647" t="str">
            <v>T25000365</v>
          </cell>
          <cell r="AP2647">
            <v>0</v>
          </cell>
          <cell r="AQ2647">
            <v>0</v>
          </cell>
          <cell r="AV2647">
            <v>0</v>
          </cell>
        </row>
        <row r="2648">
          <cell r="E2648" t="str">
            <v>T25000366</v>
          </cell>
          <cell r="AP2648">
            <v>0</v>
          </cell>
          <cell r="AQ2648">
            <v>0</v>
          </cell>
          <cell r="AV2648">
            <v>0</v>
          </cell>
        </row>
        <row r="2649">
          <cell r="E2649" t="str">
            <v>T25000367</v>
          </cell>
          <cell r="AP2649">
            <v>0</v>
          </cell>
          <cell r="AQ2649">
            <v>0</v>
          </cell>
          <cell r="AV2649">
            <v>0</v>
          </cell>
        </row>
        <row r="2650">
          <cell r="E2650" t="str">
            <v>T25000368</v>
          </cell>
          <cell r="AP2650">
            <v>0</v>
          </cell>
          <cell r="AQ2650">
            <v>0</v>
          </cell>
          <cell r="AV2650">
            <v>0</v>
          </cell>
        </row>
        <row r="2651">
          <cell r="E2651" t="str">
            <v>T25000372</v>
          </cell>
          <cell r="AP2651">
            <v>0</v>
          </cell>
          <cell r="AQ2651">
            <v>0</v>
          </cell>
          <cell r="AV2651">
            <v>0</v>
          </cell>
        </row>
        <row r="2652">
          <cell r="E2652" t="str">
            <v>T25000432</v>
          </cell>
          <cell r="AP2652">
            <v>0</v>
          </cell>
          <cell r="AQ2652">
            <v>0</v>
          </cell>
          <cell r="AV2652">
            <v>0</v>
          </cell>
        </row>
        <row r="2653">
          <cell r="E2653" t="str">
            <v>T25000523</v>
          </cell>
          <cell r="AP2653">
            <v>0</v>
          </cell>
          <cell r="AQ2653">
            <v>0</v>
          </cell>
          <cell r="AV2653">
            <v>0</v>
          </cell>
        </row>
        <row r="2654">
          <cell r="E2654" t="str">
            <v>T25000546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T25000547</v>
          </cell>
          <cell r="AP2655">
            <v>0</v>
          </cell>
          <cell r="AQ2655">
            <v>0</v>
          </cell>
          <cell r="AV2655">
            <v>0</v>
          </cell>
        </row>
        <row r="2656">
          <cell r="E2656" t="str">
            <v>T25000548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T25000558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T25000559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T25000563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T25000564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T25000578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T25000626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T25000685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T25000686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T25000702</v>
          </cell>
          <cell r="AP2665">
            <v>0</v>
          </cell>
          <cell r="AQ2665">
            <v>0</v>
          </cell>
          <cell r="AV2665">
            <v>0</v>
          </cell>
        </row>
        <row r="2666">
          <cell r="E2666" t="str">
            <v>T25000706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T25000707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T25000734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T25000735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T25000740</v>
          </cell>
          <cell r="AP2670">
            <v>0</v>
          </cell>
          <cell r="AQ2670">
            <v>0</v>
          </cell>
          <cell r="AV2670">
            <v>0</v>
          </cell>
        </row>
        <row r="2671">
          <cell r="E2671" t="str">
            <v>T25000764</v>
          </cell>
          <cell r="AP2671">
            <v>0</v>
          </cell>
          <cell r="AQ2671">
            <v>0</v>
          </cell>
          <cell r="AV2671">
            <v>0</v>
          </cell>
        </row>
        <row r="2672">
          <cell r="E2672" t="str">
            <v>T25000770</v>
          </cell>
          <cell r="AP2672">
            <v>0</v>
          </cell>
          <cell r="AQ2672">
            <v>0</v>
          </cell>
          <cell r="AV2672">
            <v>0</v>
          </cell>
        </row>
        <row r="2673">
          <cell r="E2673" t="str">
            <v>R25000015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T25000878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T25000886</v>
          </cell>
          <cell r="AP2675">
            <v>0</v>
          </cell>
          <cell r="AQ2675">
            <v>0</v>
          </cell>
          <cell r="AV2675">
            <v>0</v>
          </cell>
        </row>
        <row r="2676">
          <cell r="E2676" t="str">
            <v>T25000887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T25000888</v>
          </cell>
          <cell r="AP2677">
            <v>0</v>
          </cell>
          <cell r="AQ2677">
            <v>0</v>
          </cell>
          <cell r="AV2677">
            <v>0</v>
          </cell>
        </row>
        <row r="2678">
          <cell r="E2678" t="str">
            <v>T25000895</v>
          </cell>
          <cell r="AP2678">
            <v>0</v>
          </cell>
          <cell r="AQ2678">
            <v>0</v>
          </cell>
          <cell r="AV2678">
            <v>0</v>
          </cell>
        </row>
        <row r="2679">
          <cell r="E2679" t="str">
            <v>T25000902</v>
          </cell>
          <cell r="AP2679">
            <v>0</v>
          </cell>
          <cell r="AQ2679">
            <v>0</v>
          </cell>
          <cell r="AV2679">
            <v>0</v>
          </cell>
        </row>
        <row r="2680">
          <cell r="E2680" t="str">
            <v>T25000903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T25000912</v>
          </cell>
          <cell r="AP2681">
            <v>0</v>
          </cell>
          <cell r="AQ2681">
            <v>0</v>
          </cell>
          <cell r="AV2681">
            <v>0</v>
          </cell>
        </row>
        <row r="2682">
          <cell r="E2682" t="str">
            <v>T25000914</v>
          </cell>
          <cell r="AP2682">
            <v>0</v>
          </cell>
          <cell r="AQ2682">
            <v>0</v>
          </cell>
          <cell r="AV2682">
            <v>0</v>
          </cell>
        </row>
        <row r="2683">
          <cell r="E2683" t="str">
            <v>T25000915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C25000475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T25000936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T25000956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T25000957</v>
          </cell>
          <cell r="AP2687">
            <v>0</v>
          </cell>
          <cell r="AQ2687">
            <v>0</v>
          </cell>
          <cell r="AV2687">
            <v>0</v>
          </cell>
        </row>
        <row r="2688">
          <cell r="E2688" t="str">
            <v>T25000958</v>
          </cell>
          <cell r="AP2688">
            <v>0</v>
          </cell>
          <cell r="AQ2688">
            <v>0</v>
          </cell>
          <cell r="AV2688">
            <v>0</v>
          </cell>
        </row>
        <row r="2689">
          <cell r="E2689" t="str">
            <v>D25009205</v>
          </cell>
          <cell r="AP2689">
            <v>0</v>
          </cell>
          <cell r="AQ2689">
            <v>0</v>
          </cell>
          <cell r="AV2689">
            <v>0</v>
          </cell>
        </row>
        <row r="2690">
          <cell r="E2690" t="str">
            <v>T25000988</v>
          </cell>
          <cell r="AP2690">
            <v>0</v>
          </cell>
          <cell r="AQ2690">
            <v>0</v>
          </cell>
          <cell r="AV2690">
            <v>0</v>
          </cell>
        </row>
        <row r="2691">
          <cell r="E2691" t="str">
            <v>T25000997</v>
          </cell>
          <cell r="AP2691">
            <v>0</v>
          </cell>
          <cell r="AQ2691">
            <v>0</v>
          </cell>
          <cell r="AV2691">
            <v>0</v>
          </cell>
        </row>
        <row r="2692">
          <cell r="E2692" t="str">
            <v>T25000999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T25001020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T25001022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T25001023</v>
          </cell>
          <cell r="AP2695">
            <v>0</v>
          </cell>
          <cell r="AQ2695">
            <v>0</v>
          </cell>
          <cell r="AV2695">
            <v>0</v>
          </cell>
        </row>
        <row r="2696">
          <cell r="E2696" t="str">
            <v>T25001024</v>
          </cell>
          <cell r="AP2696">
            <v>0</v>
          </cell>
          <cell r="AQ2696">
            <v>0</v>
          </cell>
          <cell r="AV2696">
            <v>0</v>
          </cell>
        </row>
        <row r="2697">
          <cell r="E2697" t="str">
            <v>T25001025</v>
          </cell>
          <cell r="AP2697">
            <v>0</v>
          </cell>
          <cell r="AQ2697">
            <v>0</v>
          </cell>
          <cell r="AV2697">
            <v>0</v>
          </cell>
        </row>
        <row r="2698">
          <cell r="E2698" t="str">
            <v>T25001033</v>
          </cell>
          <cell r="AP2698">
            <v>0</v>
          </cell>
          <cell r="AQ2698">
            <v>0</v>
          </cell>
          <cell r="AV2698">
            <v>0</v>
          </cell>
        </row>
        <row r="2699">
          <cell r="E2699" t="str">
            <v>T25001062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T25001078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T25001110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T25001162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T25001165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T25001173</v>
          </cell>
          <cell r="AP2704">
            <v>0</v>
          </cell>
          <cell r="AQ2704">
            <v>0</v>
          </cell>
          <cell r="AV2704">
            <v>0</v>
          </cell>
        </row>
        <row r="2705">
          <cell r="E2705" t="str">
            <v>T25001189</v>
          </cell>
          <cell r="AP2705">
            <v>0</v>
          </cell>
          <cell r="AQ2705">
            <v>0</v>
          </cell>
          <cell r="AV2705">
            <v>0</v>
          </cell>
        </row>
        <row r="2706">
          <cell r="E2706" t="str">
            <v>T25001203</v>
          </cell>
          <cell r="AP2706">
            <v>0</v>
          </cell>
          <cell r="AQ2706">
            <v>0</v>
          </cell>
          <cell r="AV2706">
            <v>0</v>
          </cell>
        </row>
        <row r="2707">
          <cell r="E2707" t="str">
            <v>T25001207</v>
          </cell>
          <cell r="AP2707">
            <v>0</v>
          </cell>
          <cell r="AQ2707">
            <v>0</v>
          </cell>
          <cell r="AV2707">
            <v>0</v>
          </cell>
        </row>
        <row r="2708">
          <cell r="E2708" t="str">
            <v>T25001222</v>
          </cell>
          <cell r="AP2708">
            <v>0</v>
          </cell>
          <cell r="AQ2708">
            <v>0</v>
          </cell>
          <cell r="AV2708">
            <v>0</v>
          </cell>
        </row>
        <row r="2709">
          <cell r="E2709" t="str">
            <v>T25001269</v>
          </cell>
          <cell r="AP2709">
            <v>0</v>
          </cell>
          <cell r="AQ2709">
            <v>0</v>
          </cell>
          <cell r="AV2709">
            <v>0</v>
          </cell>
        </row>
        <row r="2710">
          <cell r="E2710" t="str">
            <v>T25001294</v>
          </cell>
          <cell r="AP2710">
            <v>0</v>
          </cell>
          <cell r="AQ2710">
            <v>0</v>
          </cell>
          <cell r="AV2710">
            <v>0</v>
          </cell>
        </row>
        <row r="2711">
          <cell r="E2711" t="str">
            <v>T25001317</v>
          </cell>
          <cell r="AP2711">
            <v>0</v>
          </cell>
          <cell r="AQ2711">
            <v>0</v>
          </cell>
          <cell r="AV2711">
            <v>0</v>
          </cell>
        </row>
        <row r="2712">
          <cell r="E2712" t="str">
            <v>T25001323</v>
          </cell>
          <cell r="AP2712">
            <v>0</v>
          </cell>
          <cell r="AQ2712">
            <v>0</v>
          </cell>
          <cell r="AV2712">
            <v>0</v>
          </cell>
        </row>
        <row r="2713">
          <cell r="E2713" t="str">
            <v>T25001329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T25001330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T25001336</v>
          </cell>
          <cell r="AP2715">
            <v>0</v>
          </cell>
          <cell r="AQ2715">
            <v>0</v>
          </cell>
          <cell r="AV2715">
            <v>0</v>
          </cell>
        </row>
        <row r="2716">
          <cell r="E2716" t="str">
            <v>T25001343</v>
          </cell>
          <cell r="AP2716">
            <v>0</v>
          </cell>
          <cell r="AQ2716">
            <v>0</v>
          </cell>
          <cell r="AV2716">
            <v>0</v>
          </cell>
        </row>
        <row r="2717">
          <cell r="E2717" t="str">
            <v>T25001395</v>
          </cell>
          <cell r="AP2717">
            <v>0</v>
          </cell>
          <cell r="AQ2717">
            <v>0</v>
          </cell>
          <cell r="AV2717">
            <v>0</v>
          </cell>
        </row>
        <row r="2718">
          <cell r="E2718" t="str">
            <v>T25001408</v>
          </cell>
          <cell r="AP2718">
            <v>0</v>
          </cell>
          <cell r="AQ2718">
            <v>0</v>
          </cell>
          <cell r="AV2718">
            <v>0</v>
          </cell>
        </row>
        <row r="2719">
          <cell r="E2719" t="str">
            <v>T25001452</v>
          </cell>
          <cell r="AP2719">
            <v>0</v>
          </cell>
          <cell r="AQ2719">
            <v>0</v>
          </cell>
          <cell r="AV2719">
            <v>0</v>
          </cell>
        </row>
        <row r="2720">
          <cell r="E2720" t="str">
            <v>T25001456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T25001457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T25001458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T25001459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T25001460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T25001463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T25001464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T25001485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T25001497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T25001546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T25001592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T25001593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T25001604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T25001608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T25001627</v>
          </cell>
          <cell r="AP2734">
            <v>0</v>
          </cell>
          <cell r="AQ2734">
            <v>0</v>
          </cell>
          <cell r="AV2734">
            <v>0</v>
          </cell>
        </row>
        <row r="2735">
          <cell r="E2735" t="str">
            <v>T25001628</v>
          </cell>
          <cell r="AP2735">
            <v>0</v>
          </cell>
          <cell r="AQ2735">
            <v>0</v>
          </cell>
          <cell r="AV2735">
            <v>0</v>
          </cell>
        </row>
        <row r="2736">
          <cell r="E2736" t="str">
            <v>T25001629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T25001630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T25001683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T25001712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T25001729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T25001741</v>
          </cell>
          <cell r="AP2741">
            <v>0</v>
          </cell>
          <cell r="AQ2741">
            <v>0</v>
          </cell>
          <cell r="AV2741">
            <v>0</v>
          </cell>
        </row>
        <row r="2742">
          <cell r="E2742" t="str">
            <v>T25001742</v>
          </cell>
          <cell r="AP2742">
            <v>0</v>
          </cell>
          <cell r="AQ2742">
            <v>0</v>
          </cell>
          <cell r="AV2742">
            <v>0</v>
          </cell>
        </row>
        <row r="2743">
          <cell r="E2743" t="str">
            <v>T25001746</v>
          </cell>
          <cell r="AP2743">
            <v>0</v>
          </cell>
          <cell r="AQ2743">
            <v>0</v>
          </cell>
          <cell r="AV2743">
            <v>0</v>
          </cell>
        </row>
        <row r="2744">
          <cell r="E2744" t="str">
            <v>T25001750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T25001751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T25001752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T25001756</v>
          </cell>
          <cell r="AP2747">
            <v>0</v>
          </cell>
          <cell r="AQ2747">
            <v>0</v>
          </cell>
          <cell r="AV2747">
            <v>0</v>
          </cell>
        </row>
        <row r="2748">
          <cell r="E2748" t="str">
            <v>T25001757</v>
          </cell>
          <cell r="AP2748">
            <v>0</v>
          </cell>
          <cell r="AQ2748">
            <v>0</v>
          </cell>
          <cell r="AV2748">
            <v>0</v>
          </cell>
        </row>
        <row r="2749">
          <cell r="E2749" t="str">
            <v>T25001764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T25001765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T25001766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T25001767</v>
          </cell>
          <cell r="AP2752">
            <v>0</v>
          </cell>
          <cell r="AQ2752">
            <v>0</v>
          </cell>
          <cell r="AV2752">
            <v>0</v>
          </cell>
        </row>
        <row r="2753">
          <cell r="E2753" t="str">
            <v>T25001768</v>
          </cell>
          <cell r="AP2753">
            <v>0</v>
          </cell>
          <cell r="AQ2753">
            <v>0</v>
          </cell>
          <cell r="AV2753">
            <v>0</v>
          </cell>
        </row>
        <row r="2754">
          <cell r="E2754" t="str">
            <v>T25001769</v>
          </cell>
          <cell r="AP2754">
            <v>0</v>
          </cell>
          <cell r="AQ2754">
            <v>0</v>
          </cell>
          <cell r="AV2754">
            <v>0</v>
          </cell>
        </row>
        <row r="2755">
          <cell r="E2755" t="str">
            <v>T25001807</v>
          </cell>
          <cell r="AP2755">
            <v>0</v>
          </cell>
          <cell r="AQ2755">
            <v>0</v>
          </cell>
          <cell r="AV2755">
            <v>0</v>
          </cell>
        </row>
        <row r="2756">
          <cell r="E2756" t="str">
            <v>T25001832</v>
          </cell>
          <cell r="AP2756">
            <v>0</v>
          </cell>
          <cell r="AQ2756">
            <v>0</v>
          </cell>
          <cell r="AV2756">
            <v>0</v>
          </cell>
        </row>
        <row r="2757">
          <cell r="E2757" t="str">
            <v>T25001896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T26000004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T26000005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T26000007</v>
          </cell>
          <cell r="AP2760">
            <v>0</v>
          </cell>
          <cell r="AQ2760">
            <v>0</v>
          </cell>
          <cell r="AV2760">
            <v>0</v>
          </cell>
        </row>
        <row r="2761">
          <cell r="E2761" t="str">
            <v>T26000011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T26000012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T26000015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T26000020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T26000048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T26000069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T26000080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T26000084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C26000100</v>
          </cell>
          <cell r="AP2769">
            <v>0</v>
          </cell>
          <cell r="AQ2769">
            <v>0</v>
          </cell>
          <cell r="AV2769">
            <v>189500</v>
          </cell>
        </row>
        <row r="2770">
          <cell r="E2770" t="str">
            <v>T26000112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T26000113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T26000119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Z26000323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T26000130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T26000131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Z26000332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T26000137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T26000138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B26001858</v>
          </cell>
          <cell r="AP2779">
            <v>0</v>
          </cell>
          <cell r="AQ2779">
            <v>0</v>
          </cell>
          <cell r="AV2779">
            <v>2654955</v>
          </cell>
        </row>
        <row r="2780">
          <cell r="E2780" t="str">
            <v>T26000141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C26000114</v>
          </cell>
          <cell r="AP2781">
            <v>0</v>
          </cell>
          <cell r="AQ2781">
            <v>0</v>
          </cell>
          <cell r="AV2781">
            <v>690000</v>
          </cell>
        </row>
        <row r="2782">
          <cell r="E2782" t="str">
            <v>D25016874</v>
          </cell>
          <cell r="AP2782">
            <v>0</v>
          </cell>
          <cell r="AQ2782">
            <v>0</v>
          </cell>
          <cell r="AV2782">
            <v>2060000</v>
          </cell>
        </row>
        <row r="2783">
          <cell r="E2783" t="str">
            <v>D25016915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B25016903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D25019699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T26000001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M26000024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M26000026</v>
          </cell>
          <cell r="AP2788">
            <v>0</v>
          </cell>
          <cell r="AQ2788">
            <v>0</v>
          </cell>
          <cell r="AV2788">
            <v>0</v>
          </cell>
        </row>
        <row r="2789">
          <cell r="E2789" t="str">
            <v>M26000027</v>
          </cell>
          <cell r="AP2789">
            <v>0</v>
          </cell>
          <cell r="AQ2789">
            <v>0</v>
          </cell>
          <cell r="AV2789">
            <v>51502.51</v>
          </cell>
        </row>
        <row r="2790">
          <cell r="E2790" t="str">
            <v>M26000028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M26000029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M26000030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N26000018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B26000953</v>
          </cell>
          <cell r="AP2794">
            <v>0</v>
          </cell>
          <cell r="AQ2794">
            <v>0</v>
          </cell>
          <cell r="AV2794">
            <v>0</v>
          </cell>
        </row>
        <row r="2795">
          <cell r="E2795" t="str">
            <v>Z26000115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Z26000316</v>
          </cell>
          <cell r="AP2796">
            <v>0</v>
          </cell>
          <cell r="AQ2796">
            <v>0</v>
          </cell>
          <cell r="AV2796">
            <v>2940000</v>
          </cell>
        </row>
        <row r="2797">
          <cell r="E2797" t="str">
            <v>Z26000358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D26001975</v>
          </cell>
          <cell r="AP2798">
            <v>0</v>
          </cell>
          <cell r="AQ2798">
            <v>0</v>
          </cell>
          <cell r="AV2798">
            <v>3110000</v>
          </cell>
        </row>
        <row r="2799">
          <cell r="E2799" t="str">
            <v>B25016592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B25016593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B25016626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B25016686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D25019320</v>
          </cell>
          <cell r="AP2803">
            <v>0</v>
          </cell>
          <cell r="AQ2803">
            <v>0</v>
          </cell>
          <cell r="AV2803">
            <v>0</v>
          </cell>
        </row>
        <row r="2804">
          <cell r="E2804" t="str">
            <v>B25016987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B25016996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B25016997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B26000162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D26000376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D26000585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D26000586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D26000864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D26000929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D26001042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B26001102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D26001825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D26001826</v>
          </cell>
          <cell r="AP2816">
            <v>0</v>
          </cell>
          <cell r="AQ2816">
            <v>0</v>
          </cell>
          <cell r="AV2816">
            <v>0</v>
          </cell>
        </row>
        <row r="2817">
          <cell r="E2817" t="str">
            <v>B26001830</v>
          </cell>
          <cell r="AP2817">
            <v>0</v>
          </cell>
          <cell r="AQ2817">
            <v>0</v>
          </cell>
          <cell r="AV2817">
            <v>0</v>
          </cell>
        </row>
        <row r="2818">
          <cell r="E2818" t="str">
            <v>T25001845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B26000289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B26001305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Z25003207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Z26000041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Z26000045</v>
          </cell>
          <cell r="AP2823">
            <v>0</v>
          </cell>
          <cell r="AQ2823">
            <v>0</v>
          </cell>
          <cell r="AV2823">
            <v>9000000</v>
          </cell>
        </row>
        <row r="2824">
          <cell r="E2824" t="str">
            <v>Z26000288</v>
          </cell>
          <cell r="AP2824">
            <v>0</v>
          </cell>
          <cell r="AQ2824">
            <v>0</v>
          </cell>
          <cell r="AV2824">
            <v>39330000</v>
          </cell>
        </row>
        <row r="2825">
          <cell r="E2825" t="str">
            <v>Z26000292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T26000125</v>
          </cell>
          <cell r="AP2826">
            <v>0</v>
          </cell>
          <cell r="AQ2826">
            <v>0</v>
          </cell>
          <cell r="AV2826">
            <v>0</v>
          </cell>
        </row>
        <row r="2827">
          <cell r="E2827" t="str">
            <v>B26001144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B26001241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B26001406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B26001415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D26001810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B25016070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D25018774</v>
          </cell>
          <cell r="AP2833">
            <v>0</v>
          </cell>
          <cell r="AQ2833">
            <v>0</v>
          </cell>
          <cell r="AV2833">
            <v>0</v>
          </cell>
        </row>
        <row r="2834">
          <cell r="E2834" t="str">
            <v>T25001898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D25016578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B26000464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B26001015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B26001016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T25001826</v>
          </cell>
          <cell r="AP2839">
            <v>0</v>
          </cell>
          <cell r="AQ2839">
            <v>0</v>
          </cell>
          <cell r="AV2839">
            <v>6562500</v>
          </cell>
        </row>
        <row r="2840">
          <cell r="E2840" t="str">
            <v>D26000017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B26001154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B26001167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B26001222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B26001223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B26001686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D26001901</v>
          </cell>
          <cell r="AP2846">
            <v>0</v>
          </cell>
          <cell r="AQ2846">
            <v>0</v>
          </cell>
          <cell r="AV2846">
            <v>52000000</v>
          </cell>
        </row>
        <row r="2847">
          <cell r="E2847" t="str">
            <v>B26000048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D25018564</v>
          </cell>
          <cell r="AP2848">
            <v>0</v>
          </cell>
          <cell r="AQ2848">
            <v>0</v>
          </cell>
          <cell r="AV2848">
            <v>43275000</v>
          </cell>
        </row>
        <row r="2849">
          <cell r="E2849" t="str">
            <v>B25016409</v>
          </cell>
          <cell r="AP2849">
            <v>0</v>
          </cell>
          <cell r="AQ2849">
            <v>0</v>
          </cell>
          <cell r="AV2849">
            <v>156187500</v>
          </cell>
        </row>
        <row r="2850">
          <cell r="E2850" t="str">
            <v>B25016414</v>
          </cell>
          <cell r="AP2850">
            <v>0</v>
          </cell>
          <cell r="AQ2850">
            <v>0</v>
          </cell>
          <cell r="AV2850">
            <v>18600000</v>
          </cell>
        </row>
        <row r="2851">
          <cell r="E2851" t="str">
            <v>B25016421</v>
          </cell>
          <cell r="AP2851">
            <v>0</v>
          </cell>
          <cell r="AQ2851">
            <v>0</v>
          </cell>
          <cell r="AV2851">
            <v>0</v>
          </cell>
        </row>
        <row r="2852">
          <cell r="E2852" t="str">
            <v>B25016438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D26000472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D26000473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T26000028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B26000832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D26002037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D26002038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B25016762</v>
          </cell>
          <cell r="AP2859">
            <v>0</v>
          </cell>
          <cell r="AQ2859">
            <v>0</v>
          </cell>
          <cell r="AV2859">
            <v>113000</v>
          </cell>
        </row>
        <row r="2860">
          <cell r="E2860" t="str">
            <v>B26000183</v>
          </cell>
          <cell r="AP2860">
            <v>0</v>
          </cell>
          <cell r="AQ2860">
            <v>0</v>
          </cell>
          <cell r="AV2860">
            <v>72225000</v>
          </cell>
        </row>
        <row r="2861">
          <cell r="E2861" t="str">
            <v>D26000634</v>
          </cell>
          <cell r="AP2861">
            <v>0</v>
          </cell>
          <cell r="AQ2861">
            <v>0</v>
          </cell>
          <cell r="AV2861">
            <v>27662000</v>
          </cell>
        </row>
        <row r="2862">
          <cell r="E2862" t="str">
            <v>D26000797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B26001194</v>
          </cell>
          <cell r="AP2863">
            <v>0</v>
          </cell>
          <cell r="AQ2863">
            <v>0</v>
          </cell>
          <cell r="AV2863">
            <v>0</v>
          </cell>
        </row>
        <row r="2864">
          <cell r="E2864" t="str">
            <v>D26001311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D26000188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B26000211</v>
          </cell>
          <cell r="AP2866">
            <v>0</v>
          </cell>
          <cell r="AQ2866">
            <v>0</v>
          </cell>
          <cell r="AV2866">
            <v>0</v>
          </cell>
        </row>
        <row r="2867">
          <cell r="E2867" t="str">
            <v>B25015599</v>
          </cell>
          <cell r="AP2867">
            <v>0</v>
          </cell>
          <cell r="AQ2867">
            <v>0</v>
          </cell>
          <cell r="AV2867">
            <v>0</v>
          </cell>
        </row>
        <row r="2868">
          <cell r="E2868" t="str">
            <v>D25018078</v>
          </cell>
          <cell r="AP2868">
            <v>0</v>
          </cell>
          <cell r="AQ2868">
            <v>0</v>
          </cell>
          <cell r="AV2868">
            <v>5575000</v>
          </cell>
        </row>
        <row r="2869">
          <cell r="E2869" t="str">
            <v>D25019361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B26000354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D26000448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B26000835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D26000920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B26000897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D26000963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B26001369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D26001450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D26001453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D26001482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D26001492</v>
          </cell>
          <cell r="AP2880">
            <v>0</v>
          </cell>
          <cell r="AQ2880">
            <v>0</v>
          </cell>
          <cell r="AV2880">
            <v>0</v>
          </cell>
        </row>
        <row r="2881">
          <cell r="E2881" t="str">
            <v>B26001296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D26001432</v>
          </cell>
          <cell r="AP2882">
            <v>0</v>
          </cell>
          <cell r="AQ2882">
            <v>0</v>
          </cell>
          <cell r="AV2882">
            <v>0</v>
          </cell>
        </row>
        <row r="2883">
          <cell r="E2883" t="str">
            <v>D26000072</v>
          </cell>
          <cell r="AP2883">
            <v>0</v>
          </cell>
          <cell r="AQ2883">
            <v>0</v>
          </cell>
          <cell r="AV2883">
            <v>17000000</v>
          </cell>
        </row>
        <row r="2884">
          <cell r="E2884" t="str">
            <v>B26001645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D25019244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D26001058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D26001059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D25016207</v>
          </cell>
          <cell r="AP2888">
            <v>0</v>
          </cell>
          <cell r="AQ2888">
            <v>0</v>
          </cell>
          <cell r="AV2888">
            <v>12000000</v>
          </cell>
        </row>
        <row r="2889">
          <cell r="E2889" t="str">
            <v>D25016208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D26000628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D26000641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B26001101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T26000077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B26001913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B26001914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B26001864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B26001864</v>
          </cell>
          <cell r="AP2897">
            <v>0</v>
          </cell>
          <cell r="AQ2897">
            <v>0</v>
          </cell>
          <cell r="AV2897">
            <v>28935000</v>
          </cell>
        </row>
        <row r="2898">
          <cell r="E2898" t="str">
            <v>B26001331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B26001620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B26001807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Z26000046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Z26000118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Z26000147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Z26000325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D26001951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B26000769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D26000872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D26000888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D26000889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D26000890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B26001075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D26001352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D26001353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D26001487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D26001518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D26001995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T25001634K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T25001713K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T26000058K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B26001692</v>
          </cell>
          <cell r="AP2920">
            <v>0</v>
          </cell>
          <cell r="AQ2920">
            <v>0</v>
          </cell>
          <cell r="AV2920">
            <v>1650000</v>
          </cell>
        </row>
        <row r="2921">
          <cell r="E2921" t="str">
            <v>B26001628</v>
          </cell>
          <cell r="AP2921">
            <v>0</v>
          </cell>
          <cell r="AQ2921">
            <v>0</v>
          </cell>
          <cell r="AV2921">
            <v>4720000</v>
          </cell>
        </row>
        <row r="2922">
          <cell r="E2922" t="str">
            <v>D26001763</v>
          </cell>
          <cell r="AP2922">
            <v>0</v>
          </cell>
          <cell r="AQ2922">
            <v>0</v>
          </cell>
          <cell r="AV2922">
            <v>7050500</v>
          </cell>
        </row>
        <row r="2923">
          <cell r="E2923" t="str">
            <v>D26001031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D26001032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B25016367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B25016369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T25001240K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D25018578</v>
          </cell>
          <cell r="AP2928">
            <v>0</v>
          </cell>
          <cell r="AQ2928">
            <v>0</v>
          </cell>
          <cell r="AV2928">
            <v>2000000</v>
          </cell>
        </row>
        <row r="2929">
          <cell r="E2929" t="str">
            <v>T25001802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T25001804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B25016613</v>
          </cell>
          <cell r="AP2931">
            <v>0</v>
          </cell>
          <cell r="AQ2931">
            <v>0</v>
          </cell>
          <cell r="AV2931">
            <v>26900000</v>
          </cell>
        </row>
        <row r="2932">
          <cell r="E2932" t="str">
            <v>B25016673</v>
          </cell>
          <cell r="AP2932">
            <v>0</v>
          </cell>
          <cell r="AQ2932">
            <v>0</v>
          </cell>
          <cell r="AV2932">
            <v>16300000</v>
          </cell>
        </row>
        <row r="2933">
          <cell r="E2933" t="str">
            <v>B25017077</v>
          </cell>
          <cell r="AP2933">
            <v>0</v>
          </cell>
          <cell r="AQ2933">
            <v>0</v>
          </cell>
          <cell r="AV2933">
            <v>26180000</v>
          </cell>
        </row>
        <row r="2934">
          <cell r="E2934" t="str">
            <v>D25019708</v>
          </cell>
          <cell r="AP2934">
            <v>0</v>
          </cell>
          <cell r="AQ2934">
            <v>0</v>
          </cell>
          <cell r="AV2934">
            <v>11600000</v>
          </cell>
        </row>
        <row r="2935">
          <cell r="E2935" t="str">
            <v>B26000538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D26000556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T26000031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D26000863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D26000868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D26000876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T26000049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T26000056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B26001091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B26001121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B26001122</v>
          </cell>
          <cell r="AP2945">
            <v>0</v>
          </cell>
          <cell r="AQ2945">
            <v>0</v>
          </cell>
          <cell r="AV2945">
            <v>0</v>
          </cell>
        </row>
        <row r="2946">
          <cell r="E2946" t="str">
            <v>B26001127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D26001370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D26001592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B26001587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T26000126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B26001938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D26002043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D26002069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D26002083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D25017349</v>
          </cell>
          <cell r="AP2955">
            <v>0</v>
          </cell>
          <cell r="AQ2955">
            <v>0</v>
          </cell>
          <cell r="AV2955">
            <v>13400000</v>
          </cell>
        </row>
        <row r="2956">
          <cell r="E2956" t="str">
            <v>B26000144</v>
          </cell>
          <cell r="AP2956">
            <v>0</v>
          </cell>
          <cell r="AQ2956">
            <v>0</v>
          </cell>
          <cell r="AV2956">
            <v>9275000</v>
          </cell>
        </row>
        <row r="2957">
          <cell r="E2957" t="str">
            <v>D26000192</v>
          </cell>
          <cell r="AP2957">
            <v>0</v>
          </cell>
          <cell r="AQ2957">
            <v>0</v>
          </cell>
          <cell r="AV2957">
            <v>12530000</v>
          </cell>
        </row>
        <row r="2958">
          <cell r="E2958" t="str">
            <v>D26000588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D26000589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D26000800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D26000823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B26001342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B26001343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B26001522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B26001852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B26001853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T26000134</v>
          </cell>
          <cell r="AP2967">
            <v>0</v>
          </cell>
          <cell r="AQ2967">
            <v>0</v>
          </cell>
          <cell r="AV2967">
            <v>0</v>
          </cell>
        </row>
        <row r="2968">
          <cell r="E2968" t="str">
            <v>D26001740</v>
          </cell>
          <cell r="AP2968">
            <v>0</v>
          </cell>
          <cell r="AQ2968">
            <v>0</v>
          </cell>
          <cell r="AV2968">
            <v>2200000</v>
          </cell>
        </row>
        <row r="2969">
          <cell r="E2969" t="str">
            <v>D26002045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B25015214</v>
          </cell>
          <cell r="AP2970">
            <v>0</v>
          </cell>
          <cell r="AQ2970">
            <v>0</v>
          </cell>
          <cell r="AV2970">
            <v>110000000</v>
          </cell>
        </row>
        <row r="2971">
          <cell r="E2971" t="str">
            <v>B25015214</v>
          </cell>
          <cell r="AP2971">
            <v>0</v>
          </cell>
          <cell r="AQ2971">
            <v>0</v>
          </cell>
          <cell r="AV2971">
            <v>4735000</v>
          </cell>
        </row>
        <row r="2972">
          <cell r="E2972" t="str">
            <v>B25015215</v>
          </cell>
          <cell r="AP2972">
            <v>0</v>
          </cell>
          <cell r="AQ2972">
            <v>0</v>
          </cell>
          <cell r="AV2972">
            <v>0</v>
          </cell>
        </row>
        <row r="2973">
          <cell r="E2973" t="str">
            <v>D25017683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B25015403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B25015712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B25015714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B25015862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B25015863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B25016045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B25016365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B25016370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D25018821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B25016386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B25016466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B25016695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B25016696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B25017117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B25017118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B26000110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B26000111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D26000050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D26000159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D26000160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T26000010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B26000174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D26000481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B26000547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B26000548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B26000549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B26000820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D26000934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D26001000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D26001001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D26001252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D26001253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D26001397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D26001406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B26001746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B26001747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B26001748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B26001749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B26001827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B26001828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B25016758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D25019709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D26000706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T26000081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D26001293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D26001649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T26000107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B26001915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D25019163</v>
          </cell>
          <cell r="AP3022">
            <v>0</v>
          </cell>
          <cell r="AQ3022">
            <v>0</v>
          </cell>
          <cell r="AV3022">
            <v>39800000</v>
          </cell>
        </row>
        <row r="3023">
          <cell r="E3023" t="str">
            <v>B25016853</v>
          </cell>
          <cell r="AP3023">
            <v>0</v>
          </cell>
          <cell r="AQ3023">
            <v>0</v>
          </cell>
          <cell r="AV3023">
            <v>3300000</v>
          </cell>
        </row>
        <row r="3024">
          <cell r="E3024" t="str">
            <v>D26000411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D26000748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D26000966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B26001804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D25018954</v>
          </cell>
          <cell r="AP3028">
            <v>0</v>
          </cell>
          <cell r="AQ3028">
            <v>0</v>
          </cell>
          <cell r="AV3028">
            <v>0</v>
          </cell>
        </row>
        <row r="3029">
          <cell r="E3029" t="str">
            <v>B26001208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B26001209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B25016542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B26001414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D26000532</v>
          </cell>
          <cell r="AP3033">
            <v>0</v>
          </cell>
          <cell r="AQ3033">
            <v>0</v>
          </cell>
          <cell r="AV3033">
            <v>0</v>
          </cell>
        </row>
        <row r="3034">
          <cell r="E3034" t="str">
            <v>D26001348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D26001964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Z26000290</v>
          </cell>
          <cell r="AP3036">
            <v>0</v>
          </cell>
          <cell r="AQ3036">
            <v>0</v>
          </cell>
          <cell r="AV3036">
            <v>8280000</v>
          </cell>
        </row>
        <row r="3037">
          <cell r="E3037" t="str">
            <v>Z26000293</v>
          </cell>
          <cell r="AP3037">
            <v>0</v>
          </cell>
          <cell r="AQ3037">
            <v>0</v>
          </cell>
          <cell r="AV3037">
            <v>18300000</v>
          </cell>
        </row>
        <row r="3038">
          <cell r="E3038" t="str">
            <v>Z26000296</v>
          </cell>
          <cell r="AP3038">
            <v>0</v>
          </cell>
          <cell r="AQ3038">
            <v>0</v>
          </cell>
          <cell r="AV3038">
            <v>53300000</v>
          </cell>
        </row>
        <row r="3039">
          <cell r="E3039" t="str">
            <v>Z26000297</v>
          </cell>
          <cell r="AP3039">
            <v>0</v>
          </cell>
          <cell r="AQ3039">
            <v>0</v>
          </cell>
          <cell r="AV3039">
            <v>5820000</v>
          </cell>
        </row>
        <row r="3040">
          <cell r="E3040" t="str">
            <v>Z26000299</v>
          </cell>
          <cell r="AP3040">
            <v>0</v>
          </cell>
          <cell r="AQ3040">
            <v>0</v>
          </cell>
          <cell r="AV3040">
            <v>3500000</v>
          </cell>
        </row>
        <row r="3041">
          <cell r="E3041" t="str">
            <v>D26001805</v>
          </cell>
          <cell r="AP3041">
            <v>0</v>
          </cell>
          <cell r="AQ3041">
            <v>0</v>
          </cell>
          <cell r="AV3041">
            <v>8280000</v>
          </cell>
        </row>
        <row r="3042">
          <cell r="E3042" t="str">
            <v>Z26000308</v>
          </cell>
          <cell r="AP3042">
            <v>0</v>
          </cell>
          <cell r="AQ3042">
            <v>0</v>
          </cell>
          <cell r="AV3042">
            <v>570000</v>
          </cell>
        </row>
        <row r="3043">
          <cell r="E3043" t="str">
            <v>Z26000311</v>
          </cell>
          <cell r="AP3043">
            <v>0</v>
          </cell>
          <cell r="AQ3043">
            <v>0</v>
          </cell>
          <cell r="AV3043">
            <v>7968000</v>
          </cell>
        </row>
        <row r="3044">
          <cell r="E3044" t="str">
            <v>Z26000314</v>
          </cell>
          <cell r="AP3044">
            <v>0</v>
          </cell>
          <cell r="AQ3044">
            <v>0</v>
          </cell>
          <cell r="AV3044">
            <v>2420000</v>
          </cell>
        </row>
        <row r="3045">
          <cell r="E3045" t="str">
            <v>Z26000315</v>
          </cell>
          <cell r="AP3045">
            <v>0</v>
          </cell>
          <cell r="AQ3045">
            <v>0</v>
          </cell>
          <cell r="AV3045">
            <v>5520000</v>
          </cell>
        </row>
        <row r="3046">
          <cell r="E3046" t="str">
            <v>Z26000334</v>
          </cell>
          <cell r="AP3046">
            <v>0</v>
          </cell>
          <cell r="AQ3046">
            <v>0</v>
          </cell>
          <cell r="AV3046">
            <v>14200000</v>
          </cell>
        </row>
        <row r="3047">
          <cell r="E3047" t="str">
            <v>Z26000339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Z26000340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Z26000341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Z26000342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B26001848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Z26000346</v>
          </cell>
          <cell r="AP3052">
            <v>0</v>
          </cell>
          <cell r="AQ3052">
            <v>0</v>
          </cell>
          <cell r="AV3052">
            <v>0</v>
          </cell>
        </row>
        <row r="3053">
          <cell r="E3053" t="str">
            <v>Z26000347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Z26000350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Z26000351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Z26000353</v>
          </cell>
          <cell r="AP3056">
            <v>0</v>
          </cell>
          <cell r="AQ3056">
            <v>0</v>
          </cell>
          <cell r="AV3056">
            <v>0</v>
          </cell>
        </row>
        <row r="3057">
          <cell r="E3057" t="str">
            <v>Z26000355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Z26000356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Z26000360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Z26000361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Z26000362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Z26000363</v>
          </cell>
          <cell r="AP3062">
            <v>0</v>
          </cell>
          <cell r="AQ3062">
            <v>0</v>
          </cell>
          <cell r="AV3062">
            <v>0</v>
          </cell>
        </row>
        <row r="3063">
          <cell r="E3063" t="str">
            <v>Z26000364</v>
          </cell>
          <cell r="AP3063">
            <v>0</v>
          </cell>
          <cell r="AQ3063">
            <v>0</v>
          </cell>
          <cell r="AV3063">
            <v>0</v>
          </cell>
        </row>
        <row r="3064">
          <cell r="E3064" t="str">
            <v>Z26000365</v>
          </cell>
          <cell r="AP3064">
            <v>0</v>
          </cell>
          <cell r="AQ3064">
            <v>0</v>
          </cell>
          <cell r="AV3064">
            <v>0</v>
          </cell>
        </row>
        <row r="3065">
          <cell r="E3065" t="str">
            <v>B25014986</v>
          </cell>
          <cell r="AP3065">
            <v>0</v>
          </cell>
          <cell r="AQ3065">
            <v>0</v>
          </cell>
          <cell r="AV3065">
            <v>100000000</v>
          </cell>
        </row>
        <row r="3066">
          <cell r="E3066" t="str">
            <v>D25019317</v>
          </cell>
          <cell r="AP3066">
            <v>0</v>
          </cell>
          <cell r="AQ3066">
            <v>0</v>
          </cell>
          <cell r="AV3066">
            <v>0</v>
          </cell>
        </row>
        <row r="3067">
          <cell r="E3067" t="str">
            <v>D25019601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D26000157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D26000158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B26000947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B26000948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B26000966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B26001118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B26001119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B26001249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B26001250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B26001475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B26001478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B26001642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B26001643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D26001961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D26001962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D25015134</v>
          </cell>
          <cell r="AP3083">
            <v>0</v>
          </cell>
          <cell r="AQ3083">
            <v>0</v>
          </cell>
          <cell r="AV3083">
            <v>12582500</v>
          </cell>
        </row>
        <row r="3084">
          <cell r="E3084" t="str">
            <v>D25015237</v>
          </cell>
          <cell r="AP3084">
            <v>0</v>
          </cell>
          <cell r="AQ3084">
            <v>0</v>
          </cell>
          <cell r="AV3084">
            <v>5360000</v>
          </cell>
        </row>
        <row r="3085">
          <cell r="E3085" t="str">
            <v>B25012977</v>
          </cell>
          <cell r="AP3085">
            <v>0</v>
          </cell>
          <cell r="AQ3085">
            <v>0</v>
          </cell>
          <cell r="AV3085">
            <v>2057500</v>
          </cell>
        </row>
        <row r="3086">
          <cell r="E3086" t="str">
            <v>B25012977</v>
          </cell>
          <cell r="AP3086">
            <v>0</v>
          </cell>
          <cell r="AQ3086">
            <v>0</v>
          </cell>
          <cell r="AV3086">
            <v>1442500</v>
          </cell>
        </row>
        <row r="3087">
          <cell r="E3087" t="str">
            <v>D25015318</v>
          </cell>
          <cell r="AP3087">
            <v>0</v>
          </cell>
          <cell r="AQ3087">
            <v>0</v>
          </cell>
          <cell r="AV3087">
            <v>3557500</v>
          </cell>
        </row>
        <row r="3088">
          <cell r="E3088" t="str">
            <v>T25001535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T25001567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D25016827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D25017607</v>
          </cell>
          <cell r="AP3091">
            <v>0</v>
          </cell>
          <cell r="AQ3091">
            <v>0</v>
          </cell>
          <cell r="AV3091">
            <v>0</v>
          </cell>
        </row>
        <row r="3092">
          <cell r="E3092" t="str">
            <v>D25017620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D25017774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D25018154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B25016005</v>
          </cell>
          <cell r="AP3095">
            <v>0</v>
          </cell>
          <cell r="AQ3095">
            <v>0</v>
          </cell>
          <cell r="AV3095">
            <v>0</v>
          </cell>
        </row>
        <row r="3096">
          <cell r="E3096" t="str">
            <v>D25018740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B25016651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D25019319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D25019704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B26000642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D26000695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B26000765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D26001107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D26001255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D26001507</v>
          </cell>
          <cell r="AP3105">
            <v>0</v>
          </cell>
          <cell r="AQ3105">
            <v>0</v>
          </cell>
          <cell r="AV3105">
            <v>0</v>
          </cell>
        </row>
        <row r="3106">
          <cell r="E3106" t="str">
            <v>B26001502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T25001562k</v>
          </cell>
          <cell r="AP3107">
            <v>0</v>
          </cell>
          <cell r="AQ3107">
            <v>0</v>
          </cell>
          <cell r="AV3107">
            <v>0</v>
          </cell>
        </row>
        <row r="3108">
          <cell r="E3108" t="str">
            <v>B25016773</v>
          </cell>
          <cell r="AP3108">
            <v>0</v>
          </cell>
          <cell r="AQ3108">
            <v>0</v>
          </cell>
          <cell r="AV3108">
            <v>0</v>
          </cell>
        </row>
        <row r="3109">
          <cell r="E3109" t="str">
            <v>B25016778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B26000578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B26000657</v>
          </cell>
          <cell r="AP3111">
            <v>0</v>
          </cell>
          <cell r="AQ3111">
            <v>0</v>
          </cell>
          <cell r="AV3111">
            <v>0</v>
          </cell>
        </row>
        <row r="3112">
          <cell r="E3112" t="str">
            <v>D26000766</v>
          </cell>
          <cell r="AP3112">
            <v>0</v>
          </cell>
          <cell r="AQ3112">
            <v>0</v>
          </cell>
          <cell r="AV3112">
            <v>0</v>
          </cell>
        </row>
        <row r="3113">
          <cell r="E3113" t="str">
            <v>B26001187</v>
          </cell>
          <cell r="AP3113">
            <v>0</v>
          </cell>
          <cell r="AQ3113">
            <v>0</v>
          </cell>
          <cell r="AV3113">
            <v>0</v>
          </cell>
        </row>
        <row r="3114">
          <cell r="E3114" t="str">
            <v>D26001270</v>
          </cell>
          <cell r="AP3114">
            <v>0</v>
          </cell>
          <cell r="AQ3114">
            <v>0</v>
          </cell>
          <cell r="AV3114">
            <v>0</v>
          </cell>
        </row>
        <row r="3115">
          <cell r="E3115" t="str">
            <v>D26001401</v>
          </cell>
          <cell r="AP3115">
            <v>0</v>
          </cell>
          <cell r="AQ3115">
            <v>0</v>
          </cell>
          <cell r="AV3115">
            <v>0</v>
          </cell>
        </row>
        <row r="3116">
          <cell r="E3116" t="str">
            <v>D26001431</v>
          </cell>
          <cell r="AP3116">
            <v>0</v>
          </cell>
          <cell r="AQ3116">
            <v>0</v>
          </cell>
          <cell r="AV3116">
            <v>0</v>
          </cell>
        </row>
        <row r="3117">
          <cell r="E3117" t="str">
            <v>B26000978</v>
          </cell>
          <cell r="AP3117">
            <v>0</v>
          </cell>
          <cell r="AQ3117">
            <v>0</v>
          </cell>
          <cell r="AV3117">
            <v>0</v>
          </cell>
        </row>
        <row r="3118">
          <cell r="E3118" t="str">
            <v>T26000067</v>
          </cell>
          <cell r="AP3118">
            <v>0</v>
          </cell>
          <cell r="AQ3118">
            <v>0</v>
          </cell>
          <cell r="AV3118">
            <v>0</v>
          </cell>
        </row>
        <row r="3119">
          <cell r="E3119" t="str">
            <v>T25001828</v>
          </cell>
          <cell r="AP3119">
            <v>0</v>
          </cell>
          <cell r="AQ3119">
            <v>0</v>
          </cell>
          <cell r="AV3119">
            <v>0</v>
          </cell>
        </row>
        <row r="3120">
          <cell r="E3120" t="str">
            <v>T25001833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B26000222</v>
          </cell>
          <cell r="AP3121">
            <v>0</v>
          </cell>
          <cell r="AQ3121">
            <v>0</v>
          </cell>
          <cell r="AV3121">
            <v>0</v>
          </cell>
        </row>
        <row r="3122">
          <cell r="E3122" t="str">
            <v>B26001178</v>
          </cell>
          <cell r="AP3122">
            <v>0</v>
          </cell>
          <cell r="AQ3122">
            <v>0</v>
          </cell>
          <cell r="AV3122">
            <v>0</v>
          </cell>
        </row>
        <row r="3123">
          <cell r="E3123" t="str">
            <v>B26001179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D26001703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T25001654</v>
          </cell>
          <cell r="AP3125">
            <v>0</v>
          </cell>
          <cell r="AQ3125">
            <v>0</v>
          </cell>
          <cell r="AV3125">
            <v>2792500</v>
          </cell>
        </row>
        <row r="3126">
          <cell r="E3126" t="str">
            <v>T25001690</v>
          </cell>
          <cell r="AP3126">
            <v>0</v>
          </cell>
          <cell r="AQ3126">
            <v>0</v>
          </cell>
          <cell r="AV3126">
            <v>1040000</v>
          </cell>
        </row>
        <row r="3127">
          <cell r="E3127" t="str">
            <v>T25001745</v>
          </cell>
          <cell r="AP3127">
            <v>0</v>
          </cell>
          <cell r="AQ3127">
            <v>0</v>
          </cell>
          <cell r="AV3127">
            <v>0</v>
          </cell>
        </row>
        <row r="3128">
          <cell r="E3128" t="str">
            <v>B25015470</v>
          </cell>
          <cell r="AP3128">
            <v>0</v>
          </cell>
          <cell r="AQ3128">
            <v>0</v>
          </cell>
          <cell r="AV3128">
            <v>0</v>
          </cell>
        </row>
        <row r="3129">
          <cell r="E3129">
            <v>250207</v>
          </cell>
          <cell r="AP3129">
            <v>0</v>
          </cell>
          <cell r="AQ3129">
            <v>0</v>
          </cell>
          <cell r="AV3129">
            <v>0</v>
          </cell>
        </row>
        <row r="3130">
          <cell r="E3130" t="str">
            <v>B25017090</v>
          </cell>
          <cell r="AP3130">
            <v>0</v>
          </cell>
          <cell r="AQ3130">
            <v>0</v>
          </cell>
          <cell r="AV3130">
            <v>0</v>
          </cell>
        </row>
        <row r="3131">
          <cell r="E3131" t="str">
            <v>B26000159</v>
          </cell>
          <cell r="AP3131">
            <v>0</v>
          </cell>
          <cell r="AQ3131">
            <v>0</v>
          </cell>
          <cell r="AV3131">
            <v>0</v>
          </cell>
        </row>
        <row r="3132">
          <cell r="E3132" t="str">
            <v>D26000121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T26000008</v>
          </cell>
          <cell r="AP3133">
            <v>0</v>
          </cell>
          <cell r="AQ3133">
            <v>0</v>
          </cell>
          <cell r="AV3133">
            <v>0</v>
          </cell>
        </row>
        <row r="3134">
          <cell r="E3134" t="str">
            <v>D26000439</v>
          </cell>
          <cell r="AP3134">
            <v>0</v>
          </cell>
          <cell r="AQ3134">
            <v>0</v>
          </cell>
          <cell r="AV3134">
            <v>0</v>
          </cell>
        </row>
        <row r="3135">
          <cell r="E3135" t="str">
            <v>D26000742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T26000037K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T26000087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D26001362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T26000111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B25014948</v>
          </cell>
          <cell r="AP3140">
            <v>0</v>
          </cell>
          <cell r="AQ3140">
            <v>0</v>
          </cell>
          <cell r="AV3140">
            <v>362340000</v>
          </cell>
        </row>
        <row r="3141">
          <cell r="E3141" t="str">
            <v>D25018257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B25015870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B25016191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B25016709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D26000546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D26000623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D26001522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R26000001</v>
          </cell>
          <cell r="AP3148">
            <v>0</v>
          </cell>
          <cell r="AQ3148">
            <v>0</v>
          </cell>
          <cell r="AV3148">
            <v>0</v>
          </cell>
        </row>
        <row r="3149">
          <cell r="E3149" t="str">
            <v>T25001576</v>
          </cell>
          <cell r="AP3149">
            <v>0</v>
          </cell>
          <cell r="AQ3149">
            <v>0</v>
          </cell>
          <cell r="AV3149">
            <v>2500000</v>
          </cell>
        </row>
        <row r="3150">
          <cell r="E3150" t="str">
            <v>B25014771</v>
          </cell>
          <cell r="AP3150">
            <v>0</v>
          </cell>
          <cell r="AQ3150">
            <v>0</v>
          </cell>
          <cell r="AV3150">
            <v>0</v>
          </cell>
        </row>
        <row r="3151">
          <cell r="E3151" t="str">
            <v>B25015904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D25019221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T26000072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T26000075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B26001333</v>
          </cell>
          <cell r="AP3155">
            <v>0</v>
          </cell>
          <cell r="AQ3155">
            <v>0</v>
          </cell>
          <cell r="AV3155">
            <v>5720000</v>
          </cell>
        </row>
        <row r="3156">
          <cell r="E3156" t="str">
            <v>B26001682</v>
          </cell>
          <cell r="AP3156">
            <v>0</v>
          </cell>
          <cell r="AQ3156">
            <v>0</v>
          </cell>
          <cell r="AV3156">
            <v>350000</v>
          </cell>
        </row>
        <row r="3157">
          <cell r="E3157" t="str">
            <v>D26000750</v>
          </cell>
          <cell r="AP3157">
            <v>0</v>
          </cell>
          <cell r="AQ3157">
            <v>0</v>
          </cell>
          <cell r="AV3157">
            <v>4919475</v>
          </cell>
        </row>
        <row r="3158">
          <cell r="E3158" t="str">
            <v>D26000851</v>
          </cell>
          <cell r="AP3158">
            <v>0</v>
          </cell>
          <cell r="AQ3158">
            <v>0</v>
          </cell>
          <cell r="AV3158">
            <v>10412500</v>
          </cell>
        </row>
        <row r="3159">
          <cell r="E3159" t="str">
            <v>D26001010</v>
          </cell>
          <cell r="AP3159">
            <v>0</v>
          </cell>
          <cell r="AQ3159">
            <v>0</v>
          </cell>
          <cell r="AV3159">
            <v>14668025</v>
          </cell>
        </row>
        <row r="3160">
          <cell r="E3160" t="str">
            <v>D26001589</v>
          </cell>
          <cell r="AP3160">
            <v>0</v>
          </cell>
          <cell r="AQ3160">
            <v>0</v>
          </cell>
          <cell r="AV3160">
            <v>0</v>
          </cell>
        </row>
        <row r="3161">
          <cell r="E3161" t="str">
            <v>Z25003250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D25015849</v>
          </cell>
          <cell r="AP3162">
            <v>0</v>
          </cell>
          <cell r="AQ3162">
            <v>0</v>
          </cell>
          <cell r="AV3162">
            <v>6916800</v>
          </cell>
        </row>
        <row r="3163">
          <cell r="E3163">
            <v>250144</v>
          </cell>
          <cell r="AP3163">
            <v>0</v>
          </cell>
          <cell r="AQ3163">
            <v>0</v>
          </cell>
          <cell r="AV3163">
            <v>0</v>
          </cell>
        </row>
        <row r="3164">
          <cell r="E3164">
            <v>250149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B25014405</v>
          </cell>
          <cell r="AP3165">
            <v>0</v>
          </cell>
          <cell r="AQ3165">
            <v>0</v>
          </cell>
          <cell r="AV3165">
            <v>0</v>
          </cell>
        </row>
        <row r="3166">
          <cell r="E3166" t="str">
            <v>B25015908</v>
          </cell>
          <cell r="AP3166">
            <v>0</v>
          </cell>
          <cell r="AQ3166">
            <v>0</v>
          </cell>
          <cell r="AV3166">
            <v>0</v>
          </cell>
        </row>
        <row r="3167">
          <cell r="E3167" t="str">
            <v>D25018315</v>
          </cell>
          <cell r="AP3167">
            <v>0</v>
          </cell>
          <cell r="AQ3167">
            <v>0</v>
          </cell>
          <cell r="AV3167">
            <v>0</v>
          </cell>
        </row>
        <row r="3168">
          <cell r="E3168" t="str">
            <v>D25018762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D25018851</v>
          </cell>
          <cell r="AP3169">
            <v>0</v>
          </cell>
          <cell r="AQ3169">
            <v>0</v>
          </cell>
          <cell r="AV3169">
            <v>0</v>
          </cell>
        </row>
        <row r="3170">
          <cell r="E3170" t="str">
            <v>B25016978</v>
          </cell>
          <cell r="AP3170">
            <v>0</v>
          </cell>
          <cell r="AQ3170">
            <v>0</v>
          </cell>
          <cell r="AV3170">
            <v>0</v>
          </cell>
        </row>
        <row r="3171">
          <cell r="E3171" t="str">
            <v>B25017020</v>
          </cell>
          <cell r="AP3171">
            <v>0</v>
          </cell>
          <cell r="AQ3171">
            <v>0</v>
          </cell>
          <cell r="AV3171">
            <v>0</v>
          </cell>
        </row>
        <row r="3172">
          <cell r="E3172" t="str">
            <v>D25019626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B26000278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B26000628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B26000074</v>
          </cell>
          <cell r="AP3175">
            <v>0</v>
          </cell>
          <cell r="AQ3175">
            <v>0</v>
          </cell>
          <cell r="AV3175">
            <v>1179500</v>
          </cell>
        </row>
        <row r="3176">
          <cell r="E3176" t="str">
            <v>B26000533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D26001597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D25017597</v>
          </cell>
          <cell r="AP3178">
            <v>0</v>
          </cell>
          <cell r="AQ3178">
            <v>0</v>
          </cell>
          <cell r="AV3178">
            <v>15440000</v>
          </cell>
        </row>
        <row r="3179">
          <cell r="E3179" t="str">
            <v>D25019506</v>
          </cell>
          <cell r="AP3179">
            <v>0</v>
          </cell>
          <cell r="AQ3179">
            <v>0</v>
          </cell>
          <cell r="AV3179">
            <v>0</v>
          </cell>
        </row>
        <row r="3180">
          <cell r="E3180" t="str">
            <v>B26001471</v>
          </cell>
          <cell r="AP3180">
            <v>0</v>
          </cell>
          <cell r="AQ3180">
            <v>0</v>
          </cell>
          <cell r="AV3180">
            <v>42000000</v>
          </cell>
        </row>
        <row r="3181">
          <cell r="E3181" t="str">
            <v>B26001703</v>
          </cell>
          <cell r="AP3181">
            <v>0</v>
          </cell>
          <cell r="AQ3181">
            <v>0</v>
          </cell>
          <cell r="AV3181">
            <v>10000000</v>
          </cell>
        </row>
        <row r="3182">
          <cell r="E3182" t="str">
            <v>B26001703</v>
          </cell>
          <cell r="AP3182">
            <v>0</v>
          </cell>
          <cell r="AQ3182">
            <v>0</v>
          </cell>
          <cell r="AV3182">
            <v>8000000</v>
          </cell>
        </row>
        <row r="3183">
          <cell r="E3183" t="str">
            <v>T25001473</v>
          </cell>
          <cell r="AP3183">
            <v>0</v>
          </cell>
          <cell r="AQ3183">
            <v>0</v>
          </cell>
          <cell r="AV3183">
            <v>1700000</v>
          </cell>
        </row>
        <row r="3184">
          <cell r="E3184" t="str">
            <v>T25001831</v>
          </cell>
          <cell r="AP3184">
            <v>0</v>
          </cell>
          <cell r="AQ3184">
            <v>0</v>
          </cell>
          <cell r="AV3184">
            <v>2575000</v>
          </cell>
        </row>
        <row r="3185">
          <cell r="E3185" t="str">
            <v>D25019065</v>
          </cell>
          <cell r="AP3185">
            <v>0</v>
          </cell>
          <cell r="AQ3185">
            <v>0</v>
          </cell>
          <cell r="AV3185">
            <v>2700000</v>
          </cell>
        </row>
        <row r="3186">
          <cell r="E3186" t="str">
            <v>D25019213</v>
          </cell>
          <cell r="AP3186">
            <v>0</v>
          </cell>
          <cell r="AQ3186">
            <v>0</v>
          </cell>
          <cell r="AV3186">
            <v>1900000</v>
          </cell>
        </row>
        <row r="3187">
          <cell r="E3187" t="str">
            <v>D25019332</v>
          </cell>
          <cell r="AP3187">
            <v>0</v>
          </cell>
          <cell r="AQ3187">
            <v>0</v>
          </cell>
          <cell r="AV3187">
            <v>9800000</v>
          </cell>
        </row>
        <row r="3188">
          <cell r="E3188" t="str">
            <v>D25019445</v>
          </cell>
          <cell r="AP3188">
            <v>0</v>
          </cell>
          <cell r="AQ3188">
            <v>0</v>
          </cell>
          <cell r="AV3188">
            <v>5925000</v>
          </cell>
        </row>
        <row r="3189">
          <cell r="E3189" t="str">
            <v>D25019683</v>
          </cell>
          <cell r="AP3189">
            <v>0</v>
          </cell>
          <cell r="AQ3189">
            <v>0</v>
          </cell>
          <cell r="AV3189">
            <v>5400000</v>
          </cell>
        </row>
        <row r="3190">
          <cell r="E3190" t="str">
            <v>D26000422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B26000426</v>
          </cell>
          <cell r="AP3191">
            <v>0</v>
          </cell>
          <cell r="AQ3191">
            <v>0</v>
          </cell>
          <cell r="AV3191">
            <v>0</v>
          </cell>
        </row>
        <row r="3192">
          <cell r="E3192" t="str">
            <v>B26000457</v>
          </cell>
          <cell r="AP3192">
            <v>0</v>
          </cell>
          <cell r="AQ3192">
            <v>0</v>
          </cell>
          <cell r="AV3192">
            <v>0</v>
          </cell>
        </row>
        <row r="3193">
          <cell r="E3193" t="str">
            <v>B26000596</v>
          </cell>
          <cell r="AP3193">
            <v>0</v>
          </cell>
          <cell r="AQ3193">
            <v>0</v>
          </cell>
          <cell r="AV3193">
            <v>0</v>
          </cell>
        </row>
        <row r="3194">
          <cell r="E3194" t="str">
            <v>D26000936</v>
          </cell>
          <cell r="AP3194">
            <v>0</v>
          </cell>
          <cell r="AQ3194">
            <v>0</v>
          </cell>
          <cell r="AV3194">
            <v>0</v>
          </cell>
        </row>
        <row r="3195">
          <cell r="E3195" t="str">
            <v>D26001127</v>
          </cell>
          <cell r="AP3195">
            <v>0</v>
          </cell>
          <cell r="AQ3195">
            <v>0</v>
          </cell>
          <cell r="AV3195">
            <v>0</v>
          </cell>
        </row>
        <row r="3196">
          <cell r="E3196" t="str">
            <v>D26001360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B26001653</v>
          </cell>
          <cell r="AP3197">
            <v>0</v>
          </cell>
          <cell r="AQ3197">
            <v>0</v>
          </cell>
          <cell r="AV3197">
            <v>12000000</v>
          </cell>
        </row>
        <row r="3198">
          <cell r="E3198" t="str">
            <v>T25001873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D25019628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D25019721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B26000452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D26001889</v>
          </cell>
          <cell r="AP3202">
            <v>0</v>
          </cell>
          <cell r="AQ3202">
            <v>0</v>
          </cell>
          <cell r="AV3202">
            <v>0</v>
          </cell>
        </row>
        <row r="3203">
          <cell r="E3203" t="str">
            <v>B26001908</v>
          </cell>
          <cell r="AP3203">
            <v>0</v>
          </cell>
          <cell r="AQ3203">
            <v>0</v>
          </cell>
          <cell r="AV3203">
            <v>0</v>
          </cell>
        </row>
        <row r="3204">
          <cell r="E3204" t="str">
            <v>T25001857</v>
          </cell>
          <cell r="AP3204">
            <v>0</v>
          </cell>
          <cell r="AQ3204">
            <v>0</v>
          </cell>
          <cell r="AV3204">
            <v>0</v>
          </cell>
        </row>
        <row r="3205">
          <cell r="E3205" t="str">
            <v>D26002005</v>
          </cell>
          <cell r="AP3205">
            <v>0</v>
          </cell>
          <cell r="AQ3205">
            <v>0</v>
          </cell>
          <cell r="AV3205">
            <v>0</v>
          </cell>
        </row>
        <row r="3206">
          <cell r="E3206" t="str">
            <v>B25016933</v>
          </cell>
          <cell r="AP3206">
            <v>0</v>
          </cell>
          <cell r="AQ3206">
            <v>0</v>
          </cell>
          <cell r="AV3206">
            <v>0</v>
          </cell>
        </row>
        <row r="3207">
          <cell r="E3207" t="str">
            <v>D26000881</v>
          </cell>
          <cell r="AP3207">
            <v>0</v>
          </cell>
          <cell r="AQ3207">
            <v>0</v>
          </cell>
          <cell r="AV3207">
            <v>0</v>
          </cell>
        </row>
        <row r="3208">
          <cell r="E3208" t="str">
            <v>D26000954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D26000956</v>
          </cell>
          <cell r="AP3209">
            <v>0</v>
          </cell>
          <cell r="AQ3209">
            <v>0</v>
          </cell>
          <cell r="AV3209">
            <v>0</v>
          </cell>
        </row>
        <row r="3210">
          <cell r="E3210" t="str">
            <v>B26001363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B26000488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D26001734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D26001735</v>
          </cell>
          <cell r="AP3213">
            <v>0</v>
          </cell>
          <cell r="AQ3213">
            <v>0</v>
          </cell>
          <cell r="AV3213">
            <v>0</v>
          </cell>
        </row>
        <row r="3214">
          <cell r="E3214" t="str">
            <v>B25016727</v>
          </cell>
          <cell r="AP3214">
            <v>0</v>
          </cell>
          <cell r="AQ3214">
            <v>0</v>
          </cell>
          <cell r="AV3214">
            <v>3960000</v>
          </cell>
        </row>
        <row r="3215">
          <cell r="E3215" t="str">
            <v>B26000129</v>
          </cell>
          <cell r="AP3215">
            <v>0</v>
          </cell>
          <cell r="AQ3215">
            <v>0</v>
          </cell>
          <cell r="AV3215">
            <v>2160000</v>
          </cell>
        </row>
        <row r="3216">
          <cell r="E3216" t="str">
            <v>B26000158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D26000198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D26000503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D26000716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D26000724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B26001025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D26001525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D26001590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B26001732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B26001832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B26000447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D26001937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B26001877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B26001919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B25016334</v>
          </cell>
          <cell r="AP3230">
            <v>0</v>
          </cell>
          <cell r="AQ3230">
            <v>0</v>
          </cell>
          <cell r="AV3230">
            <v>0</v>
          </cell>
        </row>
        <row r="3231">
          <cell r="E3231" t="str">
            <v>B25016529</v>
          </cell>
          <cell r="AP3231">
            <v>0</v>
          </cell>
          <cell r="AQ3231">
            <v>0</v>
          </cell>
          <cell r="AV3231">
            <v>10000000</v>
          </cell>
        </row>
        <row r="3232">
          <cell r="E3232" t="str">
            <v>B26000414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B26001424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B26001671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D25018644</v>
          </cell>
          <cell r="AP3235">
            <v>0</v>
          </cell>
          <cell r="AQ3235">
            <v>0</v>
          </cell>
          <cell r="AV3235">
            <v>10000000</v>
          </cell>
        </row>
        <row r="3236">
          <cell r="E3236" t="str">
            <v>D25019241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B25017119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D26000410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B26001140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B26001505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D25016662</v>
          </cell>
          <cell r="AP3241">
            <v>0</v>
          </cell>
          <cell r="AQ3241">
            <v>0</v>
          </cell>
          <cell r="AV3241">
            <v>1125000</v>
          </cell>
        </row>
        <row r="3242">
          <cell r="E3242" t="str">
            <v>B25014446</v>
          </cell>
          <cell r="AP3242">
            <v>0</v>
          </cell>
          <cell r="AQ3242">
            <v>0</v>
          </cell>
          <cell r="AV3242">
            <v>4510000</v>
          </cell>
        </row>
        <row r="3243">
          <cell r="E3243" t="str">
            <v>B25014447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D25019693</v>
          </cell>
          <cell r="AP3244">
            <v>0</v>
          </cell>
          <cell r="AQ3244">
            <v>0</v>
          </cell>
          <cell r="AV3244">
            <v>0</v>
          </cell>
        </row>
        <row r="3245">
          <cell r="E3245" t="str">
            <v>D26000787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B26001474</v>
          </cell>
          <cell r="AP3246">
            <v>0</v>
          </cell>
          <cell r="AQ3246">
            <v>0</v>
          </cell>
          <cell r="AV3246">
            <v>0</v>
          </cell>
        </row>
        <row r="3247">
          <cell r="E3247" t="str">
            <v>B26000338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B26000339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B26000340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B26001085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B26001133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D26000958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D26000959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D26001641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D26001997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D25019256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B25016895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D26000225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D26001335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D26000248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D25017916</v>
          </cell>
          <cell r="AP3261">
            <v>0</v>
          </cell>
          <cell r="AQ3261">
            <v>0</v>
          </cell>
          <cell r="AV3261">
            <v>2125000</v>
          </cell>
        </row>
        <row r="3262">
          <cell r="E3262" t="str">
            <v>T25001762</v>
          </cell>
          <cell r="AP3262">
            <v>500</v>
          </cell>
          <cell r="AQ3262">
            <v>0</v>
          </cell>
          <cell r="AV3262">
            <v>823000</v>
          </cell>
        </row>
        <row r="3263">
          <cell r="E3263" t="str">
            <v>B25016635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T25001862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T26000045k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D26001958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D26001959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D21000994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D25015293</v>
          </cell>
          <cell r="AP3269">
            <v>0</v>
          </cell>
          <cell r="AQ3269">
            <v>0</v>
          </cell>
          <cell r="AV3269">
            <v>47000000</v>
          </cell>
        </row>
        <row r="3270">
          <cell r="E3270" t="str">
            <v>D25015583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D25016141</v>
          </cell>
          <cell r="AP3271">
            <v>0</v>
          </cell>
          <cell r="AQ3271">
            <v>0</v>
          </cell>
          <cell r="AV3271">
            <v>4000000</v>
          </cell>
        </row>
        <row r="3272">
          <cell r="E3272" t="str">
            <v>T25001595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B25014837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B25015409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B25016067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D25018472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D25018888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B25016767</v>
          </cell>
          <cell r="AP3278">
            <v>0</v>
          </cell>
          <cell r="AQ3278">
            <v>0</v>
          </cell>
          <cell r="AV3278">
            <v>0</v>
          </cell>
        </row>
        <row r="3279">
          <cell r="E3279" t="str">
            <v>B25016768</v>
          </cell>
          <cell r="AP3279">
            <v>0</v>
          </cell>
          <cell r="AQ3279">
            <v>0</v>
          </cell>
          <cell r="AV3279">
            <v>0</v>
          </cell>
        </row>
        <row r="3280">
          <cell r="E3280" t="str">
            <v>B25016769</v>
          </cell>
          <cell r="AP3280">
            <v>0</v>
          </cell>
          <cell r="AQ3280">
            <v>0</v>
          </cell>
          <cell r="AV3280">
            <v>0</v>
          </cell>
        </row>
        <row r="3281">
          <cell r="E3281" t="str">
            <v>T25001878</v>
          </cell>
          <cell r="AP3281">
            <v>0</v>
          </cell>
          <cell r="AQ3281">
            <v>0</v>
          </cell>
          <cell r="AV3281">
            <v>0</v>
          </cell>
        </row>
        <row r="3282">
          <cell r="E3282" t="str">
            <v>D25019426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D25019525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B26000135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D26000138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D26000258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D26000379</v>
          </cell>
          <cell r="AP3287">
            <v>0</v>
          </cell>
          <cell r="AQ3287">
            <v>0</v>
          </cell>
          <cell r="AV3287">
            <v>0</v>
          </cell>
        </row>
        <row r="3288">
          <cell r="E3288" t="str">
            <v>D26000443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T26000091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D26001793</v>
          </cell>
          <cell r="AP3290">
            <v>0</v>
          </cell>
          <cell r="AQ3290">
            <v>0</v>
          </cell>
          <cell r="AV3290">
            <v>0</v>
          </cell>
        </row>
        <row r="3291">
          <cell r="E3291" t="str">
            <v>D26001799</v>
          </cell>
          <cell r="AP3291">
            <v>0</v>
          </cell>
          <cell r="AQ3291">
            <v>0</v>
          </cell>
          <cell r="AV3291">
            <v>0</v>
          </cell>
        </row>
        <row r="3292">
          <cell r="E3292" t="str">
            <v>D26001260</v>
          </cell>
          <cell r="AP3292">
            <v>0</v>
          </cell>
          <cell r="AQ3292">
            <v>0</v>
          </cell>
          <cell r="AV3292">
            <v>0</v>
          </cell>
        </row>
        <row r="3293">
          <cell r="E3293" t="str">
            <v>B26001673</v>
          </cell>
          <cell r="AP3293">
            <v>0</v>
          </cell>
          <cell r="AQ3293">
            <v>0</v>
          </cell>
          <cell r="AV3293">
            <v>0</v>
          </cell>
        </row>
        <row r="3294">
          <cell r="E3294" t="str">
            <v>D26001812</v>
          </cell>
          <cell r="AP3294">
            <v>0</v>
          </cell>
          <cell r="AQ3294">
            <v>0</v>
          </cell>
          <cell r="AV3294">
            <v>0</v>
          </cell>
        </row>
        <row r="3295">
          <cell r="E3295" t="str">
            <v>B26000210</v>
          </cell>
          <cell r="AP3295">
            <v>0</v>
          </cell>
          <cell r="AQ3295">
            <v>0</v>
          </cell>
          <cell r="AV3295">
            <v>0</v>
          </cell>
        </row>
        <row r="3296">
          <cell r="E3296" t="str">
            <v>D26000907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D25019115</v>
          </cell>
          <cell r="AP3297">
            <v>0</v>
          </cell>
          <cell r="AQ3297">
            <v>0</v>
          </cell>
          <cell r="AV3297">
            <v>5520000</v>
          </cell>
        </row>
        <row r="3298">
          <cell r="E3298" t="str">
            <v>D25019212</v>
          </cell>
          <cell r="AP3298">
            <v>0</v>
          </cell>
          <cell r="AQ3298">
            <v>0</v>
          </cell>
          <cell r="AV3298">
            <v>63480000</v>
          </cell>
        </row>
        <row r="3299">
          <cell r="E3299" t="str">
            <v>B26000007</v>
          </cell>
          <cell r="AP3299">
            <v>0</v>
          </cell>
          <cell r="AQ3299">
            <v>0</v>
          </cell>
          <cell r="AV3299">
            <v>0</v>
          </cell>
        </row>
        <row r="3300">
          <cell r="E3300" t="str">
            <v>B26000094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B26000232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D26000652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B26000855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D26001047</v>
          </cell>
          <cell r="AP3304">
            <v>0</v>
          </cell>
          <cell r="AQ3304">
            <v>0</v>
          </cell>
          <cell r="AV3304">
            <v>0</v>
          </cell>
        </row>
        <row r="3305">
          <cell r="E3305" t="str">
            <v>B26001565</v>
          </cell>
          <cell r="AP3305">
            <v>0</v>
          </cell>
          <cell r="AQ3305">
            <v>0</v>
          </cell>
          <cell r="AV3305">
            <v>0</v>
          </cell>
        </row>
        <row r="3306">
          <cell r="E3306" t="str">
            <v>D25016822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D25016823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D25016917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B25014748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D25017496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D25017925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B25015850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B25015851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B25016043</v>
          </cell>
          <cell r="AP3314">
            <v>0</v>
          </cell>
          <cell r="AQ3314">
            <v>0</v>
          </cell>
          <cell r="AV3314">
            <v>0</v>
          </cell>
        </row>
        <row r="3315">
          <cell r="E3315" t="str">
            <v>B25016050</v>
          </cell>
          <cell r="AP3315">
            <v>0</v>
          </cell>
          <cell r="AQ3315">
            <v>0</v>
          </cell>
          <cell r="AV3315">
            <v>0</v>
          </cell>
        </row>
        <row r="3316">
          <cell r="E3316" t="str">
            <v>B25016074</v>
          </cell>
          <cell r="AP3316">
            <v>0</v>
          </cell>
          <cell r="AQ3316">
            <v>0</v>
          </cell>
          <cell r="AV3316">
            <v>0</v>
          </cell>
        </row>
        <row r="3317">
          <cell r="E3317" t="str">
            <v>B25016744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T25001872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D26000340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B26000589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B26000664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D26000767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D26001109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D26001346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B26001518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B26001871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T25001684</v>
          </cell>
          <cell r="AP3327">
            <v>0</v>
          </cell>
          <cell r="AQ3327">
            <v>0</v>
          </cell>
          <cell r="AV3327">
            <v>0</v>
          </cell>
        </row>
        <row r="3328">
          <cell r="E3328" t="str">
            <v>Z25003200</v>
          </cell>
          <cell r="AP3328">
            <v>0</v>
          </cell>
          <cell r="AQ3328">
            <v>0</v>
          </cell>
          <cell r="AV3328">
            <v>0</v>
          </cell>
        </row>
        <row r="3329">
          <cell r="E3329" t="str">
            <v>Z25003359</v>
          </cell>
          <cell r="AP3329">
            <v>0</v>
          </cell>
          <cell r="AQ3329">
            <v>0</v>
          </cell>
          <cell r="AV3329">
            <v>0</v>
          </cell>
        </row>
        <row r="3330">
          <cell r="E3330" t="str">
            <v>Z25003386</v>
          </cell>
          <cell r="AP3330">
            <v>0</v>
          </cell>
          <cell r="AQ3330">
            <v>0</v>
          </cell>
          <cell r="AV3330">
            <v>0</v>
          </cell>
        </row>
        <row r="3331">
          <cell r="E3331" t="str">
            <v>Z25003387</v>
          </cell>
          <cell r="AP3331">
            <v>0</v>
          </cell>
          <cell r="AQ3331">
            <v>0</v>
          </cell>
          <cell r="AV3331">
            <v>0</v>
          </cell>
        </row>
        <row r="3332">
          <cell r="E3332" t="str">
            <v>Z25003396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Z26000002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Z26000015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Z26000028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Z26000032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Z26000059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Z26000064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Z26000067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Z26000075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Z26000076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Z26000090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Z26000099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Z26000107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Z26000113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Z26000114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Z26000134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Z26000141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Z26000156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Z26000171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Z26000179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Z26000183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Z26000184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Z26000185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Z26000187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Z26000190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Z26000196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Z26000223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Z26000224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Z26000248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Z26000251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Z26000253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Z26000254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Z26000289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Z26000294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Z26000301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Z260006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Z26000327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Z26000328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Z26000336</v>
          </cell>
          <cell r="AP3370">
            <v>0</v>
          </cell>
          <cell r="AQ3370">
            <v>0</v>
          </cell>
          <cell r="AV3370">
            <v>10375000</v>
          </cell>
        </row>
        <row r="3371">
          <cell r="E3371" t="str">
            <v>Z26000344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Z26000354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B26000613</v>
          </cell>
          <cell r="AP3373">
            <v>0</v>
          </cell>
          <cell r="AQ3373">
            <v>0</v>
          </cell>
          <cell r="AV3373">
            <v>0</v>
          </cell>
        </row>
        <row r="3374">
          <cell r="E3374" t="str">
            <v>B26001035</v>
          </cell>
          <cell r="AP3374">
            <v>0</v>
          </cell>
          <cell r="AQ3374">
            <v>0</v>
          </cell>
          <cell r="AV3374">
            <v>0</v>
          </cell>
        </row>
        <row r="3375">
          <cell r="E3375" t="str">
            <v>D26001531</v>
          </cell>
          <cell r="AP3375">
            <v>0</v>
          </cell>
          <cell r="AQ3375">
            <v>0</v>
          </cell>
          <cell r="AV3375">
            <v>0</v>
          </cell>
        </row>
        <row r="3376">
          <cell r="E3376" t="str">
            <v>B26001523</v>
          </cell>
          <cell r="AP3376">
            <v>0</v>
          </cell>
          <cell r="AQ3376">
            <v>0</v>
          </cell>
          <cell r="AV3376">
            <v>0</v>
          </cell>
        </row>
        <row r="3377">
          <cell r="E3377" t="str">
            <v>B26000797</v>
          </cell>
          <cell r="AP3377">
            <v>0</v>
          </cell>
          <cell r="AQ3377">
            <v>0</v>
          </cell>
          <cell r="AV3377">
            <v>0</v>
          </cell>
        </row>
        <row r="3378">
          <cell r="E3378" t="str">
            <v>B26001396</v>
          </cell>
          <cell r="AP3378">
            <v>0</v>
          </cell>
          <cell r="AQ3378">
            <v>0</v>
          </cell>
          <cell r="AV3378">
            <v>0</v>
          </cell>
        </row>
        <row r="3379">
          <cell r="E3379" t="str">
            <v>D26000187</v>
          </cell>
          <cell r="AP3379">
            <v>0</v>
          </cell>
          <cell r="AQ3379">
            <v>0</v>
          </cell>
          <cell r="AV3379">
            <v>38000000</v>
          </cell>
        </row>
        <row r="3380">
          <cell r="E3380" t="str">
            <v>D26001166</v>
          </cell>
          <cell r="AP3380">
            <v>0</v>
          </cell>
          <cell r="AQ3380">
            <v>0</v>
          </cell>
          <cell r="AV3380">
            <v>0</v>
          </cell>
        </row>
        <row r="3381">
          <cell r="E3381" t="str">
            <v>D26001903</v>
          </cell>
          <cell r="AP3381">
            <v>0</v>
          </cell>
          <cell r="AQ3381">
            <v>0</v>
          </cell>
          <cell r="AV3381">
            <v>0</v>
          </cell>
        </row>
        <row r="3382">
          <cell r="E3382" t="str">
            <v>D26000368</v>
          </cell>
          <cell r="AP3382">
            <v>0</v>
          </cell>
          <cell r="AQ3382">
            <v>0</v>
          </cell>
          <cell r="AV3382">
            <v>0</v>
          </cell>
        </row>
        <row r="3383">
          <cell r="E3383" t="str">
            <v>B26001617</v>
          </cell>
          <cell r="AP3383">
            <v>0</v>
          </cell>
          <cell r="AQ3383">
            <v>0</v>
          </cell>
          <cell r="AV3383">
            <v>0</v>
          </cell>
        </row>
        <row r="3384">
          <cell r="E3384" t="str">
            <v>D25017927</v>
          </cell>
          <cell r="AP3384">
            <v>0</v>
          </cell>
          <cell r="AQ3384">
            <v>0</v>
          </cell>
          <cell r="AV3384">
            <v>0</v>
          </cell>
        </row>
        <row r="3385">
          <cell r="E3385" t="str">
            <v>B26001933</v>
          </cell>
          <cell r="AP3385">
            <v>0</v>
          </cell>
          <cell r="AQ3385">
            <v>0</v>
          </cell>
          <cell r="AV3385">
            <v>0</v>
          </cell>
        </row>
        <row r="3386">
          <cell r="E3386" t="str">
            <v>B26001934</v>
          </cell>
          <cell r="AP3386">
            <v>0</v>
          </cell>
          <cell r="AQ3386">
            <v>0</v>
          </cell>
          <cell r="AV3386">
            <v>0</v>
          </cell>
        </row>
        <row r="3387">
          <cell r="E3387" t="str">
            <v>D25018875</v>
          </cell>
          <cell r="AP3387">
            <v>0</v>
          </cell>
          <cell r="AQ3387">
            <v>0</v>
          </cell>
          <cell r="AV3387">
            <v>0</v>
          </cell>
        </row>
        <row r="3388">
          <cell r="E3388" t="str">
            <v>B26000196</v>
          </cell>
          <cell r="AP3388">
            <v>0</v>
          </cell>
          <cell r="AQ3388">
            <v>0</v>
          </cell>
          <cell r="AV3388">
            <v>2675000</v>
          </cell>
        </row>
        <row r="3389">
          <cell r="E3389" t="str">
            <v>B26000236</v>
          </cell>
          <cell r="AP3389">
            <v>0</v>
          </cell>
          <cell r="AQ3389">
            <v>0</v>
          </cell>
          <cell r="AV3389">
            <v>0</v>
          </cell>
        </row>
        <row r="3390">
          <cell r="E3390" t="str">
            <v>B26001165</v>
          </cell>
          <cell r="AP3390">
            <v>0</v>
          </cell>
          <cell r="AQ3390">
            <v>0</v>
          </cell>
          <cell r="AV3390">
            <v>0</v>
          </cell>
        </row>
        <row r="3391">
          <cell r="E3391" t="str">
            <v>D25019027</v>
          </cell>
          <cell r="AP3391">
            <v>0</v>
          </cell>
          <cell r="AQ3391">
            <v>0</v>
          </cell>
          <cell r="AV3391">
            <v>14110000</v>
          </cell>
        </row>
        <row r="3392">
          <cell r="E3392" t="str">
            <v>D25019224</v>
          </cell>
          <cell r="AP3392">
            <v>0</v>
          </cell>
          <cell r="AQ3392">
            <v>0</v>
          </cell>
          <cell r="AV3392">
            <v>2625000</v>
          </cell>
        </row>
        <row r="3393">
          <cell r="E3393" t="str">
            <v>B25016888</v>
          </cell>
          <cell r="AP3393">
            <v>0</v>
          </cell>
          <cell r="AQ3393">
            <v>0</v>
          </cell>
          <cell r="AV3393">
            <v>3920000</v>
          </cell>
        </row>
        <row r="3394">
          <cell r="E3394" t="str">
            <v>B25016889</v>
          </cell>
          <cell r="AP3394">
            <v>0</v>
          </cell>
          <cell r="AQ3394">
            <v>0</v>
          </cell>
          <cell r="AV3394">
            <v>4957500</v>
          </cell>
        </row>
        <row r="3395">
          <cell r="E3395" t="str">
            <v>B25016891</v>
          </cell>
          <cell r="AP3395">
            <v>0</v>
          </cell>
          <cell r="AQ3395">
            <v>0</v>
          </cell>
          <cell r="AV3395">
            <v>10532000</v>
          </cell>
        </row>
        <row r="3396">
          <cell r="E3396" t="str">
            <v>B25016893</v>
          </cell>
          <cell r="AP3396">
            <v>0</v>
          </cell>
          <cell r="AQ3396">
            <v>0</v>
          </cell>
          <cell r="AV3396">
            <v>1355000</v>
          </cell>
        </row>
        <row r="3397">
          <cell r="E3397" t="str">
            <v>B25016900</v>
          </cell>
          <cell r="AP3397">
            <v>0</v>
          </cell>
          <cell r="AQ3397">
            <v>0</v>
          </cell>
          <cell r="AV3397">
            <v>408000</v>
          </cell>
        </row>
        <row r="3398">
          <cell r="E3398" t="str">
            <v>B26000098</v>
          </cell>
          <cell r="AP3398">
            <v>0</v>
          </cell>
          <cell r="AQ3398">
            <v>0</v>
          </cell>
          <cell r="AV3398">
            <v>0</v>
          </cell>
        </row>
        <row r="3399">
          <cell r="E3399" t="str">
            <v>B26000099</v>
          </cell>
          <cell r="AP3399">
            <v>0</v>
          </cell>
          <cell r="AQ3399">
            <v>0</v>
          </cell>
          <cell r="AV3399">
            <v>0</v>
          </cell>
        </row>
        <row r="3400">
          <cell r="E3400" t="str">
            <v>B26000100</v>
          </cell>
          <cell r="AP3400">
            <v>0</v>
          </cell>
          <cell r="AQ3400">
            <v>0</v>
          </cell>
          <cell r="AV3400">
            <v>0</v>
          </cell>
        </row>
        <row r="3401">
          <cell r="E3401" t="str">
            <v>B26000282</v>
          </cell>
          <cell r="AP3401">
            <v>0</v>
          </cell>
          <cell r="AQ3401">
            <v>0</v>
          </cell>
          <cell r="AV3401">
            <v>0</v>
          </cell>
        </row>
        <row r="3402">
          <cell r="E3402" t="str">
            <v>B26000283</v>
          </cell>
          <cell r="AP3402">
            <v>0</v>
          </cell>
          <cell r="AQ3402">
            <v>0</v>
          </cell>
          <cell r="AV3402">
            <v>0</v>
          </cell>
        </row>
        <row r="3403">
          <cell r="E3403" t="str">
            <v>B26000749</v>
          </cell>
          <cell r="AP3403">
            <v>0</v>
          </cell>
          <cell r="AQ3403">
            <v>0</v>
          </cell>
          <cell r="AV3403">
            <v>0</v>
          </cell>
        </row>
        <row r="3404">
          <cell r="E3404" t="str">
            <v>B26000750</v>
          </cell>
          <cell r="AP3404">
            <v>0</v>
          </cell>
          <cell r="AQ3404">
            <v>0</v>
          </cell>
          <cell r="AV3404">
            <v>0</v>
          </cell>
        </row>
        <row r="3405">
          <cell r="E3405" t="str">
            <v>B26000751</v>
          </cell>
          <cell r="AP3405">
            <v>0</v>
          </cell>
          <cell r="AQ3405">
            <v>0</v>
          </cell>
          <cell r="AV3405">
            <v>0</v>
          </cell>
        </row>
        <row r="3406">
          <cell r="E3406" t="str">
            <v>B26000752</v>
          </cell>
          <cell r="AP3406">
            <v>0</v>
          </cell>
          <cell r="AQ3406">
            <v>0</v>
          </cell>
          <cell r="AV3406">
            <v>0</v>
          </cell>
        </row>
        <row r="3407">
          <cell r="E3407" t="str">
            <v>B26000753</v>
          </cell>
          <cell r="AP3407">
            <v>0</v>
          </cell>
          <cell r="AQ3407">
            <v>0</v>
          </cell>
          <cell r="AV3407">
            <v>0</v>
          </cell>
        </row>
        <row r="3408">
          <cell r="E3408" t="str">
            <v>B26000988</v>
          </cell>
          <cell r="AP3408">
            <v>0</v>
          </cell>
          <cell r="AQ3408">
            <v>0</v>
          </cell>
          <cell r="AV3408">
            <v>0</v>
          </cell>
        </row>
        <row r="3409">
          <cell r="E3409" t="str">
            <v>D26001423</v>
          </cell>
          <cell r="AP3409">
            <v>0</v>
          </cell>
          <cell r="AQ3409">
            <v>0</v>
          </cell>
          <cell r="AV3409">
            <v>0</v>
          </cell>
        </row>
        <row r="3410">
          <cell r="E3410" t="str">
            <v>D26001424</v>
          </cell>
          <cell r="AP3410">
            <v>0</v>
          </cell>
          <cell r="AQ3410">
            <v>0</v>
          </cell>
          <cell r="AV3410">
            <v>0</v>
          </cell>
        </row>
        <row r="3411">
          <cell r="E3411" t="str">
            <v>B26001393</v>
          </cell>
          <cell r="AP3411">
            <v>0</v>
          </cell>
          <cell r="AQ3411">
            <v>0</v>
          </cell>
          <cell r="AV3411">
            <v>0</v>
          </cell>
        </row>
        <row r="3412">
          <cell r="E3412" t="str">
            <v>D26001847</v>
          </cell>
          <cell r="AP3412">
            <v>0</v>
          </cell>
          <cell r="AQ3412">
            <v>0</v>
          </cell>
          <cell r="AV3412">
            <v>0</v>
          </cell>
        </row>
        <row r="3413">
          <cell r="E3413" t="str">
            <v>D26001871</v>
          </cell>
          <cell r="AP3413">
            <v>0</v>
          </cell>
          <cell r="AQ3413">
            <v>0</v>
          </cell>
          <cell r="AV3413">
            <v>0</v>
          </cell>
        </row>
        <row r="3414">
          <cell r="E3414" t="str">
            <v>D26001906</v>
          </cell>
          <cell r="AP3414">
            <v>0</v>
          </cell>
          <cell r="AQ3414">
            <v>0</v>
          </cell>
          <cell r="AV3414">
            <v>0</v>
          </cell>
        </row>
        <row r="3415">
          <cell r="E3415" t="str">
            <v>D26001915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T25001704</v>
          </cell>
          <cell r="AP3416">
            <v>0</v>
          </cell>
          <cell r="AQ3416">
            <v>0</v>
          </cell>
          <cell r="AV3416">
            <v>1000000</v>
          </cell>
        </row>
        <row r="3417">
          <cell r="E3417" t="str">
            <v>T25001810</v>
          </cell>
          <cell r="AP3417">
            <v>0</v>
          </cell>
          <cell r="AQ3417">
            <v>0</v>
          </cell>
          <cell r="AV3417">
            <v>0</v>
          </cell>
        </row>
        <row r="3418">
          <cell r="E3418" t="str">
            <v>T25001813</v>
          </cell>
          <cell r="AP3418">
            <v>0</v>
          </cell>
          <cell r="AQ3418">
            <v>0</v>
          </cell>
          <cell r="AV3418">
            <v>0</v>
          </cell>
        </row>
        <row r="3419">
          <cell r="E3419" t="str">
            <v>T26000127</v>
          </cell>
          <cell r="AP3419">
            <v>0</v>
          </cell>
          <cell r="AQ3419">
            <v>0</v>
          </cell>
          <cell r="AV3419">
            <v>0</v>
          </cell>
        </row>
        <row r="3420">
          <cell r="E3420" t="str">
            <v>T26000128</v>
          </cell>
          <cell r="AP3420">
            <v>0</v>
          </cell>
          <cell r="AQ3420">
            <v>0</v>
          </cell>
          <cell r="AV3420">
            <v>0</v>
          </cell>
        </row>
        <row r="3421">
          <cell r="E3421" t="str">
            <v>Z25003043</v>
          </cell>
          <cell r="AP3421">
            <v>0</v>
          </cell>
          <cell r="AQ3421">
            <v>0</v>
          </cell>
          <cell r="AV3421">
            <v>0</v>
          </cell>
        </row>
        <row r="3422">
          <cell r="E3422" t="str">
            <v>Z25003090</v>
          </cell>
          <cell r="AP3422">
            <v>0</v>
          </cell>
          <cell r="AQ3422">
            <v>0</v>
          </cell>
          <cell r="AV3422">
            <v>0</v>
          </cell>
        </row>
        <row r="3423">
          <cell r="E3423" t="str">
            <v>Z25003155</v>
          </cell>
          <cell r="AP3423">
            <v>0</v>
          </cell>
          <cell r="AQ3423">
            <v>0</v>
          </cell>
          <cell r="AV3423">
            <v>0</v>
          </cell>
        </row>
        <row r="3424">
          <cell r="E3424" t="str">
            <v>Z25003160</v>
          </cell>
          <cell r="AP3424">
            <v>0</v>
          </cell>
          <cell r="AQ3424">
            <v>0</v>
          </cell>
          <cell r="AV3424">
            <v>0</v>
          </cell>
        </row>
        <row r="3425">
          <cell r="E3425" t="str">
            <v>Z25003231</v>
          </cell>
          <cell r="AP3425">
            <v>0</v>
          </cell>
          <cell r="AQ3425">
            <v>0</v>
          </cell>
          <cell r="AV3425">
            <v>0</v>
          </cell>
        </row>
        <row r="3426">
          <cell r="E3426" t="str">
            <v>Z26000132</v>
          </cell>
          <cell r="AP3426">
            <v>0</v>
          </cell>
          <cell r="AQ3426">
            <v>0</v>
          </cell>
          <cell r="AV3426">
            <v>0</v>
          </cell>
        </row>
        <row r="3427">
          <cell r="E3427" t="str">
            <v>Z26000165</v>
          </cell>
          <cell r="AP3427">
            <v>0</v>
          </cell>
          <cell r="AQ3427">
            <v>0</v>
          </cell>
          <cell r="AV3427">
            <v>0</v>
          </cell>
        </row>
        <row r="3428">
          <cell r="E3428" t="str">
            <v>Z26000295</v>
          </cell>
          <cell r="AP3428">
            <v>0</v>
          </cell>
          <cell r="AQ3428">
            <v>0</v>
          </cell>
          <cell r="AV3428">
            <v>0</v>
          </cell>
        </row>
        <row r="3429">
          <cell r="E3429" t="str">
            <v>B25017064</v>
          </cell>
          <cell r="AP3429">
            <v>0</v>
          </cell>
          <cell r="AQ3429">
            <v>0</v>
          </cell>
          <cell r="AV3429">
            <v>0</v>
          </cell>
        </row>
        <row r="3430">
          <cell r="E3430" t="str">
            <v>B25017065</v>
          </cell>
          <cell r="AP3430">
            <v>0</v>
          </cell>
          <cell r="AQ3430">
            <v>0</v>
          </cell>
          <cell r="AV3430">
            <v>0</v>
          </cell>
        </row>
        <row r="3431">
          <cell r="E3431" t="str">
            <v>D25019700</v>
          </cell>
          <cell r="AP3431">
            <v>0</v>
          </cell>
          <cell r="AQ3431">
            <v>0</v>
          </cell>
          <cell r="AV3431">
            <v>0</v>
          </cell>
        </row>
        <row r="3432">
          <cell r="E3432" t="str">
            <v>D26000005</v>
          </cell>
          <cell r="AP3432">
            <v>0</v>
          </cell>
          <cell r="AQ3432">
            <v>0</v>
          </cell>
          <cell r="AV3432">
            <v>0</v>
          </cell>
        </row>
        <row r="3433">
          <cell r="E3433" t="str">
            <v>D26001014</v>
          </cell>
          <cell r="AP3433">
            <v>0</v>
          </cell>
          <cell r="AQ3433">
            <v>0</v>
          </cell>
          <cell r="AV3433">
            <v>0</v>
          </cell>
        </row>
        <row r="3434">
          <cell r="E3434" t="str">
            <v>B26001940</v>
          </cell>
          <cell r="AP3434">
            <v>0</v>
          </cell>
          <cell r="AQ3434">
            <v>0</v>
          </cell>
          <cell r="AV3434">
            <v>0</v>
          </cell>
        </row>
        <row r="3435">
          <cell r="E3435" t="str">
            <v>D25017673</v>
          </cell>
          <cell r="AP3435">
            <v>0</v>
          </cell>
          <cell r="AQ3435">
            <v>0</v>
          </cell>
          <cell r="AV3435">
            <v>0</v>
          </cell>
        </row>
        <row r="3436">
          <cell r="E3436" t="str">
            <v>B26001151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B26001152</v>
          </cell>
          <cell r="AP3437">
            <v>0</v>
          </cell>
          <cell r="AQ3437">
            <v>0</v>
          </cell>
          <cell r="AV3437">
            <v>0</v>
          </cell>
        </row>
        <row r="3438">
          <cell r="E3438" t="str">
            <v>B26000491</v>
          </cell>
          <cell r="AP3438">
            <v>0</v>
          </cell>
          <cell r="AQ3438">
            <v>0</v>
          </cell>
          <cell r="AV3438">
            <v>0</v>
          </cell>
        </row>
        <row r="3439">
          <cell r="E3439" t="str">
            <v>B26001583</v>
          </cell>
          <cell r="AP3439">
            <v>0</v>
          </cell>
          <cell r="AQ3439">
            <v>0</v>
          </cell>
          <cell r="AV3439">
            <v>0</v>
          </cell>
        </row>
        <row r="3440">
          <cell r="E3440" t="str">
            <v>B26001701</v>
          </cell>
          <cell r="AP3440">
            <v>0</v>
          </cell>
          <cell r="AQ3440">
            <v>0</v>
          </cell>
          <cell r="AV3440">
            <v>0</v>
          </cell>
        </row>
        <row r="3441">
          <cell r="E3441" t="str">
            <v>T26000039</v>
          </cell>
          <cell r="AP3441">
            <v>0</v>
          </cell>
          <cell r="AQ3441">
            <v>0</v>
          </cell>
          <cell r="AV3441">
            <v>0</v>
          </cell>
        </row>
        <row r="3442">
          <cell r="E3442" t="str">
            <v>B26000251</v>
          </cell>
          <cell r="AP3442">
            <v>0</v>
          </cell>
          <cell r="AQ3442">
            <v>0</v>
          </cell>
          <cell r="AV3442">
            <v>0</v>
          </cell>
        </row>
        <row r="3443">
          <cell r="E3443" t="str">
            <v>D25017355</v>
          </cell>
          <cell r="AP3443">
            <v>0</v>
          </cell>
          <cell r="AQ3443">
            <v>0</v>
          </cell>
          <cell r="AV3443">
            <v>0</v>
          </cell>
        </row>
        <row r="3444">
          <cell r="E3444" t="str">
            <v>D25017877</v>
          </cell>
          <cell r="AP3444">
            <v>0</v>
          </cell>
          <cell r="AQ3444">
            <v>0</v>
          </cell>
          <cell r="AV3444">
            <v>0</v>
          </cell>
        </row>
        <row r="3445">
          <cell r="E3445" t="str">
            <v>T25001788</v>
          </cell>
          <cell r="AP3445">
            <v>0</v>
          </cell>
          <cell r="AQ3445">
            <v>0</v>
          </cell>
          <cell r="AV3445">
            <v>0</v>
          </cell>
        </row>
        <row r="3446">
          <cell r="E3446" t="str">
            <v>B26000020</v>
          </cell>
          <cell r="AP3446">
            <v>0</v>
          </cell>
          <cell r="AQ3446">
            <v>0</v>
          </cell>
          <cell r="AV3446">
            <v>0</v>
          </cell>
        </row>
        <row r="3447">
          <cell r="E3447" t="str">
            <v>D26000163</v>
          </cell>
          <cell r="AP3447">
            <v>0</v>
          </cell>
          <cell r="AQ3447">
            <v>0</v>
          </cell>
          <cell r="AV3447">
            <v>0</v>
          </cell>
        </row>
        <row r="3448">
          <cell r="E3448" t="str">
            <v>B26000199</v>
          </cell>
          <cell r="AP3448">
            <v>0</v>
          </cell>
          <cell r="AQ3448">
            <v>0</v>
          </cell>
          <cell r="AV3448">
            <v>0</v>
          </cell>
        </row>
        <row r="3449">
          <cell r="E3449" t="str">
            <v>B26000279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D26000286</v>
          </cell>
          <cell r="AP3450">
            <v>0</v>
          </cell>
          <cell r="AQ3450">
            <v>0</v>
          </cell>
          <cell r="AV3450">
            <v>0</v>
          </cell>
        </row>
        <row r="3451">
          <cell r="E3451" t="str">
            <v>D26000287</v>
          </cell>
          <cell r="AP3451">
            <v>0</v>
          </cell>
          <cell r="AQ3451">
            <v>0</v>
          </cell>
          <cell r="AV3451">
            <v>0</v>
          </cell>
        </row>
        <row r="3452">
          <cell r="E3452" t="str">
            <v>D26000295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B26000368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B26000477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B26000506</v>
          </cell>
          <cell r="AP3455">
            <v>0</v>
          </cell>
          <cell r="AQ3455">
            <v>0</v>
          </cell>
          <cell r="AV3455">
            <v>0</v>
          </cell>
        </row>
        <row r="3456">
          <cell r="E3456" t="str">
            <v>D26000803</v>
          </cell>
          <cell r="AP3456">
            <v>0</v>
          </cell>
          <cell r="AQ3456">
            <v>0</v>
          </cell>
          <cell r="AV3456">
            <v>0</v>
          </cell>
        </row>
        <row r="3457">
          <cell r="E3457" t="str">
            <v>D26000856</v>
          </cell>
          <cell r="AP3457">
            <v>0</v>
          </cell>
          <cell r="AQ3457">
            <v>0</v>
          </cell>
          <cell r="AV3457">
            <v>0</v>
          </cell>
        </row>
        <row r="3458">
          <cell r="E3458" t="str">
            <v>B26000936</v>
          </cell>
          <cell r="AP3458">
            <v>0</v>
          </cell>
          <cell r="AQ3458">
            <v>0</v>
          </cell>
          <cell r="AV3458">
            <v>0</v>
          </cell>
        </row>
        <row r="3459">
          <cell r="E3459" t="str">
            <v>D26001023</v>
          </cell>
          <cell r="AP3459">
            <v>0</v>
          </cell>
          <cell r="AQ3459">
            <v>0</v>
          </cell>
          <cell r="AV3459">
            <v>0</v>
          </cell>
        </row>
        <row r="3460">
          <cell r="E3460" t="str">
            <v>D26001089</v>
          </cell>
          <cell r="AP3460">
            <v>0</v>
          </cell>
          <cell r="AQ3460">
            <v>0</v>
          </cell>
          <cell r="AV3460">
            <v>0</v>
          </cell>
        </row>
        <row r="3461">
          <cell r="E3461" t="str">
            <v>D26001213</v>
          </cell>
          <cell r="AP3461">
            <v>0</v>
          </cell>
          <cell r="AQ3461">
            <v>0</v>
          </cell>
          <cell r="AV3461">
            <v>0</v>
          </cell>
        </row>
        <row r="3462">
          <cell r="E3462" t="str">
            <v>D26001282</v>
          </cell>
          <cell r="AP3462">
            <v>0</v>
          </cell>
          <cell r="AQ3462">
            <v>0</v>
          </cell>
          <cell r="AV3462">
            <v>0</v>
          </cell>
        </row>
        <row r="3463">
          <cell r="E3463" t="str">
            <v>B26001392</v>
          </cell>
          <cell r="AP3463">
            <v>0</v>
          </cell>
          <cell r="AQ3463">
            <v>0</v>
          </cell>
          <cell r="AV3463">
            <v>0</v>
          </cell>
        </row>
        <row r="3464">
          <cell r="E3464" t="str">
            <v>D26001449</v>
          </cell>
          <cell r="AP3464">
            <v>0</v>
          </cell>
          <cell r="AQ3464">
            <v>0</v>
          </cell>
          <cell r="AV3464">
            <v>0</v>
          </cell>
        </row>
        <row r="3465">
          <cell r="E3465" t="str">
            <v>B26001503</v>
          </cell>
          <cell r="AP3465">
            <v>0</v>
          </cell>
          <cell r="AQ3465">
            <v>0</v>
          </cell>
          <cell r="AV3465">
            <v>0</v>
          </cell>
        </row>
        <row r="3466">
          <cell r="E3466" t="str">
            <v>D26001783</v>
          </cell>
          <cell r="AP3466">
            <v>0</v>
          </cell>
          <cell r="AQ3466">
            <v>0</v>
          </cell>
          <cell r="AV3466">
            <v>0</v>
          </cell>
        </row>
        <row r="3467">
          <cell r="E3467" t="str">
            <v>D26001784</v>
          </cell>
          <cell r="AP3467">
            <v>0</v>
          </cell>
          <cell r="AQ3467">
            <v>0</v>
          </cell>
          <cell r="AV3467">
            <v>0</v>
          </cell>
        </row>
        <row r="3468">
          <cell r="E3468" t="str">
            <v>D26001992</v>
          </cell>
          <cell r="AP3468">
            <v>0</v>
          </cell>
          <cell r="AQ3468">
            <v>0</v>
          </cell>
          <cell r="AV3468">
            <v>0</v>
          </cell>
        </row>
        <row r="3469">
          <cell r="E3469" t="str">
            <v>D26001707</v>
          </cell>
          <cell r="AP3469">
            <v>0</v>
          </cell>
          <cell r="AQ3469">
            <v>0</v>
          </cell>
          <cell r="AV3469">
            <v>1480000</v>
          </cell>
        </row>
        <row r="3470">
          <cell r="E3470" t="str">
            <v>B26000256</v>
          </cell>
          <cell r="AP3470">
            <v>0</v>
          </cell>
          <cell r="AQ3470">
            <v>0</v>
          </cell>
          <cell r="AV3470">
            <v>0</v>
          </cell>
        </row>
        <row r="3471">
          <cell r="E3471" t="str">
            <v>B26000257</v>
          </cell>
          <cell r="AP3471">
            <v>0</v>
          </cell>
          <cell r="AQ3471">
            <v>0</v>
          </cell>
          <cell r="AV3471">
            <v>0</v>
          </cell>
        </row>
        <row r="3472">
          <cell r="E3472" t="str">
            <v>D26000318</v>
          </cell>
          <cell r="AP3472">
            <v>0</v>
          </cell>
          <cell r="AQ3472">
            <v>0</v>
          </cell>
          <cell r="AV3472">
            <v>0</v>
          </cell>
        </row>
        <row r="3473">
          <cell r="E3473" t="str">
            <v>D26000480</v>
          </cell>
          <cell r="AP3473">
            <v>0</v>
          </cell>
          <cell r="AQ3473">
            <v>0</v>
          </cell>
          <cell r="AV3473">
            <v>0</v>
          </cell>
        </row>
        <row r="3474">
          <cell r="E3474" t="str">
            <v>B26000619</v>
          </cell>
          <cell r="AP3474">
            <v>0</v>
          </cell>
          <cell r="AQ3474">
            <v>0</v>
          </cell>
          <cell r="AV3474">
            <v>0</v>
          </cell>
        </row>
        <row r="3475">
          <cell r="E3475" t="str">
            <v>D26000685</v>
          </cell>
          <cell r="AP3475">
            <v>0</v>
          </cell>
          <cell r="AQ3475">
            <v>0</v>
          </cell>
          <cell r="AV3475">
            <v>0</v>
          </cell>
        </row>
        <row r="3476">
          <cell r="E3476" t="str">
            <v>D26000693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Z26000252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D25015709</v>
          </cell>
          <cell r="AP3478">
            <v>0</v>
          </cell>
          <cell r="AQ3478">
            <v>0</v>
          </cell>
          <cell r="AV3478">
            <v>10000000</v>
          </cell>
        </row>
        <row r="3479">
          <cell r="E3479" t="str">
            <v>B25014743</v>
          </cell>
          <cell r="AP3479">
            <v>0</v>
          </cell>
          <cell r="AQ3479">
            <v>0</v>
          </cell>
          <cell r="AV3479">
            <v>13060000</v>
          </cell>
        </row>
        <row r="3480">
          <cell r="E3480" t="str">
            <v>D25017479</v>
          </cell>
          <cell r="AP3480">
            <v>0</v>
          </cell>
          <cell r="AQ3480">
            <v>0</v>
          </cell>
          <cell r="AV3480">
            <v>0</v>
          </cell>
        </row>
        <row r="3481">
          <cell r="E3481" t="str">
            <v>D25018020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D25018021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D25018022</v>
          </cell>
          <cell r="AP3483">
            <v>0</v>
          </cell>
          <cell r="AQ3483">
            <v>0</v>
          </cell>
          <cell r="AV3483">
            <v>0</v>
          </cell>
        </row>
        <row r="3484">
          <cell r="E3484" t="str">
            <v>B25015872</v>
          </cell>
          <cell r="AP3484">
            <v>0</v>
          </cell>
          <cell r="AQ3484">
            <v>0</v>
          </cell>
          <cell r="AV3484">
            <v>0</v>
          </cell>
        </row>
        <row r="3485">
          <cell r="E3485" t="str">
            <v>B25015919</v>
          </cell>
          <cell r="AP3485">
            <v>0</v>
          </cell>
          <cell r="AQ3485">
            <v>0</v>
          </cell>
          <cell r="AV3485">
            <v>0</v>
          </cell>
        </row>
        <row r="3486">
          <cell r="E3486" t="str">
            <v>B25015920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B25015979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B25016020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B25016321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B25016322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B25016356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B25016719</v>
          </cell>
          <cell r="AP3492">
            <v>0</v>
          </cell>
          <cell r="AQ3492">
            <v>0</v>
          </cell>
          <cell r="AV3492">
            <v>0</v>
          </cell>
        </row>
        <row r="3493">
          <cell r="E3493" t="str">
            <v>T25001870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B25016949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D25019456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B25017120</v>
          </cell>
          <cell r="AP3496">
            <v>0</v>
          </cell>
          <cell r="AQ3496">
            <v>0</v>
          </cell>
          <cell r="AV3496">
            <v>0</v>
          </cell>
        </row>
        <row r="3497">
          <cell r="E3497" t="str">
            <v>D25019687</v>
          </cell>
          <cell r="AP3497">
            <v>0</v>
          </cell>
          <cell r="AQ3497">
            <v>0</v>
          </cell>
          <cell r="AV3497">
            <v>0</v>
          </cell>
        </row>
        <row r="3498">
          <cell r="E3498" t="str">
            <v>D26000526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 t="str">
            <v>D26000793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D26000794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 t="str">
            <v>B26000762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B26000763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B26000789</v>
          </cell>
          <cell r="AP3503">
            <v>0</v>
          </cell>
          <cell r="AQ3503">
            <v>0</v>
          </cell>
          <cell r="AV3503">
            <v>0</v>
          </cell>
        </row>
        <row r="3504">
          <cell r="E3504" t="str">
            <v>B26001310</v>
          </cell>
          <cell r="AP3504">
            <v>0</v>
          </cell>
          <cell r="AQ3504">
            <v>0</v>
          </cell>
          <cell r="AV3504">
            <v>0</v>
          </cell>
        </row>
        <row r="3505">
          <cell r="E3505" t="str">
            <v>B26001316</v>
          </cell>
          <cell r="AP3505">
            <v>0</v>
          </cell>
          <cell r="AQ3505">
            <v>0</v>
          </cell>
          <cell r="AV3505">
            <v>0</v>
          </cell>
        </row>
        <row r="3506">
          <cell r="E3506" t="str">
            <v>D26001513</v>
          </cell>
          <cell r="AP3506">
            <v>0</v>
          </cell>
          <cell r="AQ3506">
            <v>0</v>
          </cell>
          <cell r="AV3506">
            <v>0</v>
          </cell>
        </row>
        <row r="3507">
          <cell r="E3507" t="str">
            <v>B26001625</v>
          </cell>
          <cell r="AP3507">
            <v>0</v>
          </cell>
          <cell r="AQ3507">
            <v>0</v>
          </cell>
          <cell r="AV3507">
            <v>0</v>
          </cell>
        </row>
        <row r="3508">
          <cell r="E3508" t="str">
            <v>B26001648</v>
          </cell>
          <cell r="AP3508">
            <v>0</v>
          </cell>
          <cell r="AQ3508">
            <v>0</v>
          </cell>
          <cell r="AV3508">
            <v>0</v>
          </cell>
        </row>
        <row r="3509">
          <cell r="E3509" t="str">
            <v>D26001764</v>
          </cell>
          <cell r="AP3509">
            <v>0</v>
          </cell>
          <cell r="AQ3509">
            <v>0</v>
          </cell>
          <cell r="AV3509">
            <v>0</v>
          </cell>
        </row>
        <row r="3510">
          <cell r="E3510" t="str">
            <v>D26001893</v>
          </cell>
          <cell r="AP3510">
            <v>0</v>
          </cell>
          <cell r="AQ3510">
            <v>0</v>
          </cell>
          <cell r="AV3510">
            <v>0</v>
          </cell>
        </row>
        <row r="3511">
          <cell r="E3511" t="str">
            <v>D26002056</v>
          </cell>
          <cell r="AP3511">
            <v>0</v>
          </cell>
          <cell r="AQ3511">
            <v>0</v>
          </cell>
          <cell r="AV3511">
            <v>0</v>
          </cell>
        </row>
        <row r="3512">
          <cell r="E3512" t="str">
            <v>T26000085</v>
          </cell>
          <cell r="AP3512">
            <v>0</v>
          </cell>
          <cell r="AQ3512">
            <v>0</v>
          </cell>
          <cell r="AV3512">
            <v>0</v>
          </cell>
        </row>
        <row r="3513">
          <cell r="E3513" t="str">
            <v>D26001736</v>
          </cell>
          <cell r="AP3513">
            <v>0</v>
          </cell>
          <cell r="AQ3513">
            <v>0</v>
          </cell>
          <cell r="AV3513">
            <v>0</v>
          </cell>
        </row>
        <row r="3514">
          <cell r="E3514" t="str">
            <v>T25001809</v>
          </cell>
          <cell r="AP3514">
            <v>0</v>
          </cell>
          <cell r="AQ3514">
            <v>0</v>
          </cell>
          <cell r="AV3514">
            <v>5100000</v>
          </cell>
        </row>
        <row r="3515">
          <cell r="E3515" t="str">
            <v>D25018352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B26000071</v>
          </cell>
          <cell r="AP3516">
            <v>0</v>
          </cell>
          <cell r="AQ3516">
            <v>0</v>
          </cell>
          <cell r="AV3516">
            <v>8700000</v>
          </cell>
        </row>
        <row r="3517">
          <cell r="E3517" t="str">
            <v>D26000107</v>
          </cell>
          <cell r="AP3517">
            <v>0</v>
          </cell>
          <cell r="AQ3517">
            <v>0</v>
          </cell>
          <cell r="AV3517">
            <v>5700000</v>
          </cell>
        </row>
        <row r="3518">
          <cell r="E3518" t="str">
            <v>B26000208</v>
          </cell>
          <cell r="AP3518">
            <v>0</v>
          </cell>
          <cell r="AQ3518">
            <v>0</v>
          </cell>
          <cell r="AV3518">
            <v>30230000</v>
          </cell>
        </row>
        <row r="3519">
          <cell r="E3519" t="str">
            <v>D26000269</v>
          </cell>
          <cell r="AP3519">
            <v>0</v>
          </cell>
          <cell r="AQ3519">
            <v>0</v>
          </cell>
          <cell r="AV3519">
            <v>137500000</v>
          </cell>
        </row>
        <row r="3520">
          <cell r="E3520" t="str">
            <v>D26000433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D26000434</v>
          </cell>
          <cell r="AP3521">
            <v>0</v>
          </cell>
          <cell r="AQ3521">
            <v>0</v>
          </cell>
          <cell r="AV3521">
            <v>0</v>
          </cell>
        </row>
        <row r="3522">
          <cell r="E3522" t="str">
            <v>D26000478</v>
          </cell>
          <cell r="AP3522">
            <v>0</v>
          </cell>
          <cell r="AQ3522">
            <v>0</v>
          </cell>
          <cell r="AV3522">
            <v>0</v>
          </cell>
        </row>
        <row r="3523">
          <cell r="E3523" t="str">
            <v>D26000479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D26000530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D26000576</v>
          </cell>
          <cell r="AP3525">
            <v>0</v>
          </cell>
          <cell r="AQ3525">
            <v>0</v>
          </cell>
          <cell r="AV3525">
            <v>0</v>
          </cell>
        </row>
        <row r="3526">
          <cell r="E3526" t="str">
            <v>B26000654</v>
          </cell>
          <cell r="AP3526">
            <v>0</v>
          </cell>
          <cell r="AQ3526">
            <v>0</v>
          </cell>
          <cell r="AV3526">
            <v>0</v>
          </cell>
        </row>
        <row r="3527">
          <cell r="E3527" t="str">
            <v>D26000717</v>
          </cell>
          <cell r="AP3527">
            <v>0</v>
          </cell>
          <cell r="AQ3527">
            <v>0</v>
          </cell>
          <cell r="AV3527">
            <v>0</v>
          </cell>
        </row>
        <row r="3528">
          <cell r="E3528" t="str">
            <v>D26000720</v>
          </cell>
          <cell r="AP3528">
            <v>0</v>
          </cell>
          <cell r="AQ3528">
            <v>0</v>
          </cell>
          <cell r="AV3528">
            <v>0</v>
          </cell>
        </row>
        <row r="3529">
          <cell r="E3529" t="str">
            <v>D26000740</v>
          </cell>
          <cell r="AP3529">
            <v>0</v>
          </cell>
          <cell r="AQ3529">
            <v>0</v>
          </cell>
          <cell r="AV3529">
            <v>0</v>
          </cell>
        </row>
        <row r="3530">
          <cell r="E3530" t="str">
            <v>D26000967</v>
          </cell>
          <cell r="AP3530">
            <v>0</v>
          </cell>
          <cell r="AQ3530">
            <v>0</v>
          </cell>
          <cell r="AV3530">
            <v>0</v>
          </cell>
        </row>
        <row r="3531">
          <cell r="E3531" t="str">
            <v>D26000968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B26001048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D26001069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B26001108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D26001173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B26001171</v>
          </cell>
          <cell r="AP3536">
            <v>0</v>
          </cell>
          <cell r="AQ3536">
            <v>0</v>
          </cell>
          <cell r="AV3536">
            <v>0</v>
          </cell>
        </row>
        <row r="3537">
          <cell r="E3537" t="str">
            <v>D26001725</v>
          </cell>
          <cell r="AP3537">
            <v>0</v>
          </cell>
          <cell r="AQ3537">
            <v>0</v>
          </cell>
          <cell r="AV3537">
            <v>0</v>
          </cell>
        </row>
        <row r="3538">
          <cell r="E3538" t="str">
            <v>D26001726</v>
          </cell>
          <cell r="AP3538">
            <v>0</v>
          </cell>
          <cell r="AQ3538">
            <v>0</v>
          </cell>
          <cell r="AV3538">
            <v>0</v>
          </cell>
        </row>
        <row r="3539">
          <cell r="E3539" t="str">
            <v>D26001728</v>
          </cell>
          <cell r="AP3539">
            <v>0</v>
          </cell>
          <cell r="AQ3539">
            <v>0</v>
          </cell>
          <cell r="AV3539">
            <v>0</v>
          </cell>
        </row>
        <row r="3540">
          <cell r="E3540" t="str">
            <v>B26001713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D26001891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B26001884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D26000001</v>
          </cell>
          <cell r="AP3543">
            <v>0</v>
          </cell>
          <cell r="AQ3543">
            <v>0</v>
          </cell>
          <cell r="AV3543">
            <v>0</v>
          </cell>
        </row>
        <row r="3544">
          <cell r="E3544" t="str">
            <v>B26000904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D25018828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D25018922</v>
          </cell>
          <cell r="AP3546">
            <v>0</v>
          </cell>
          <cell r="AQ3546">
            <v>0</v>
          </cell>
          <cell r="AV3546">
            <v>0</v>
          </cell>
        </row>
        <row r="3547">
          <cell r="E3547" t="str">
            <v>B25017069</v>
          </cell>
          <cell r="AP3547">
            <v>0</v>
          </cell>
          <cell r="AQ3547">
            <v>0</v>
          </cell>
          <cell r="AV3547">
            <v>0</v>
          </cell>
        </row>
        <row r="3548">
          <cell r="E3548" t="str">
            <v>D26000058</v>
          </cell>
          <cell r="AP3548">
            <v>0</v>
          </cell>
          <cell r="AQ3548">
            <v>0</v>
          </cell>
          <cell r="AV3548">
            <v>0</v>
          </cell>
        </row>
        <row r="3549">
          <cell r="E3549" t="str">
            <v>B26000793</v>
          </cell>
          <cell r="AP3549">
            <v>0</v>
          </cell>
          <cell r="AQ3549">
            <v>0</v>
          </cell>
          <cell r="AV3549">
            <v>0</v>
          </cell>
        </row>
        <row r="3550">
          <cell r="E3550" t="str">
            <v>D26000841</v>
          </cell>
          <cell r="AP3550">
            <v>0</v>
          </cell>
          <cell r="AQ3550">
            <v>0</v>
          </cell>
          <cell r="AV3550">
            <v>0</v>
          </cell>
        </row>
        <row r="3551">
          <cell r="E3551" t="str">
            <v>D25016708</v>
          </cell>
          <cell r="AP3551">
            <v>0</v>
          </cell>
          <cell r="AQ3551">
            <v>0</v>
          </cell>
          <cell r="AV3551">
            <v>19000000</v>
          </cell>
        </row>
        <row r="3552">
          <cell r="E3552" t="str">
            <v>D25016757</v>
          </cell>
          <cell r="AP3552">
            <v>0</v>
          </cell>
          <cell r="AQ3552">
            <v>0</v>
          </cell>
          <cell r="AV3552">
            <v>21820000</v>
          </cell>
        </row>
        <row r="3553">
          <cell r="E3553" t="str">
            <v>D25016775</v>
          </cell>
          <cell r="AP3553">
            <v>0</v>
          </cell>
          <cell r="AQ3553">
            <v>0</v>
          </cell>
          <cell r="AV3553">
            <v>33750000</v>
          </cell>
        </row>
        <row r="3554">
          <cell r="E3554" t="str">
            <v>D25016810</v>
          </cell>
          <cell r="AP3554">
            <v>0</v>
          </cell>
          <cell r="AQ3554">
            <v>0</v>
          </cell>
          <cell r="AV3554">
            <v>63432000</v>
          </cell>
        </row>
        <row r="3555">
          <cell r="E3555" t="str">
            <v>D25017225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 t="str">
            <v>D25017226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 t="str">
            <v>B25015513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B25015514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B25015515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D25018069</v>
          </cell>
          <cell r="AP3560">
            <v>0</v>
          </cell>
          <cell r="AQ3560">
            <v>0</v>
          </cell>
          <cell r="AV3560">
            <v>11964000</v>
          </cell>
        </row>
        <row r="3561">
          <cell r="E3561" t="str">
            <v>B25015835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B25016212</v>
          </cell>
          <cell r="AP3562">
            <v>0</v>
          </cell>
          <cell r="AQ3562">
            <v>0</v>
          </cell>
          <cell r="AV3562">
            <v>21614000</v>
          </cell>
        </row>
        <row r="3563">
          <cell r="E3563" t="str">
            <v>B25016213</v>
          </cell>
          <cell r="AP3563">
            <v>0</v>
          </cell>
          <cell r="AQ3563">
            <v>0</v>
          </cell>
          <cell r="AV3563">
            <v>49260000</v>
          </cell>
        </row>
        <row r="3564">
          <cell r="E3564" t="str">
            <v>B25016214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D25018682</v>
          </cell>
          <cell r="AP3565">
            <v>0</v>
          </cell>
          <cell r="AQ3565">
            <v>0</v>
          </cell>
          <cell r="AV3565">
            <v>29160000</v>
          </cell>
        </row>
        <row r="3566">
          <cell r="E3566" t="str">
            <v>D25018981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D25018982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B25016652</v>
          </cell>
          <cell r="AP3568">
            <v>0</v>
          </cell>
          <cell r="AQ3568">
            <v>0</v>
          </cell>
          <cell r="AV3568">
            <v>0</v>
          </cell>
        </row>
        <row r="3569">
          <cell r="E3569" t="str">
            <v>D25019404</v>
          </cell>
          <cell r="AP3569">
            <v>0</v>
          </cell>
          <cell r="AQ3569">
            <v>0</v>
          </cell>
          <cell r="AV3569">
            <v>0</v>
          </cell>
        </row>
        <row r="3570">
          <cell r="E3570" t="str">
            <v>D25019412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B25016948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B26000518</v>
          </cell>
          <cell r="AP3572">
            <v>0</v>
          </cell>
          <cell r="AQ3572">
            <v>0</v>
          </cell>
          <cell r="AV3572">
            <v>0</v>
          </cell>
        </row>
        <row r="3573">
          <cell r="E3573" t="str">
            <v>B26001491</v>
          </cell>
          <cell r="AP3573">
            <v>0</v>
          </cell>
          <cell r="AQ3573">
            <v>0</v>
          </cell>
          <cell r="AV3573">
            <v>55500000</v>
          </cell>
        </row>
        <row r="3574">
          <cell r="E3574" t="str">
            <v>B26001513</v>
          </cell>
          <cell r="AP3574">
            <v>0</v>
          </cell>
          <cell r="AQ3574">
            <v>0</v>
          </cell>
          <cell r="AV3574">
            <v>55860000</v>
          </cell>
        </row>
        <row r="3575">
          <cell r="E3575" t="str">
            <v>D26001987</v>
          </cell>
          <cell r="AP3575">
            <v>0</v>
          </cell>
          <cell r="AQ3575">
            <v>0</v>
          </cell>
          <cell r="AV3575">
            <v>0</v>
          </cell>
        </row>
        <row r="3576">
          <cell r="E3576" t="str">
            <v>D26000290</v>
          </cell>
          <cell r="AP3576">
            <v>0</v>
          </cell>
          <cell r="AQ3576">
            <v>0</v>
          </cell>
          <cell r="AV3576">
            <v>0</v>
          </cell>
        </row>
        <row r="3577">
          <cell r="E3577" t="str">
            <v>D26000359</v>
          </cell>
          <cell r="AP3577">
            <v>0</v>
          </cell>
          <cell r="AQ3577">
            <v>0</v>
          </cell>
          <cell r="AV3577">
            <v>5571000</v>
          </cell>
        </row>
        <row r="3578">
          <cell r="E3578" t="str">
            <v>T26000051</v>
          </cell>
          <cell r="AP3578">
            <v>0</v>
          </cell>
          <cell r="AQ3578">
            <v>0</v>
          </cell>
          <cell r="AV3578">
            <v>0</v>
          </cell>
        </row>
        <row r="3579">
          <cell r="E3579" t="str">
            <v>D26001215</v>
          </cell>
          <cell r="AP3579">
            <v>0</v>
          </cell>
          <cell r="AQ3579">
            <v>0</v>
          </cell>
          <cell r="AV3579">
            <v>0</v>
          </cell>
        </row>
        <row r="3580">
          <cell r="E3580" t="str">
            <v>Z25002766</v>
          </cell>
          <cell r="AP3580">
            <v>0</v>
          </cell>
          <cell r="AQ3580">
            <v>0</v>
          </cell>
          <cell r="AV3580">
            <v>38916887</v>
          </cell>
        </row>
        <row r="3581">
          <cell r="E3581" t="str">
            <v>Z25002766</v>
          </cell>
          <cell r="AP3581">
            <v>16083113</v>
          </cell>
          <cell r="AQ3581">
            <v>0</v>
          </cell>
          <cell r="AV3581">
            <v>0</v>
          </cell>
        </row>
        <row r="3582">
          <cell r="E3582" t="str">
            <v>Z25002859</v>
          </cell>
          <cell r="AP3582">
            <v>0</v>
          </cell>
          <cell r="AQ3582">
            <v>0</v>
          </cell>
          <cell r="AV3582">
            <v>0</v>
          </cell>
        </row>
        <row r="3583">
          <cell r="E3583" t="str">
            <v>T25001721k</v>
          </cell>
          <cell r="AP3583">
            <v>0</v>
          </cell>
          <cell r="AQ3583">
            <v>0</v>
          </cell>
          <cell r="AV3583">
            <v>0</v>
          </cell>
        </row>
        <row r="3584">
          <cell r="E3584" t="str">
            <v>T25001773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Z25003134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Z25003135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Z25003187</v>
          </cell>
          <cell r="AP3587">
            <v>0</v>
          </cell>
          <cell r="AQ3587">
            <v>0</v>
          </cell>
          <cell r="AV3587">
            <v>0</v>
          </cell>
        </row>
        <row r="3588">
          <cell r="E3588" t="str">
            <v>Z25003220</v>
          </cell>
          <cell r="AP3588">
            <v>0</v>
          </cell>
          <cell r="AQ3588">
            <v>0</v>
          </cell>
          <cell r="AV3588">
            <v>0</v>
          </cell>
        </row>
        <row r="3589">
          <cell r="E3589" t="str">
            <v>Z25003223</v>
          </cell>
          <cell r="AP3589">
            <v>0</v>
          </cell>
          <cell r="AQ3589">
            <v>0</v>
          </cell>
          <cell r="AV3589">
            <v>0</v>
          </cell>
        </row>
        <row r="3590">
          <cell r="E3590" t="str">
            <v>Z25003225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Z25003233</v>
          </cell>
          <cell r="AP3591">
            <v>0</v>
          </cell>
          <cell r="AQ3591">
            <v>0</v>
          </cell>
          <cell r="AV3591">
            <v>0</v>
          </cell>
        </row>
        <row r="3592">
          <cell r="E3592" t="str">
            <v>Z25003234</v>
          </cell>
          <cell r="AP3592">
            <v>0</v>
          </cell>
          <cell r="AQ3592">
            <v>0</v>
          </cell>
          <cell r="AV3592">
            <v>0</v>
          </cell>
        </row>
        <row r="3593">
          <cell r="E3593" t="str">
            <v>Z25003308</v>
          </cell>
          <cell r="AP3593">
            <v>0</v>
          </cell>
          <cell r="AQ3593">
            <v>0</v>
          </cell>
          <cell r="AV3593">
            <v>0</v>
          </cell>
        </row>
        <row r="3594">
          <cell r="E3594" t="str">
            <v>Z25003317</v>
          </cell>
          <cell r="AP3594">
            <v>0</v>
          </cell>
          <cell r="AQ3594">
            <v>0</v>
          </cell>
          <cell r="AV3594">
            <v>0</v>
          </cell>
        </row>
        <row r="3595">
          <cell r="E3595" t="str">
            <v>Z25003335</v>
          </cell>
          <cell r="AP3595">
            <v>0</v>
          </cell>
          <cell r="AQ3595">
            <v>0</v>
          </cell>
          <cell r="AV3595">
            <v>0</v>
          </cell>
        </row>
        <row r="3596">
          <cell r="E3596" t="str">
            <v>Z25003373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Z25003389</v>
          </cell>
          <cell r="AP3597">
            <v>0</v>
          </cell>
          <cell r="AQ3597">
            <v>0</v>
          </cell>
          <cell r="AV3597">
            <v>0</v>
          </cell>
        </row>
        <row r="3598">
          <cell r="E3598" t="str">
            <v>Z25003390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Z25003391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Z26000120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Z26000255</v>
          </cell>
          <cell r="AP3601">
            <v>0</v>
          </cell>
          <cell r="AQ3601">
            <v>0</v>
          </cell>
          <cell r="AV3601">
            <v>131000000</v>
          </cell>
        </row>
        <row r="3602">
          <cell r="E3602" t="str">
            <v>Z26000271</v>
          </cell>
          <cell r="AP3602">
            <v>0</v>
          </cell>
          <cell r="AQ3602">
            <v>0</v>
          </cell>
          <cell r="AV3602">
            <v>0</v>
          </cell>
        </row>
        <row r="3603">
          <cell r="E3603" t="str">
            <v>Z26000310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Z26000319</v>
          </cell>
          <cell r="AP3604">
            <v>0</v>
          </cell>
          <cell r="AQ3604">
            <v>0</v>
          </cell>
          <cell r="AV3604">
            <v>0</v>
          </cell>
        </row>
        <row r="3605">
          <cell r="E3605" t="str">
            <v>Z26000326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Z26000330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D25019524</v>
          </cell>
          <cell r="AP3607">
            <v>0</v>
          </cell>
          <cell r="AQ3607">
            <v>0</v>
          </cell>
          <cell r="AV3607">
            <v>0</v>
          </cell>
        </row>
        <row r="3608">
          <cell r="E3608" t="str">
            <v>D26000308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D26000335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D26000356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B26000542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D26000567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D26000580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B26000785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D26000902</v>
          </cell>
          <cell r="AP3615">
            <v>0</v>
          </cell>
          <cell r="AQ3615">
            <v>0</v>
          </cell>
          <cell r="AV3615">
            <v>0</v>
          </cell>
        </row>
        <row r="3616">
          <cell r="E3616" t="str">
            <v>D26000903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D26001077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D26001170</v>
          </cell>
          <cell r="AP3618">
            <v>0</v>
          </cell>
          <cell r="AQ3618">
            <v>0</v>
          </cell>
          <cell r="AV3618">
            <v>0</v>
          </cell>
        </row>
        <row r="3619">
          <cell r="E3619" t="str">
            <v>B26001441</v>
          </cell>
          <cell r="AP3619">
            <v>0</v>
          </cell>
          <cell r="AQ3619">
            <v>0</v>
          </cell>
          <cell r="AV3619">
            <v>0</v>
          </cell>
        </row>
        <row r="3620">
          <cell r="E3620" t="str">
            <v>B26001442</v>
          </cell>
          <cell r="AP3620">
            <v>0</v>
          </cell>
          <cell r="AQ3620">
            <v>0</v>
          </cell>
          <cell r="AV3620">
            <v>0</v>
          </cell>
        </row>
        <row r="3621">
          <cell r="E3621" t="str">
            <v>D26001593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D26001729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B26001739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D26002046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D26002068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D26000294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D25007848</v>
          </cell>
          <cell r="AP3627">
            <v>13754000</v>
          </cell>
          <cell r="AQ3627">
            <v>0</v>
          </cell>
          <cell r="AV3627">
            <v>0</v>
          </cell>
        </row>
        <row r="3628">
          <cell r="E3628" t="str">
            <v>D25018088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D25018089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D25018111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D25018518</v>
          </cell>
          <cell r="AP3631">
            <v>0</v>
          </cell>
          <cell r="AQ3631">
            <v>0</v>
          </cell>
          <cell r="AV3631">
            <v>0</v>
          </cell>
        </row>
        <row r="3632">
          <cell r="E3632" t="str">
            <v>D26001840</v>
          </cell>
          <cell r="AP3632">
            <v>0</v>
          </cell>
          <cell r="AQ3632">
            <v>0</v>
          </cell>
          <cell r="AV3632">
            <v>4200000</v>
          </cell>
        </row>
        <row r="3633">
          <cell r="E3633" t="str">
            <v>D25018397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B25016387</v>
          </cell>
          <cell r="AP3634">
            <v>0</v>
          </cell>
          <cell r="AQ3634">
            <v>0</v>
          </cell>
          <cell r="AV3634">
            <v>0</v>
          </cell>
        </row>
        <row r="3635">
          <cell r="E3635" t="str">
            <v>B25016784</v>
          </cell>
          <cell r="AP3635">
            <v>0</v>
          </cell>
          <cell r="AQ3635">
            <v>0</v>
          </cell>
          <cell r="AV3635">
            <v>0</v>
          </cell>
        </row>
        <row r="3636">
          <cell r="E3636" t="str">
            <v>B26000121</v>
          </cell>
          <cell r="AP3636">
            <v>0</v>
          </cell>
          <cell r="AQ3636">
            <v>0</v>
          </cell>
          <cell r="AV3636">
            <v>0</v>
          </cell>
        </row>
        <row r="3637">
          <cell r="E3637" t="str">
            <v>T26000009</v>
          </cell>
          <cell r="AP3637">
            <v>0</v>
          </cell>
          <cell r="AQ3637">
            <v>0</v>
          </cell>
          <cell r="AV3637">
            <v>0</v>
          </cell>
        </row>
        <row r="3638">
          <cell r="E3638" t="str">
            <v>B26001639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C26000094</v>
          </cell>
          <cell r="AP3639">
            <v>0</v>
          </cell>
          <cell r="AQ3639">
            <v>0</v>
          </cell>
          <cell r="AV3639">
            <v>490000</v>
          </cell>
        </row>
        <row r="3640">
          <cell r="E3640" t="str">
            <v>C26000110</v>
          </cell>
          <cell r="AP3640">
            <v>0</v>
          </cell>
          <cell r="AQ3640">
            <v>0</v>
          </cell>
          <cell r="AV3640">
            <v>10000</v>
          </cell>
        </row>
        <row r="3641">
          <cell r="E3641" t="str">
            <v>C26000107</v>
          </cell>
          <cell r="AP3641">
            <v>0</v>
          </cell>
          <cell r="AQ3641">
            <v>0</v>
          </cell>
          <cell r="AV3641">
            <v>375000</v>
          </cell>
        </row>
        <row r="3642">
          <cell r="E3642" t="str">
            <v>C26000104</v>
          </cell>
          <cell r="AP3642">
            <v>0</v>
          </cell>
          <cell r="AQ3642">
            <v>0</v>
          </cell>
          <cell r="AV3642">
            <v>183500</v>
          </cell>
        </row>
        <row r="3643">
          <cell r="E3643" t="str">
            <v>C26000112</v>
          </cell>
          <cell r="AP3643">
            <v>0</v>
          </cell>
          <cell r="AQ3643">
            <v>0</v>
          </cell>
          <cell r="AV3643">
            <v>36000</v>
          </cell>
        </row>
        <row r="3644">
          <cell r="E3644" t="str">
            <v>C26000101</v>
          </cell>
          <cell r="AP3644">
            <v>0</v>
          </cell>
          <cell r="AQ3644">
            <v>0</v>
          </cell>
          <cell r="AV3644">
            <v>120000</v>
          </cell>
        </row>
        <row r="3645">
          <cell r="E3645" t="str">
            <v>C26000097</v>
          </cell>
          <cell r="AP3645">
            <v>0</v>
          </cell>
          <cell r="AQ3645">
            <v>0</v>
          </cell>
          <cell r="AV3645">
            <v>107000</v>
          </cell>
        </row>
        <row r="3646">
          <cell r="E3646" t="str">
            <v>D26001905</v>
          </cell>
          <cell r="AP3646">
            <v>0</v>
          </cell>
          <cell r="AQ3646">
            <v>0</v>
          </cell>
          <cell r="AV3646">
            <v>65000</v>
          </cell>
        </row>
        <row r="3647">
          <cell r="E3647" t="str">
            <v>C26000099</v>
          </cell>
          <cell r="AP3647">
            <v>0</v>
          </cell>
          <cell r="AQ3647">
            <v>0</v>
          </cell>
          <cell r="AV3647">
            <v>300000</v>
          </cell>
        </row>
        <row r="3648">
          <cell r="E3648" t="str">
            <v>Z25001658</v>
          </cell>
          <cell r="AP3648">
            <v>0</v>
          </cell>
          <cell r="AQ3648">
            <v>0</v>
          </cell>
          <cell r="AV3648">
            <v>0</v>
          </cell>
        </row>
        <row r="3649">
          <cell r="E3649" t="str">
            <v>D25016592</v>
          </cell>
          <cell r="AP3649">
            <v>0</v>
          </cell>
          <cell r="AQ3649">
            <v>0</v>
          </cell>
          <cell r="AV3649">
            <v>0</v>
          </cell>
        </row>
        <row r="3650">
          <cell r="E3650" t="str">
            <v>D25016592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D25016593</v>
          </cell>
          <cell r="AP3651">
            <v>0</v>
          </cell>
          <cell r="AQ3651">
            <v>0</v>
          </cell>
          <cell r="AV3651">
            <v>0</v>
          </cell>
        </row>
        <row r="3652">
          <cell r="E3652" t="str">
            <v>B25014498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D25016986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B25014854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B25014854</v>
          </cell>
          <cell r="AP3655">
            <v>0</v>
          </cell>
          <cell r="AQ3655">
            <v>0</v>
          </cell>
          <cell r="AV3655">
            <v>0</v>
          </cell>
        </row>
        <row r="3656">
          <cell r="E3656" t="str">
            <v>B25014854</v>
          </cell>
          <cell r="AP3656">
            <v>0</v>
          </cell>
          <cell r="AQ3656">
            <v>0</v>
          </cell>
          <cell r="AV3656">
            <v>0</v>
          </cell>
        </row>
        <row r="3657">
          <cell r="E3657" t="str">
            <v>B25015007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B25015128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B25015128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D25017390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D25017390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D25017390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D25017390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D25017390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 t="str">
            <v>D25017390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D25017390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D25017390</v>
          </cell>
          <cell r="AP3667">
            <v>0</v>
          </cell>
          <cell r="AQ3667">
            <v>0</v>
          </cell>
          <cell r="AV3667">
            <v>0</v>
          </cell>
        </row>
        <row r="3668">
          <cell r="E3668" t="str">
            <v>D25017391</v>
          </cell>
          <cell r="AP3668">
            <v>0</v>
          </cell>
          <cell r="AQ3668">
            <v>0</v>
          </cell>
          <cell r="AV3668">
            <v>0</v>
          </cell>
        </row>
        <row r="3669">
          <cell r="E3669" t="str">
            <v>D25017398</v>
          </cell>
          <cell r="AP3669">
            <v>0</v>
          </cell>
          <cell r="AQ3669">
            <v>0</v>
          </cell>
          <cell r="AV3669">
            <v>0</v>
          </cell>
        </row>
        <row r="3670">
          <cell r="E3670" t="str">
            <v>D25017735</v>
          </cell>
          <cell r="AP3670">
            <v>0</v>
          </cell>
          <cell r="AQ3670">
            <v>0</v>
          </cell>
          <cell r="AV3670">
            <v>0</v>
          </cell>
        </row>
        <row r="3671">
          <cell r="E3671" t="str">
            <v>D25017735</v>
          </cell>
          <cell r="AP3671">
            <v>0</v>
          </cell>
          <cell r="AQ3671">
            <v>0</v>
          </cell>
          <cell r="AV3671">
            <v>0</v>
          </cell>
        </row>
        <row r="3672">
          <cell r="E3672" t="str">
            <v>D25017735</v>
          </cell>
          <cell r="AP3672">
            <v>0</v>
          </cell>
          <cell r="AQ3672">
            <v>0</v>
          </cell>
          <cell r="AV3672">
            <v>0</v>
          </cell>
        </row>
        <row r="3673">
          <cell r="E3673" t="str">
            <v>D25017752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D25017752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 t="str">
            <v>B25015422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B25015422</v>
          </cell>
          <cell r="AP3676">
            <v>0</v>
          </cell>
          <cell r="AQ3676">
            <v>0</v>
          </cell>
          <cell r="AV3676">
            <v>0</v>
          </cell>
        </row>
        <row r="3677">
          <cell r="E3677" t="str">
            <v>B25015422</v>
          </cell>
          <cell r="AP3677">
            <v>0</v>
          </cell>
          <cell r="AQ3677">
            <v>0</v>
          </cell>
          <cell r="AV3677">
            <v>0</v>
          </cell>
        </row>
        <row r="3678">
          <cell r="E3678" t="str">
            <v>B25015422</v>
          </cell>
          <cell r="AP3678">
            <v>0</v>
          </cell>
          <cell r="AQ3678">
            <v>0</v>
          </cell>
          <cell r="AV3678">
            <v>0</v>
          </cell>
        </row>
        <row r="3679">
          <cell r="E3679" t="str">
            <v>B25015422</v>
          </cell>
          <cell r="AP3679">
            <v>0</v>
          </cell>
          <cell r="AQ3679">
            <v>0</v>
          </cell>
          <cell r="AV3679">
            <v>0</v>
          </cell>
        </row>
        <row r="3680">
          <cell r="E3680" t="str">
            <v>B25015422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B25015561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D25018029</v>
          </cell>
          <cell r="AP3682">
            <v>0</v>
          </cell>
          <cell r="AQ3682">
            <v>0</v>
          </cell>
          <cell r="AV3682">
            <v>0</v>
          </cell>
        </row>
        <row r="3683">
          <cell r="E3683" t="str">
            <v>D25018029</v>
          </cell>
          <cell r="AP3683">
            <v>0</v>
          </cell>
          <cell r="AQ3683">
            <v>0</v>
          </cell>
          <cell r="AV3683">
            <v>0</v>
          </cell>
        </row>
        <row r="3684">
          <cell r="E3684" t="str">
            <v>D25018029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D25018065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D25018103</v>
          </cell>
          <cell r="AP3686">
            <v>0</v>
          </cell>
          <cell r="AQ3686">
            <v>0</v>
          </cell>
          <cell r="AV3686">
            <v>0</v>
          </cell>
        </row>
        <row r="3687">
          <cell r="E3687" t="str">
            <v>D25018268</v>
          </cell>
          <cell r="AP3687">
            <v>0</v>
          </cell>
          <cell r="AQ3687">
            <v>0</v>
          </cell>
          <cell r="AV3687">
            <v>0</v>
          </cell>
        </row>
        <row r="3688">
          <cell r="E3688" t="str">
            <v>D25018268</v>
          </cell>
          <cell r="AP3688">
            <v>0</v>
          </cell>
          <cell r="AQ3688">
            <v>0</v>
          </cell>
          <cell r="AV3688">
            <v>0</v>
          </cell>
        </row>
        <row r="3689">
          <cell r="E3689" t="str">
            <v>D25018268</v>
          </cell>
          <cell r="AP3689">
            <v>0</v>
          </cell>
          <cell r="AQ3689">
            <v>0</v>
          </cell>
          <cell r="AV3689">
            <v>0</v>
          </cell>
        </row>
        <row r="3690">
          <cell r="E3690" t="str">
            <v>D25018268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D25018268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B25015876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B25016042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B25016058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B25016058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B25016073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 t="str">
            <v>B25016323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B25016323</v>
          </cell>
          <cell r="AP3698">
            <v>0</v>
          </cell>
          <cell r="AQ3698">
            <v>0</v>
          </cell>
          <cell r="AV3698">
            <v>0</v>
          </cell>
        </row>
        <row r="3699">
          <cell r="E3699" t="str">
            <v>B25016323</v>
          </cell>
          <cell r="AP3699">
            <v>0</v>
          </cell>
          <cell r="AQ3699">
            <v>0</v>
          </cell>
          <cell r="AV3699">
            <v>0</v>
          </cell>
        </row>
        <row r="3700">
          <cell r="E3700" t="str">
            <v>B25016323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B25016368</v>
          </cell>
          <cell r="AP3701">
            <v>0</v>
          </cell>
          <cell r="AQ3701">
            <v>0</v>
          </cell>
          <cell r="AV3701">
            <v>0</v>
          </cell>
        </row>
        <row r="3702">
          <cell r="E3702" t="str">
            <v>B25016611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D25019062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D25019062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D25019062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D25019153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D25019210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D25019264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D25019264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D25019264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D25019268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D25019268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D25019269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D25019356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D25019356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D25019394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D25019394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D25019517</v>
          </cell>
          <cell r="AP3718">
            <v>0</v>
          </cell>
          <cell r="AQ3718">
            <v>0</v>
          </cell>
          <cell r="AV3718">
            <v>0</v>
          </cell>
        </row>
        <row r="3719">
          <cell r="E3719" t="str">
            <v>D25019517</v>
          </cell>
          <cell r="AP3719">
            <v>0</v>
          </cell>
          <cell r="AQ3719">
            <v>0</v>
          </cell>
          <cell r="AV3719">
            <v>0</v>
          </cell>
        </row>
        <row r="3720">
          <cell r="E3720" t="str">
            <v>D25019595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D25019595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D25019595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D25019596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D25019596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D25019596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D25019596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B25017086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B25017135</v>
          </cell>
          <cell r="AP3728">
            <v>0</v>
          </cell>
          <cell r="AQ3728">
            <v>15445000</v>
          </cell>
          <cell r="AV3728">
            <v>0</v>
          </cell>
        </row>
        <row r="3729">
          <cell r="E3729" t="str">
            <v>D26000080</v>
          </cell>
          <cell r="AP3729">
            <v>0</v>
          </cell>
          <cell r="AQ3729">
            <v>25125000</v>
          </cell>
          <cell r="AV3729">
            <v>0</v>
          </cell>
        </row>
        <row r="3730">
          <cell r="E3730" t="str">
            <v>D26000080</v>
          </cell>
          <cell r="AP3730">
            <v>0</v>
          </cell>
          <cell r="AQ3730">
            <v>100000000</v>
          </cell>
          <cell r="AV3730">
            <v>0</v>
          </cell>
        </row>
        <row r="3731">
          <cell r="E3731" t="str">
            <v>D26000080</v>
          </cell>
          <cell r="AP3731">
            <v>0</v>
          </cell>
          <cell r="AQ3731">
            <v>100000000</v>
          </cell>
          <cell r="AV3731">
            <v>0</v>
          </cell>
        </row>
        <row r="3732">
          <cell r="E3732" t="str">
            <v>D26000080</v>
          </cell>
          <cell r="AP3732">
            <v>0</v>
          </cell>
          <cell r="AQ3732">
            <v>150000000</v>
          </cell>
          <cell r="AV3732">
            <v>0</v>
          </cell>
        </row>
        <row r="3733">
          <cell r="E3733" t="str">
            <v>D26000080</v>
          </cell>
          <cell r="AP3733">
            <v>0</v>
          </cell>
          <cell r="AQ3733">
            <v>250000000</v>
          </cell>
          <cell r="AV3733">
            <v>0</v>
          </cell>
        </row>
        <row r="3734">
          <cell r="E3734" t="str">
            <v>D26000080</v>
          </cell>
          <cell r="AP3734">
            <v>0</v>
          </cell>
          <cell r="AQ3734">
            <v>74950000</v>
          </cell>
          <cell r="AV3734">
            <v>0</v>
          </cell>
        </row>
        <row r="3735">
          <cell r="E3735" t="str">
            <v>D26000081</v>
          </cell>
          <cell r="AP3735">
            <v>0</v>
          </cell>
          <cell r="AQ3735">
            <v>125050000</v>
          </cell>
          <cell r="AV3735">
            <v>0</v>
          </cell>
        </row>
        <row r="3736">
          <cell r="E3736" t="str">
            <v>D26000081</v>
          </cell>
          <cell r="AP3736">
            <v>0</v>
          </cell>
          <cell r="AQ3736">
            <v>93625000</v>
          </cell>
          <cell r="AV3736">
            <v>0</v>
          </cell>
        </row>
        <row r="3737">
          <cell r="E3737" t="str">
            <v>D26000083</v>
          </cell>
          <cell r="AP3737">
            <v>0</v>
          </cell>
          <cell r="AQ3737">
            <v>56375000</v>
          </cell>
          <cell r="AV3737">
            <v>0</v>
          </cell>
        </row>
        <row r="3738">
          <cell r="E3738" t="str">
            <v>D26000083</v>
          </cell>
          <cell r="AP3738">
            <v>0</v>
          </cell>
          <cell r="AQ3738">
            <v>55305000</v>
          </cell>
          <cell r="AV3738">
            <v>0</v>
          </cell>
        </row>
        <row r="3739">
          <cell r="E3739" t="str">
            <v>D26000536</v>
          </cell>
          <cell r="AP3739">
            <v>0</v>
          </cell>
          <cell r="AQ3739">
            <v>92400000</v>
          </cell>
          <cell r="AV3739">
            <v>0</v>
          </cell>
        </row>
        <row r="3740">
          <cell r="E3740" t="str">
            <v>D26000583</v>
          </cell>
          <cell r="AP3740">
            <v>0</v>
          </cell>
          <cell r="AQ3740">
            <v>94695000</v>
          </cell>
          <cell r="AV3740">
            <v>0</v>
          </cell>
        </row>
        <row r="3741">
          <cell r="E3741" t="str">
            <v>D26001285</v>
          </cell>
          <cell r="AP3741">
            <v>0</v>
          </cell>
          <cell r="AQ3741">
            <v>0</v>
          </cell>
          <cell r="AV3741">
            <v>0</v>
          </cell>
        </row>
        <row r="3742">
          <cell r="E3742" t="str">
            <v>D26001475</v>
          </cell>
          <cell r="AP3742">
            <v>0</v>
          </cell>
          <cell r="AQ3742">
            <v>0</v>
          </cell>
          <cell r="AV3742">
            <v>0</v>
          </cell>
        </row>
        <row r="3743">
          <cell r="E3743" t="str">
            <v>D26001494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D26001508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D26001675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D26001676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D26001730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D26001770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D26001802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D26002025</v>
          </cell>
          <cell r="AP3750">
            <v>0</v>
          </cell>
          <cell r="AQ3750">
            <v>0</v>
          </cell>
          <cell r="AV3750">
            <v>0</v>
          </cell>
        </row>
        <row r="3751">
          <cell r="E3751" t="str">
            <v>D25007908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D25015340</v>
          </cell>
          <cell r="AP3752">
            <v>0</v>
          </cell>
          <cell r="AQ3752">
            <v>0</v>
          </cell>
          <cell r="AV3752">
            <v>0</v>
          </cell>
        </row>
        <row r="3753">
          <cell r="E3753" t="str">
            <v>D25010159</v>
          </cell>
          <cell r="AP3753">
            <v>0</v>
          </cell>
          <cell r="AQ3753">
            <v>0</v>
          </cell>
          <cell r="AV3753">
            <v>0</v>
          </cell>
        </row>
        <row r="3754">
          <cell r="E3754" t="str">
            <v>B26001143</v>
          </cell>
          <cell r="AP3754">
            <v>0</v>
          </cell>
          <cell r="AQ3754">
            <v>0</v>
          </cell>
          <cell r="AV3754">
            <v>0</v>
          </cell>
        </row>
        <row r="3755">
          <cell r="E3755" t="str">
            <v>B26001906</v>
          </cell>
          <cell r="AP3755">
            <v>0</v>
          </cell>
          <cell r="AQ3755">
            <v>0</v>
          </cell>
          <cell r="AV3755">
            <v>1032000</v>
          </cell>
        </row>
        <row r="3756">
          <cell r="E3756" t="str">
            <v>D26001791</v>
          </cell>
          <cell r="AP3756">
            <v>0</v>
          </cell>
          <cell r="AQ3756">
            <v>0</v>
          </cell>
          <cell r="AV3756">
            <v>17500000</v>
          </cell>
        </row>
        <row r="3757">
          <cell r="E3757" t="str">
            <v>D26001792</v>
          </cell>
          <cell r="AP3757">
            <v>0</v>
          </cell>
          <cell r="AQ3757">
            <v>0</v>
          </cell>
          <cell r="AV3757">
            <v>73300000</v>
          </cell>
        </row>
        <row r="3758">
          <cell r="E3758" t="str">
            <v>T26000123</v>
          </cell>
          <cell r="AP3758">
            <v>0</v>
          </cell>
          <cell r="AQ3758">
            <v>0</v>
          </cell>
          <cell r="AV3758">
            <v>0</v>
          </cell>
        </row>
        <row r="3759">
          <cell r="E3759" t="str">
            <v>T26000135</v>
          </cell>
          <cell r="AP3759">
            <v>0</v>
          </cell>
          <cell r="AQ3759">
            <v>0</v>
          </cell>
          <cell r="AV3759">
            <v>0</v>
          </cell>
        </row>
        <row r="3760">
          <cell r="E3760" t="str">
            <v>T26000136k</v>
          </cell>
          <cell r="AP3760">
            <v>0</v>
          </cell>
          <cell r="AQ3760">
            <v>0</v>
          </cell>
          <cell r="AV3760">
            <v>0</v>
          </cell>
        </row>
        <row r="3761">
          <cell r="E3761" t="str">
            <v>B26001586</v>
          </cell>
          <cell r="AP3761">
            <v>0</v>
          </cell>
          <cell r="AQ3761">
            <v>0</v>
          </cell>
          <cell r="AV3761">
            <v>1000000</v>
          </cell>
        </row>
        <row r="3762">
          <cell r="E3762" t="str">
            <v>B26001586</v>
          </cell>
          <cell r="AP3762">
            <v>0</v>
          </cell>
          <cell r="AQ3762">
            <v>0</v>
          </cell>
          <cell r="AV3762">
            <v>1000000</v>
          </cell>
        </row>
        <row r="3763">
          <cell r="E3763" t="str">
            <v>D24016641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B26001691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A26000136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A26000158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A26000161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A26000162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A26000164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A26000167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A26000171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A26000172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A26000173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A26000174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A26000176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A26000177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A26000178</v>
          </cell>
          <cell r="AP3777">
            <v>0</v>
          </cell>
          <cell r="AQ3777">
            <v>0</v>
          </cell>
          <cell r="AV3777">
            <v>0</v>
          </cell>
        </row>
        <row r="3778">
          <cell r="E3778" t="str">
            <v>A26000179</v>
          </cell>
          <cell r="AP3778">
            <v>0</v>
          </cell>
          <cell r="AQ3778">
            <v>0</v>
          </cell>
          <cell r="AV3778">
            <v>0</v>
          </cell>
        </row>
        <row r="3779">
          <cell r="E3779" t="str">
            <v>A26000180</v>
          </cell>
          <cell r="AP3779">
            <v>0</v>
          </cell>
          <cell r="AQ3779">
            <v>0</v>
          </cell>
          <cell r="AV3779">
            <v>0</v>
          </cell>
        </row>
        <row r="3780">
          <cell r="E3780" t="str">
            <v>A26000181</v>
          </cell>
          <cell r="AP3780">
            <v>0</v>
          </cell>
          <cell r="AQ3780">
            <v>0</v>
          </cell>
          <cell r="AV3780">
            <v>0</v>
          </cell>
        </row>
        <row r="3781">
          <cell r="E3781" t="str">
            <v>A26000182</v>
          </cell>
          <cell r="AP3781">
            <v>0</v>
          </cell>
          <cell r="AQ3781">
            <v>0</v>
          </cell>
          <cell r="AV3781">
            <v>0</v>
          </cell>
        </row>
        <row r="3782">
          <cell r="E3782" t="str">
            <v>A26000185</v>
          </cell>
          <cell r="AP3782">
            <v>0</v>
          </cell>
          <cell r="AQ3782">
            <v>0</v>
          </cell>
          <cell r="AV3782">
            <v>0</v>
          </cell>
        </row>
        <row r="3783">
          <cell r="E3783" t="str">
            <v>A26000186</v>
          </cell>
          <cell r="AP3783">
            <v>0</v>
          </cell>
          <cell r="AQ3783">
            <v>0</v>
          </cell>
          <cell r="AV3783">
            <v>0</v>
          </cell>
        </row>
        <row r="3784">
          <cell r="E3784" t="str">
            <v>A26000187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A26000189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A26000190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A26000191</v>
          </cell>
          <cell r="AP3787">
            <v>0</v>
          </cell>
          <cell r="AQ3787">
            <v>0</v>
          </cell>
          <cell r="AV3787">
            <v>0</v>
          </cell>
        </row>
        <row r="3788">
          <cell r="E3788" t="str">
            <v>A26000192</v>
          </cell>
          <cell r="AP3788">
            <v>0</v>
          </cell>
          <cell r="AQ3788">
            <v>0</v>
          </cell>
          <cell r="AV3788">
            <v>0</v>
          </cell>
        </row>
        <row r="3789">
          <cell r="E3789" t="str">
            <v>A26000193</v>
          </cell>
          <cell r="AP3789">
            <v>0</v>
          </cell>
          <cell r="AQ3789">
            <v>0</v>
          </cell>
          <cell r="AV3789">
            <v>0</v>
          </cell>
        </row>
        <row r="3790">
          <cell r="E3790" t="str">
            <v>A26000199</v>
          </cell>
          <cell r="AP3790">
            <v>0</v>
          </cell>
          <cell r="AQ3790">
            <v>0</v>
          </cell>
          <cell r="AV3790">
            <v>0</v>
          </cell>
        </row>
        <row r="3791">
          <cell r="E3791" t="str">
            <v>A26000200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A26000201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A26000202</v>
          </cell>
          <cell r="AP3793">
            <v>0</v>
          </cell>
          <cell r="AQ3793">
            <v>0</v>
          </cell>
          <cell r="AV3793">
            <v>0</v>
          </cell>
        </row>
        <row r="3794">
          <cell r="E3794" t="str">
            <v>A26000203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A26000204</v>
          </cell>
          <cell r="AP3795">
            <v>0</v>
          </cell>
          <cell r="AQ3795">
            <v>0</v>
          </cell>
          <cell r="AV3795">
            <v>0</v>
          </cell>
        </row>
        <row r="3796">
          <cell r="E3796" t="str">
            <v>A26000205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A26000206</v>
          </cell>
          <cell r="AP3797">
            <v>0</v>
          </cell>
          <cell r="AQ3797">
            <v>0</v>
          </cell>
          <cell r="AV3797">
            <v>0</v>
          </cell>
        </row>
        <row r="3798">
          <cell r="E3798" t="str">
            <v>A26000207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A26000209</v>
          </cell>
          <cell r="AP3799">
            <v>0</v>
          </cell>
          <cell r="AQ3799">
            <v>0</v>
          </cell>
          <cell r="AV3799">
            <v>0</v>
          </cell>
        </row>
        <row r="3800">
          <cell r="E3800" t="str">
            <v>A26000210</v>
          </cell>
          <cell r="AP3800">
            <v>0</v>
          </cell>
          <cell r="AQ3800">
            <v>0</v>
          </cell>
          <cell r="AV3800">
            <v>0</v>
          </cell>
        </row>
        <row r="3801">
          <cell r="E3801" t="str">
            <v>A26000213</v>
          </cell>
          <cell r="AP3801">
            <v>0</v>
          </cell>
          <cell r="AQ3801">
            <v>0</v>
          </cell>
          <cell r="AV3801">
            <v>0</v>
          </cell>
        </row>
        <row r="3802">
          <cell r="E3802" t="str">
            <v>A26000214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A26000215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A26000216</v>
          </cell>
          <cell r="AP3804">
            <v>0</v>
          </cell>
          <cell r="AQ3804">
            <v>0</v>
          </cell>
          <cell r="AV3804">
            <v>0</v>
          </cell>
        </row>
        <row r="3805">
          <cell r="E3805" t="str">
            <v>A26000217</v>
          </cell>
          <cell r="AP3805">
            <v>0</v>
          </cell>
          <cell r="AQ3805">
            <v>0</v>
          </cell>
          <cell r="AV3805">
            <v>0</v>
          </cell>
        </row>
        <row r="3806">
          <cell r="E3806" t="str">
            <v>A26000218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A26000219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A26000220</v>
          </cell>
          <cell r="AP3808">
            <v>0</v>
          </cell>
          <cell r="AQ3808">
            <v>0</v>
          </cell>
          <cell r="AV3808">
            <v>0</v>
          </cell>
        </row>
        <row r="3809">
          <cell r="E3809" t="str">
            <v>A26000221</v>
          </cell>
          <cell r="AP3809">
            <v>0</v>
          </cell>
          <cell r="AQ3809">
            <v>0</v>
          </cell>
          <cell r="AV3809">
            <v>0</v>
          </cell>
        </row>
        <row r="3810">
          <cell r="E3810" t="str">
            <v>A26000222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A25002320</v>
          </cell>
          <cell r="AP3811">
            <v>54000</v>
          </cell>
          <cell r="AQ3811">
            <v>0</v>
          </cell>
          <cell r="AV3811">
            <v>0</v>
          </cell>
        </row>
        <row r="3812">
          <cell r="E3812" t="str">
            <v>A26000014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A26000060</v>
          </cell>
          <cell r="AP3813">
            <v>0</v>
          </cell>
          <cell r="AQ3813">
            <v>0</v>
          </cell>
          <cell r="AV3813">
            <v>0</v>
          </cell>
        </row>
        <row r="3814">
          <cell r="E3814" t="str">
            <v>A26000118</v>
          </cell>
          <cell r="AP3814">
            <v>0</v>
          </cell>
          <cell r="AQ3814">
            <v>0</v>
          </cell>
          <cell r="AV3814">
            <v>0</v>
          </cell>
        </row>
        <row r="3815">
          <cell r="E3815" t="str">
            <v>A26000143</v>
          </cell>
          <cell r="AP3815">
            <v>0</v>
          </cell>
          <cell r="AQ3815">
            <v>0</v>
          </cell>
          <cell r="AV3815">
            <v>0</v>
          </cell>
        </row>
        <row r="3816">
          <cell r="E3816" t="str">
            <v>A26000175</v>
          </cell>
          <cell r="AP3816">
            <v>0</v>
          </cell>
          <cell r="AQ3816">
            <v>0</v>
          </cell>
          <cell r="AV3816">
            <v>0</v>
          </cell>
        </row>
        <row r="3817">
          <cell r="E3817" t="str">
            <v>A26000183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A26000184</v>
          </cell>
          <cell r="AP3818">
            <v>0</v>
          </cell>
          <cell r="AQ3818">
            <v>0</v>
          </cell>
          <cell r="AV3818">
            <v>0</v>
          </cell>
        </row>
        <row r="3819">
          <cell r="E3819" t="str">
            <v>A26000188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A26000194</v>
          </cell>
          <cell r="AP3820">
            <v>0</v>
          </cell>
          <cell r="AQ3820">
            <v>0</v>
          </cell>
          <cell r="AV3820">
            <v>0</v>
          </cell>
        </row>
        <row r="3821">
          <cell r="E3821" t="str">
            <v>A26000195</v>
          </cell>
          <cell r="AP3821">
            <v>0</v>
          </cell>
          <cell r="AQ3821">
            <v>0</v>
          </cell>
          <cell r="AV3821">
            <v>0</v>
          </cell>
        </row>
        <row r="3822">
          <cell r="E3822" t="str">
            <v>A26000196</v>
          </cell>
          <cell r="AP3822">
            <v>0</v>
          </cell>
          <cell r="AQ3822">
            <v>0</v>
          </cell>
          <cell r="AV3822">
            <v>0</v>
          </cell>
        </row>
        <row r="3823">
          <cell r="E3823" t="str">
            <v>A26000197</v>
          </cell>
          <cell r="AP3823">
            <v>0</v>
          </cell>
          <cell r="AQ3823">
            <v>0</v>
          </cell>
          <cell r="AV3823">
            <v>0</v>
          </cell>
        </row>
        <row r="3824">
          <cell r="E3824" t="str">
            <v>A26000198</v>
          </cell>
          <cell r="AP3824">
            <v>0</v>
          </cell>
          <cell r="AQ3824">
            <v>0</v>
          </cell>
          <cell r="AV3824">
            <v>0</v>
          </cell>
        </row>
        <row r="3825">
          <cell r="E3825" t="str">
            <v>A26000208</v>
          </cell>
          <cell r="AP3825">
            <v>0</v>
          </cell>
          <cell r="AQ3825">
            <v>0</v>
          </cell>
          <cell r="AV3825">
            <v>0</v>
          </cell>
        </row>
        <row r="3826">
          <cell r="E3826" t="str">
            <v>A26000211</v>
          </cell>
          <cell r="AP3826">
            <v>0</v>
          </cell>
          <cell r="AQ3826">
            <v>0</v>
          </cell>
          <cell r="AV3826">
            <v>0</v>
          </cell>
        </row>
        <row r="3827">
          <cell r="E3827" t="str">
            <v>A26000212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D26000155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B26000336</v>
          </cell>
          <cell r="AP3829">
            <v>0</v>
          </cell>
          <cell r="AQ3829">
            <v>0</v>
          </cell>
          <cell r="AV3829">
            <v>0</v>
          </cell>
        </row>
        <row r="3830">
          <cell r="E3830" t="str">
            <v>B26000155</v>
          </cell>
          <cell r="AP3830">
            <v>0</v>
          </cell>
          <cell r="AQ3830">
            <v>0</v>
          </cell>
          <cell r="AV3830">
            <v>0</v>
          </cell>
        </row>
        <row r="3831">
          <cell r="E3831" t="str">
            <v>B25015869</v>
          </cell>
          <cell r="AP3831">
            <v>0</v>
          </cell>
          <cell r="AQ3831">
            <v>0</v>
          </cell>
          <cell r="AV3831">
            <v>0</v>
          </cell>
        </row>
        <row r="3832">
          <cell r="E3832" t="str">
            <v>B25016602</v>
          </cell>
          <cell r="AP3832">
            <v>0</v>
          </cell>
          <cell r="AQ3832">
            <v>0</v>
          </cell>
          <cell r="AV3832">
            <v>0</v>
          </cell>
        </row>
        <row r="3833">
          <cell r="E3833" t="str">
            <v>D26000826</v>
          </cell>
          <cell r="AP3833">
            <v>0</v>
          </cell>
          <cell r="AQ3833">
            <v>0</v>
          </cell>
          <cell r="AV3833">
            <v>0</v>
          </cell>
        </row>
        <row r="3834">
          <cell r="E3834" t="str">
            <v>T26000090</v>
          </cell>
          <cell r="AP3834">
            <v>0</v>
          </cell>
          <cell r="AQ3834">
            <v>0</v>
          </cell>
          <cell r="AV3834">
            <v>0</v>
          </cell>
        </row>
        <row r="3835">
          <cell r="E3835" t="str">
            <v>B26001266</v>
          </cell>
          <cell r="AP3835">
            <v>0</v>
          </cell>
          <cell r="AQ3835">
            <v>0</v>
          </cell>
          <cell r="AV3835">
            <v>0</v>
          </cell>
        </row>
        <row r="3836">
          <cell r="E3836" t="str">
            <v>T25001846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B26000627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B26001731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D26001894</v>
          </cell>
          <cell r="AP3839">
            <v>0</v>
          </cell>
          <cell r="AQ3839">
            <v>0</v>
          </cell>
          <cell r="AV3839">
            <v>0</v>
          </cell>
        </row>
        <row r="3840">
          <cell r="E3840" t="str">
            <v>D25019021</v>
          </cell>
          <cell r="AP3840">
            <v>0</v>
          </cell>
          <cell r="AQ3840">
            <v>0</v>
          </cell>
          <cell r="AV3840">
            <v>9000000</v>
          </cell>
        </row>
        <row r="3841">
          <cell r="E3841" t="str">
            <v>D25016703</v>
          </cell>
          <cell r="AP3841">
            <v>0</v>
          </cell>
          <cell r="AQ3841">
            <v>0</v>
          </cell>
          <cell r="AV3841">
            <v>285218900</v>
          </cell>
        </row>
        <row r="3842">
          <cell r="E3842" t="str">
            <v>B25016707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B25016708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B26000051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D26000324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D26000607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D26001548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D26002084</v>
          </cell>
          <cell r="AP3848">
            <v>0</v>
          </cell>
          <cell r="AQ3848">
            <v>0</v>
          </cell>
          <cell r="AV3848">
            <v>0</v>
          </cell>
        </row>
        <row r="3849">
          <cell r="E3849" t="str">
            <v>D26002093</v>
          </cell>
          <cell r="AP3849">
            <v>0</v>
          </cell>
          <cell r="AQ3849">
            <v>0</v>
          </cell>
          <cell r="AV3849">
            <v>0</v>
          </cell>
        </row>
        <row r="3850">
          <cell r="E3850" t="str">
            <v>B25015031</v>
          </cell>
          <cell r="AP3850">
            <v>0</v>
          </cell>
          <cell r="AQ3850">
            <v>0</v>
          </cell>
          <cell r="AV3850">
            <v>0</v>
          </cell>
        </row>
        <row r="3851">
          <cell r="E3851" t="str">
            <v>D25017570</v>
          </cell>
          <cell r="AP3851">
            <v>0</v>
          </cell>
          <cell r="AQ3851">
            <v>0</v>
          </cell>
          <cell r="AV3851">
            <v>0</v>
          </cell>
        </row>
        <row r="3852">
          <cell r="E3852" t="str">
            <v>D25017851</v>
          </cell>
          <cell r="AP3852">
            <v>0</v>
          </cell>
          <cell r="AQ3852">
            <v>0</v>
          </cell>
          <cell r="AV3852">
            <v>0</v>
          </cell>
        </row>
        <row r="3853">
          <cell r="E3853" t="str">
            <v>B25015708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D25018202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D25018246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D25018677</v>
          </cell>
          <cell r="AP3856">
            <v>0</v>
          </cell>
          <cell r="AQ3856">
            <v>111650000</v>
          </cell>
          <cell r="AV3856">
            <v>0</v>
          </cell>
        </row>
        <row r="3857">
          <cell r="E3857" t="str">
            <v>D25018814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D25018815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D25018817</v>
          </cell>
          <cell r="AP3859">
            <v>0</v>
          </cell>
          <cell r="AQ3859">
            <v>0</v>
          </cell>
          <cell r="AV3859">
            <v>0</v>
          </cell>
        </row>
        <row r="3860">
          <cell r="E3860" t="str">
            <v>D25019193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D25019219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D26000116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B26000296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D26001342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D26001717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D26001786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D26001823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D26001842</v>
          </cell>
          <cell r="AP3868">
            <v>0</v>
          </cell>
          <cell r="AQ3868">
            <v>0</v>
          </cell>
          <cell r="AV3868">
            <v>6750000</v>
          </cell>
        </row>
        <row r="3869">
          <cell r="E3869" t="str">
            <v>D26001909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D26001974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B26001928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D26002040</v>
          </cell>
          <cell r="AP3872">
            <v>0</v>
          </cell>
          <cell r="AQ3872">
            <v>0</v>
          </cell>
          <cell r="AV3872">
            <v>0</v>
          </cell>
        </row>
        <row r="3873">
          <cell r="E3873" t="str">
            <v>D26002044</v>
          </cell>
          <cell r="AP3873">
            <v>0</v>
          </cell>
          <cell r="AQ3873">
            <v>0</v>
          </cell>
          <cell r="AV3873">
            <v>0</v>
          </cell>
        </row>
        <row r="3874">
          <cell r="E3874" t="str">
            <v>D25013126</v>
          </cell>
          <cell r="AP3874">
            <v>0</v>
          </cell>
          <cell r="AQ3874">
            <v>0</v>
          </cell>
          <cell r="AV3874">
            <v>0</v>
          </cell>
        </row>
        <row r="3875">
          <cell r="E3875" t="str">
            <v>D25018753</v>
          </cell>
          <cell r="AP3875">
            <v>0</v>
          </cell>
          <cell r="AQ3875">
            <v>0</v>
          </cell>
          <cell r="AV3875">
            <v>0</v>
          </cell>
        </row>
        <row r="3876">
          <cell r="E3876" t="str">
            <v>D25018896</v>
          </cell>
          <cell r="AP3876">
            <v>0</v>
          </cell>
          <cell r="AQ3876">
            <v>0</v>
          </cell>
          <cell r="AV3876">
            <v>0</v>
          </cell>
        </row>
        <row r="3877">
          <cell r="E3877" t="str">
            <v>D25018897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D25018897</v>
          </cell>
          <cell r="AP3878">
            <v>0</v>
          </cell>
          <cell r="AQ3878">
            <v>0</v>
          </cell>
          <cell r="AV3878">
            <v>0</v>
          </cell>
        </row>
        <row r="3879">
          <cell r="E3879" t="str">
            <v>D25019002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B25016680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D25019416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D25019602</v>
          </cell>
          <cell r="AP3882">
            <v>0</v>
          </cell>
          <cell r="AQ3882">
            <v>0</v>
          </cell>
          <cell r="AV3882">
            <v>0</v>
          </cell>
        </row>
        <row r="3883">
          <cell r="E3883" t="str">
            <v>D25019602</v>
          </cell>
          <cell r="AP3883">
            <v>0</v>
          </cell>
          <cell r="AQ3883">
            <v>0</v>
          </cell>
          <cell r="AV3883">
            <v>0</v>
          </cell>
        </row>
        <row r="3884">
          <cell r="E3884" t="str">
            <v>D25019603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B26000026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B26000026</v>
          </cell>
          <cell r="AP3886">
            <v>0</v>
          </cell>
          <cell r="AQ3886">
            <v>0</v>
          </cell>
          <cell r="AV3886">
            <v>0</v>
          </cell>
        </row>
        <row r="3887">
          <cell r="E3887" t="str">
            <v>D26000082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B26001378</v>
          </cell>
          <cell r="AP3888">
            <v>0</v>
          </cell>
          <cell r="AQ3888">
            <v>0</v>
          </cell>
          <cell r="AV3888">
            <v>133000000</v>
          </cell>
        </row>
        <row r="3889">
          <cell r="E3889" t="str">
            <v>D26001502</v>
          </cell>
          <cell r="AP3889">
            <v>0</v>
          </cell>
          <cell r="AQ3889">
            <v>0</v>
          </cell>
          <cell r="AV3889">
            <v>0</v>
          </cell>
        </row>
        <row r="3890">
          <cell r="E3890" t="str">
            <v>B26001421</v>
          </cell>
          <cell r="AP3890">
            <v>0</v>
          </cell>
          <cell r="AQ3890">
            <v>0</v>
          </cell>
          <cell r="AV3890">
            <v>0</v>
          </cell>
        </row>
        <row r="3891">
          <cell r="E3891" t="str">
            <v>B26001422</v>
          </cell>
          <cell r="AP3891">
            <v>0</v>
          </cell>
          <cell r="AQ3891">
            <v>0</v>
          </cell>
          <cell r="AV3891">
            <v>0</v>
          </cell>
        </row>
        <row r="3892">
          <cell r="E3892" t="str">
            <v>B26001426</v>
          </cell>
          <cell r="AP3892">
            <v>0</v>
          </cell>
          <cell r="AQ3892">
            <v>0</v>
          </cell>
          <cell r="AV3892">
            <v>0</v>
          </cell>
        </row>
        <row r="3893">
          <cell r="E3893" t="str">
            <v>D26001606</v>
          </cell>
          <cell r="AP3893">
            <v>0</v>
          </cell>
          <cell r="AQ3893">
            <v>0</v>
          </cell>
          <cell r="AV3893">
            <v>156000000</v>
          </cell>
        </row>
        <row r="3894">
          <cell r="E3894" t="str">
            <v>D26001722</v>
          </cell>
          <cell r="AP3894">
            <v>0</v>
          </cell>
          <cell r="AQ3894">
            <v>0</v>
          </cell>
          <cell r="AV3894">
            <v>0</v>
          </cell>
        </row>
        <row r="3895">
          <cell r="E3895" t="str">
            <v>D26001761</v>
          </cell>
          <cell r="AP3895">
            <v>0</v>
          </cell>
          <cell r="AQ3895">
            <v>0</v>
          </cell>
          <cell r="AV3895">
            <v>0</v>
          </cell>
        </row>
        <row r="3896">
          <cell r="E3896" t="str">
            <v>D26001814</v>
          </cell>
          <cell r="AP3896">
            <v>0</v>
          </cell>
          <cell r="AQ3896">
            <v>0</v>
          </cell>
          <cell r="AV3896">
            <v>0</v>
          </cell>
        </row>
        <row r="3897">
          <cell r="E3897" t="str">
            <v>D26001898</v>
          </cell>
          <cell r="AP3897">
            <v>0</v>
          </cell>
          <cell r="AQ3897">
            <v>0</v>
          </cell>
          <cell r="AV3897">
            <v>0</v>
          </cell>
        </row>
        <row r="3898">
          <cell r="E3898" t="str">
            <v>D26001950</v>
          </cell>
          <cell r="AP3898">
            <v>0</v>
          </cell>
          <cell r="AQ3898">
            <v>0</v>
          </cell>
          <cell r="AV3898">
            <v>0</v>
          </cell>
        </row>
        <row r="3899">
          <cell r="E3899" t="str">
            <v>D26001991</v>
          </cell>
          <cell r="AP3899">
            <v>0</v>
          </cell>
          <cell r="AQ3899">
            <v>0</v>
          </cell>
          <cell r="AV3899">
            <v>0</v>
          </cell>
        </row>
        <row r="3900">
          <cell r="E3900" t="str">
            <v>B26000217</v>
          </cell>
          <cell r="AP3900">
            <v>0</v>
          </cell>
          <cell r="AQ3900">
            <v>0</v>
          </cell>
          <cell r="AV3900">
            <v>3985000</v>
          </cell>
        </row>
        <row r="3901">
          <cell r="E3901" t="str">
            <v>B26000603</v>
          </cell>
          <cell r="AP3901">
            <v>0</v>
          </cell>
          <cell r="AQ3901">
            <v>0</v>
          </cell>
          <cell r="AV3901">
            <v>0</v>
          </cell>
        </row>
        <row r="3902">
          <cell r="E3902" t="str">
            <v>D26000728</v>
          </cell>
          <cell r="AP3902">
            <v>0</v>
          </cell>
          <cell r="AQ3902">
            <v>0</v>
          </cell>
          <cell r="AV3902">
            <v>0</v>
          </cell>
        </row>
        <row r="3903">
          <cell r="E3903" t="str">
            <v>D26001022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T26000070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B26001697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T26000120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T26000121k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T25001688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B25016829</v>
          </cell>
          <cell r="AP3909">
            <v>0</v>
          </cell>
          <cell r="AQ3909">
            <v>0</v>
          </cell>
          <cell r="AV3909">
            <v>8690000</v>
          </cell>
        </row>
        <row r="3910">
          <cell r="E3910" t="str">
            <v>B25016830</v>
          </cell>
          <cell r="AP3910">
            <v>0</v>
          </cell>
          <cell r="AQ3910">
            <v>0</v>
          </cell>
          <cell r="AV3910">
            <v>2760000</v>
          </cell>
        </row>
        <row r="3911">
          <cell r="E3911" t="str">
            <v>D25019556</v>
          </cell>
          <cell r="AP3911">
            <v>0</v>
          </cell>
          <cell r="AQ3911">
            <v>0</v>
          </cell>
          <cell r="AV3911">
            <v>3400000</v>
          </cell>
        </row>
        <row r="3912">
          <cell r="E3912" t="str">
            <v>D25019558</v>
          </cell>
          <cell r="AP3912">
            <v>0</v>
          </cell>
          <cell r="AQ3912">
            <v>0</v>
          </cell>
          <cell r="AV3912">
            <v>8545000</v>
          </cell>
        </row>
        <row r="3913">
          <cell r="E3913" t="str">
            <v>D25019566</v>
          </cell>
          <cell r="AP3913">
            <v>0</v>
          </cell>
          <cell r="AQ3913">
            <v>0</v>
          </cell>
          <cell r="AV3913">
            <v>855000</v>
          </cell>
        </row>
        <row r="3914">
          <cell r="E3914" t="str">
            <v>D25019571</v>
          </cell>
          <cell r="AP3914">
            <v>0</v>
          </cell>
          <cell r="AQ3914">
            <v>0</v>
          </cell>
          <cell r="AV3914">
            <v>3300000</v>
          </cell>
        </row>
        <row r="3915">
          <cell r="E3915" t="str">
            <v>D25019672</v>
          </cell>
          <cell r="AP3915">
            <v>0</v>
          </cell>
          <cell r="AQ3915">
            <v>0</v>
          </cell>
          <cell r="AV3915">
            <v>3500000</v>
          </cell>
        </row>
        <row r="3916">
          <cell r="E3916" t="str">
            <v>D25019688</v>
          </cell>
          <cell r="AP3916">
            <v>0</v>
          </cell>
          <cell r="AQ3916">
            <v>0</v>
          </cell>
          <cell r="AV3916">
            <v>5535000</v>
          </cell>
        </row>
        <row r="3917">
          <cell r="E3917" t="str">
            <v>B26000656</v>
          </cell>
          <cell r="AP3917">
            <v>0</v>
          </cell>
          <cell r="AQ3917">
            <v>0</v>
          </cell>
          <cell r="AV3917">
            <v>0</v>
          </cell>
        </row>
        <row r="3918">
          <cell r="E3918" t="str">
            <v>B26000673</v>
          </cell>
          <cell r="AP3918">
            <v>0</v>
          </cell>
          <cell r="AQ3918">
            <v>0</v>
          </cell>
          <cell r="AV3918">
            <v>0</v>
          </cell>
        </row>
        <row r="3919">
          <cell r="E3919" t="str">
            <v>B26000674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B26000675</v>
          </cell>
          <cell r="AP3920">
            <v>0</v>
          </cell>
          <cell r="AQ3920">
            <v>0</v>
          </cell>
          <cell r="AV3920">
            <v>0</v>
          </cell>
        </row>
        <row r="3921">
          <cell r="E3921" t="str">
            <v>B26000692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B26001193</v>
          </cell>
          <cell r="AP3922">
            <v>0</v>
          </cell>
          <cell r="AQ3922">
            <v>0</v>
          </cell>
          <cell r="AV3922">
            <v>0</v>
          </cell>
        </row>
        <row r="3923">
          <cell r="E3923" t="str">
            <v>B26001719</v>
          </cell>
          <cell r="AP3923">
            <v>0</v>
          </cell>
          <cell r="AQ3923">
            <v>0</v>
          </cell>
          <cell r="AV3923">
            <v>0</v>
          </cell>
        </row>
        <row r="3924">
          <cell r="E3924" t="str">
            <v>B26001720</v>
          </cell>
          <cell r="AP3924">
            <v>0</v>
          </cell>
          <cell r="AQ3924">
            <v>0</v>
          </cell>
          <cell r="AV3924">
            <v>0</v>
          </cell>
        </row>
        <row r="3925">
          <cell r="E3925" t="str">
            <v>B26001721</v>
          </cell>
          <cell r="AP3925">
            <v>0</v>
          </cell>
          <cell r="AQ3925">
            <v>0</v>
          </cell>
          <cell r="AV3925">
            <v>0</v>
          </cell>
        </row>
        <row r="3926">
          <cell r="E3926" t="str">
            <v>B26001823</v>
          </cell>
          <cell r="AP3926">
            <v>0</v>
          </cell>
          <cell r="AQ3926">
            <v>0</v>
          </cell>
          <cell r="AV3926">
            <v>0</v>
          </cell>
        </row>
        <row r="3927">
          <cell r="E3927" t="str">
            <v>B25016204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B25016569</v>
          </cell>
          <cell r="AP3928">
            <v>0</v>
          </cell>
          <cell r="AQ3928">
            <v>0</v>
          </cell>
          <cell r="AV3928">
            <v>11685000</v>
          </cell>
        </row>
        <row r="3929">
          <cell r="E3929" t="str">
            <v>B25016864</v>
          </cell>
          <cell r="AP3929">
            <v>0</v>
          </cell>
          <cell r="AQ3929">
            <v>0</v>
          </cell>
          <cell r="AV3929">
            <v>7315000</v>
          </cell>
        </row>
        <row r="3930">
          <cell r="E3930" t="str">
            <v>B25016879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D26000118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D26000455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D26000456</v>
          </cell>
          <cell r="AP3933">
            <v>0</v>
          </cell>
          <cell r="AQ3933">
            <v>0</v>
          </cell>
          <cell r="AV3933">
            <v>0</v>
          </cell>
        </row>
        <row r="3934">
          <cell r="E3934" t="str">
            <v>D26000605</v>
          </cell>
          <cell r="AP3934">
            <v>0</v>
          </cell>
          <cell r="AQ3934">
            <v>0</v>
          </cell>
          <cell r="AV3934">
            <v>0</v>
          </cell>
        </row>
        <row r="3935">
          <cell r="E3935" t="str">
            <v>D26000834</v>
          </cell>
          <cell r="AP3935">
            <v>0</v>
          </cell>
          <cell r="AQ3935">
            <v>0</v>
          </cell>
          <cell r="AV3935">
            <v>0</v>
          </cell>
        </row>
        <row r="3936">
          <cell r="E3936" t="str">
            <v>D26001066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D26001545</v>
          </cell>
          <cell r="AP3937">
            <v>0</v>
          </cell>
          <cell r="AQ3937">
            <v>0</v>
          </cell>
          <cell r="AV3937">
            <v>4200000</v>
          </cell>
        </row>
        <row r="3938">
          <cell r="E3938" t="str">
            <v>B26001756</v>
          </cell>
          <cell r="AP3938">
            <v>0</v>
          </cell>
          <cell r="AQ3938">
            <v>0</v>
          </cell>
          <cell r="AV3938">
            <v>0</v>
          </cell>
        </row>
        <row r="3939">
          <cell r="E3939" t="str">
            <v>D26001848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T25001572</v>
          </cell>
          <cell r="AP3940">
            <v>0</v>
          </cell>
          <cell r="AQ3940">
            <v>0</v>
          </cell>
          <cell r="AV3940">
            <v>0</v>
          </cell>
        </row>
        <row r="3941">
          <cell r="E3941" t="str">
            <v>D26000847</v>
          </cell>
          <cell r="AP3941">
            <v>0</v>
          </cell>
          <cell r="AQ3941">
            <v>0</v>
          </cell>
          <cell r="AV3941">
            <v>0</v>
          </cell>
        </row>
        <row r="3942">
          <cell r="E3942" t="str">
            <v>D26001198</v>
          </cell>
          <cell r="AP3942">
            <v>0</v>
          </cell>
          <cell r="AQ3942">
            <v>0</v>
          </cell>
          <cell r="AV3942">
            <v>0</v>
          </cell>
        </row>
        <row r="3943">
          <cell r="E3943" t="str">
            <v>B26001883</v>
          </cell>
          <cell r="AP3943">
            <v>0</v>
          </cell>
          <cell r="AQ3943">
            <v>0</v>
          </cell>
          <cell r="AV3943">
            <v>0</v>
          </cell>
        </row>
        <row r="3944">
          <cell r="E3944" t="str">
            <v>B25016111</v>
          </cell>
          <cell r="AP3944">
            <v>0</v>
          </cell>
          <cell r="AQ3944">
            <v>0</v>
          </cell>
          <cell r="AV3944">
            <v>3100000</v>
          </cell>
        </row>
        <row r="3945">
          <cell r="E3945" t="str">
            <v>B25016220</v>
          </cell>
          <cell r="AP3945">
            <v>0</v>
          </cell>
          <cell r="AQ3945">
            <v>0</v>
          </cell>
          <cell r="AV3945">
            <v>2150000</v>
          </cell>
        </row>
        <row r="3946">
          <cell r="E3946" t="str">
            <v>B25016230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D25018668</v>
          </cell>
          <cell r="AP3947">
            <v>0</v>
          </cell>
          <cell r="AQ3947">
            <v>0</v>
          </cell>
          <cell r="AV3947">
            <v>0</v>
          </cell>
        </row>
        <row r="3948">
          <cell r="E3948" t="str">
            <v>T25001414</v>
          </cell>
          <cell r="AP3948">
            <v>1316250</v>
          </cell>
          <cell r="AQ3948">
            <v>0</v>
          </cell>
          <cell r="AV3948">
            <v>0</v>
          </cell>
        </row>
        <row r="3949">
          <cell r="E3949" t="str">
            <v>T25001414</v>
          </cell>
          <cell r="AP3949">
            <v>0</v>
          </cell>
          <cell r="AQ3949">
            <v>0</v>
          </cell>
          <cell r="AV3949">
            <v>383750</v>
          </cell>
        </row>
        <row r="3950">
          <cell r="E3950" t="str">
            <v>D25014916</v>
          </cell>
          <cell r="AP3950">
            <v>5695000</v>
          </cell>
          <cell r="AQ3950">
            <v>0</v>
          </cell>
          <cell r="AV3950">
            <v>0</v>
          </cell>
        </row>
        <row r="3951">
          <cell r="E3951" t="str">
            <v>D25014916</v>
          </cell>
          <cell r="AP3951">
            <v>0</v>
          </cell>
          <cell r="AQ3951">
            <v>0</v>
          </cell>
          <cell r="AV3951">
            <v>1105000</v>
          </cell>
        </row>
        <row r="3952">
          <cell r="E3952" t="str">
            <v>B26001420</v>
          </cell>
          <cell r="AP3952">
            <v>0</v>
          </cell>
          <cell r="AQ3952">
            <v>0</v>
          </cell>
          <cell r="AV3952">
            <v>0</v>
          </cell>
        </row>
        <row r="3953">
          <cell r="E3953" t="str">
            <v>B25016555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D26000024</v>
          </cell>
          <cell r="AP3954">
            <v>0</v>
          </cell>
          <cell r="AQ3954">
            <v>0</v>
          </cell>
          <cell r="AV3954">
            <v>4000000</v>
          </cell>
        </row>
        <row r="3955">
          <cell r="E3955" t="str">
            <v>B26000460</v>
          </cell>
          <cell r="AP3955">
            <v>0</v>
          </cell>
          <cell r="AQ3955">
            <v>0</v>
          </cell>
          <cell r="AV3955">
            <v>20800000</v>
          </cell>
        </row>
        <row r="3956">
          <cell r="E3956" t="str">
            <v>B26000469</v>
          </cell>
          <cell r="AP3956">
            <v>0</v>
          </cell>
          <cell r="AQ3956">
            <v>0</v>
          </cell>
          <cell r="AV3956">
            <v>0</v>
          </cell>
        </row>
        <row r="3957">
          <cell r="E3957" t="str">
            <v>B26000484</v>
          </cell>
          <cell r="AP3957">
            <v>0</v>
          </cell>
          <cell r="AQ3957">
            <v>0</v>
          </cell>
          <cell r="AV3957">
            <v>0</v>
          </cell>
        </row>
        <row r="3958">
          <cell r="E3958" t="str">
            <v>D26000736</v>
          </cell>
          <cell r="AP3958">
            <v>0</v>
          </cell>
          <cell r="AQ3958">
            <v>0</v>
          </cell>
          <cell r="AV3958">
            <v>0</v>
          </cell>
        </row>
        <row r="3959">
          <cell r="E3959" t="str">
            <v>D26000807</v>
          </cell>
          <cell r="AP3959">
            <v>0</v>
          </cell>
          <cell r="AQ3959">
            <v>0</v>
          </cell>
          <cell r="AV3959">
            <v>0</v>
          </cell>
        </row>
        <row r="3960">
          <cell r="E3960" t="str">
            <v>D26000979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D26001218</v>
          </cell>
          <cell r="AP3961">
            <v>0</v>
          </cell>
          <cell r="AQ3961">
            <v>0</v>
          </cell>
          <cell r="AV3961">
            <v>0</v>
          </cell>
        </row>
        <row r="3962">
          <cell r="E3962" t="str">
            <v>B26001254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D26001412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B26001544</v>
          </cell>
          <cell r="AP3964">
            <v>0</v>
          </cell>
          <cell r="AQ3964">
            <v>0</v>
          </cell>
          <cell r="AV3964">
            <v>0</v>
          </cell>
        </row>
        <row r="3965">
          <cell r="E3965" t="str">
            <v>B26001771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B25015299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L25000055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B25016854</v>
          </cell>
          <cell r="AP3968">
            <v>0</v>
          </cell>
          <cell r="AQ3968">
            <v>0</v>
          </cell>
          <cell r="AV3968">
            <v>1700000</v>
          </cell>
        </row>
        <row r="3969">
          <cell r="E3969" t="str">
            <v>D25019472</v>
          </cell>
          <cell r="AP3969">
            <v>0</v>
          </cell>
          <cell r="AQ3969">
            <v>0</v>
          </cell>
          <cell r="AV3969">
            <v>1240000</v>
          </cell>
        </row>
        <row r="3970">
          <cell r="E3970" t="str">
            <v>D26000075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D26000140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B26000899</v>
          </cell>
          <cell r="AP3972">
            <v>0</v>
          </cell>
          <cell r="AQ3972">
            <v>0</v>
          </cell>
          <cell r="AV3972">
            <v>0</v>
          </cell>
        </row>
        <row r="3973">
          <cell r="E3973" t="str">
            <v>B26000935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B26000128</v>
          </cell>
          <cell r="AP3974">
            <v>0</v>
          </cell>
          <cell r="AQ3974">
            <v>0</v>
          </cell>
          <cell r="AV3974">
            <v>0</v>
          </cell>
        </row>
        <row r="3975">
          <cell r="E3975" t="str">
            <v>D26000267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B26001353</v>
          </cell>
          <cell r="AP3976">
            <v>0</v>
          </cell>
          <cell r="AQ3976">
            <v>0</v>
          </cell>
          <cell r="AV3976">
            <v>0</v>
          </cell>
        </row>
        <row r="3977">
          <cell r="E3977" t="str">
            <v>D26001460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D26001461</v>
          </cell>
          <cell r="AP3978">
            <v>0</v>
          </cell>
          <cell r="AQ3978">
            <v>0</v>
          </cell>
          <cell r="AV3978">
            <v>0</v>
          </cell>
        </row>
        <row r="3979">
          <cell r="E3979" t="str">
            <v>B26000669</v>
          </cell>
          <cell r="AP3979">
            <v>0</v>
          </cell>
          <cell r="AQ3979">
            <v>0</v>
          </cell>
          <cell r="AV3979">
            <v>0</v>
          </cell>
        </row>
        <row r="3980">
          <cell r="E3980" t="str">
            <v>B26001598</v>
          </cell>
          <cell r="AP3980">
            <v>0</v>
          </cell>
          <cell r="AQ3980">
            <v>0</v>
          </cell>
          <cell r="AV3980">
            <v>0</v>
          </cell>
        </row>
        <row r="3981">
          <cell r="E3981" t="str">
            <v>D25016298</v>
          </cell>
          <cell r="AP3981">
            <v>0</v>
          </cell>
          <cell r="AQ3981">
            <v>0</v>
          </cell>
          <cell r="AV3981">
            <v>0</v>
          </cell>
        </row>
        <row r="3982">
          <cell r="E3982" t="str">
            <v>D25016299</v>
          </cell>
          <cell r="AP3982">
            <v>0</v>
          </cell>
          <cell r="AQ3982">
            <v>0</v>
          </cell>
          <cell r="AV3982">
            <v>0</v>
          </cell>
        </row>
        <row r="3983">
          <cell r="E3983" t="str">
            <v>D25016434</v>
          </cell>
          <cell r="AP3983">
            <v>0</v>
          </cell>
          <cell r="AQ3983">
            <v>0</v>
          </cell>
          <cell r="AV3983">
            <v>0</v>
          </cell>
        </row>
        <row r="3984">
          <cell r="E3984" t="str">
            <v>B25014206</v>
          </cell>
          <cell r="AP3984">
            <v>0</v>
          </cell>
          <cell r="AQ3984">
            <v>0</v>
          </cell>
          <cell r="AV3984">
            <v>0</v>
          </cell>
        </row>
        <row r="3985">
          <cell r="E3985" t="str">
            <v>D25016491</v>
          </cell>
          <cell r="AP3985">
            <v>0</v>
          </cell>
          <cell r="AQ3985">
            <v>0</v>
          </cell>
          <cell r="AV3985">
            <v>0</v>
          </cell>
        </row>
        <row r="3986">
          <cell r="E3986" t="str">
            <v>D25016604</v>
          </cell>
          <cell r="AP3986">
            <v>0</v>
          </cell>
          <cell r="AQ3986">
            <v>0</v>
          </cell>
          <cell r="AV3986">
            <v>0</v>
          </cell>
        </row>
        <row r="3987">
          <cell r="E3987" t="str">
            <v>D25016638</v>
          </cell>
          <cell r="AP3987">
            <v>0</v>
          </cell>
          <cell r="AQ3987">
            <v>0</v>
          </cell>
          <cell r="AV3987">
            <v>0</v>
          </cell>
        </row>
        <row r="3988">
          <cell r="E3988" t="str">
            <v>D25016644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D25016648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D25016717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B25014496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B25014496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B25014521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B25014584</v>
          </cell>
          <cell r="AP3994">
            <v>0</v>
          </cell>
          <cell r="AQ3994">
            <v>0</v>
          </cell>
          <cell r="AV3994">
            <v>0</v>
          </cell>
        </row>
        <row r="3995">
          <cell r="E3995" t="str">
            <v>B25014584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B25014662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B25014786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B25014786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B25014787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B25014840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B25014879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B25014883</v>
          </cell>
          <cell r="AP4002">
            <v>0</v>
          </cell>
          <cell r="AQ4002">
            <v>0</v>
          </cell>
          <cell r="AV4002">
            <v>0</v>
          </cell>
        </row>
        <row r="4003">
          <cell r="E4003" t="str">
            <v>B25014884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D25017290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D25017291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B25015055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B25015056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B25015062</v>
          </cell>
          <cell r="AP4008">
            <v>0</v>
          </cell>
          <cell r="AQ4008">
            <v>0</v>
          </cell>
          <cell r="AV4008">
            <v>0</v>
          </cell>
        </row>
        <row r="4009">
          <cell r="E4009" t="str">
            <v>D25017388</v>
          </cell>
          <cell r="AP4009">
            <v>0</v>
          </cell>
          <cell r="AQ4009">
            <v>0</v>
          </cell>
          <cell r="AV4009">
            <v>0</v>
          </cell>
        </row>
        <row r="4010">
          <cell r="E4010" t="str">
            <v>D25017569</v>
          </cell>
          <cell r="AP4010">
            <v>0</v>
          </cell>
          <cell r="AQ4010">
            <v>0</v>
          </cell>
          <cell r="AV4010">
            <v>0</v>
          </cell>
        </row>
        <row r="4011">
          <cell r="E4011" t="str">
            <v>D25017569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D25017576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D25017578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B25015257</v>
          </cell>
          <cell r="AP4014">
            <v>0</v>
          </cell>
          <cell r="AQ4014">
            <v>0</v>
          </cell>
          <cell r="AV4014">
            <v>0</v>
          </cell>
        </row>
        <row r="4015">
          <cell r="E4015" t="str">
            <v>B25015259</v>
          </cell>
          <cell r="AP4015">
            <v>0</v>
          </cell>
          <cell r="AQ4015">
            <v>0</v>
          </cell>
          <cell r="AV4015">
            <v>0</v>
          </cell>
        </row>
        <row r="4016">
          <cell r="E4016" t="str">
            <v>B25015354</v>
          </cell>
          <cell r="AP4016">
            <v>0</v>
          </cell>
          <cell r="AQ4016">
            <v>0</v>
          </cell>
          <cell r="AV4016">
            <v>0</v>
          </cell>
        </row>
        <row r="4017">
          <cell r="E4017" t="str">
            <v>D25017763</v>
          </cell>
          <cell r="AP4017">
            <v>0</v>
          </cell>
          <cell r="AQ4017">
            <v>0</v>
          </cell>
          <cell r="AV4017">
            <v>0</v>
          </cell>
        </row>
        <row r="4018">
          <cell r="E4018" t="str">
            <v>D25017810</v>
          </cell>
          <cell r="AP4018">
            <v>0</v>
          </cell>
          <cell r="AQ4018">
            <v>0</v>
          </cell>
          <cell r="AV4018">
            <v>0</v>
          </cell>
        </row>
        <row r="4019">
          <cell r="E4019" t="str">
            <v>D25017866</v>
          </cell>
          <cell r="AP4019">
            <v>0</v>
          </cell>
          <cell r="AQ4019">
            <v>0</v>
          </cell>
          <cell r="AV4019">
            <v>0</v>
          </cell>
        </row>
        <row r="4020">
          <cell r="E4020" t="str">
            <v>D25017867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D25017990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B25015598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D25018031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D25018033</v>
          </cell>
          <cell r="AP4024">
            <v>0</v>
          </cell>
          <cell r="AQ4024">
            <v>0</v>
          </cell>
          <cell r="AV4024">
            <v>0</v>
          </cell>
        </row>
        <row r="4025">
          <cell r="E4025" t="str">
            <v>D25018260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D25018263</v>
          </cell>
          <cell r="AP4026">
            <v>0</v>
          </cell>
          <cell r="AQ4026">
            <v>0</v>
          </cell>
          <cell r="AV4026">
            <v>0</v>
          </cell>
        </row>
        <row r="4027">
          <cell r="E4027" t="str">
            <v>B25015923</v>
          </cell>
          <cell r="AP4027">
            <v>0</v>
          </cell>
          <cell r="AQ4027">
            <v>0</v>
          </cell>
          <cell r="AV4027">
            <v>0</v>
          </cell>
        </row>
        <row r="4028">
          <cell r="E4028" t="str">
            <v>B25016082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B25016108</v>
          </cell>
          <cell r="AP4029">
            <v>0</v>
          </cell>
          <cell r="AQ4029">
            <v>0</v>
          </cell>
          <cell r="AV4029">
            <v>0</v>
          </cell>
        </row>
        <row r="4030">
          <cell r="E4030" t="str">
            <v>B25016108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B25016109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B25016109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B25016109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B25016135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D25018533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D25018535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D25018566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D25018589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D25018600</v>
          </cell>
          <cell r="AP4039">
            <v>0</v>
          </cell>
          <cell r="AQ4039">
            <v>0</v>
          </cell>
          <cell r="AV4039">
            <v>0</v>
          </cell>
        </row>
        <row r="4040">
          <cell r="E4040" t="str">
            <v>D25018624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D25018624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D25018652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B25016253</v>
          </cell>
          <cell r="AP4043">
            <v>0</v>
          </cell>
          <cell r="AQ4043">
            <v>0</v>
          </cell>
          <cell r="AV4043">
            <v>0</v>
          </cell>
        </row>
        <row r="4044">
          <cell r="E4044" t="str">
            <v>B25016254</v>
          </cell>
          <cell r="AP4044">
            <v>0</v>
          </cell>
          <cell r="AQ4044">
            <v>0</v>
          </cell>
          <cell r="AV4044">
            <v>0</v>
          </cell>
        </row>
        <row r="4045">
          <cell r="E4045" t="str">
            <v>B25016329</v>
          </cell>
          <cell r="AP4045">
            <v>0</v>
          </cell>
          <cell r="AQ4045">
            <v>0</v>
          </cell>
          <cell r="AV4045">
            <v>0</v>
          </cell>
        </row>
        <row r="4046">
          <cell r="E4046" t="str">
            <v>B25016366</v>
          </cell>
          <cell r="AP4046">
            <v>0</v>
          </cell>
          <cell r="AQ4046">
            <v>0</v>
          </cell>
          <cell r="AV4046">
            <v>0</v>
          </cell>
        </row>
        <row r="4047">
          <cell r="E4047" t="str">
            <v>B25016462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B25016463</v>
          </cell>
          <cell r="AP4048">
            <v>0</v>
          </cell>
          <cell r="AQ4048">
            <v>0</v>
          </cell>
          <cell r="AV4048">
            <v>0</v>
          </cell>
        </row>
        <row r="4049">
          <cell r="E4049" t="str">
            <v>B25016463</v>
          </cell>
          <cell r="AP4049">
            <v>0</v>
          </cell>
          <cell r="AQ4049">
            <v>0</v>
          </cell>
          <cell r="AV4049">
            <v>0</v>
          </cell>
        </row>
        <row r="4050">
          <cell r="E4050" t="str">
            <v>B25016463</v>
          </cell>
          <cell r="AP4050">
            <v>0</v>
          </cell>
          <cell r="AQ4050">
            <v>0</v>
          </cell>
          <cell r="AV4050">
            <v>0</v>
          </cell>
        </row>
        <row r="4051">
          <cell r="E4051" t="str">
            <v>B25016463</v>
          </cell>
          <cell r="AP4051">
            <v>0</v>
          </cell>
          <cell r="AQ4051">
            <v>0</v>
          </cell>
          <cell r="AV4051">
            <v>0</v>
          </cell>
        </row>
        <row r="4052">
          <cell r="E4052" t="str">
            <v>B25016467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D25018945</v>
          </cell>
          <cell r="AP4053">
            <v>0</v>
          </cell>
          <cell r="AQ4053">
            <v>0</v>
          </cell>
          <cell r="AV4053">
            <v>0</v>
          </cell>
        </row>
        <row r="4054">
          <cell r="E4054" t="str">
            <v>B25016583</v>
          </cell>
          <cell r="AP4054">
            <v>0</v>
          </cell>
          <cell r="AQ4054">
            <v>0</v>
          </cell>
          <cell r="AV4054">
            <v>0</v>
          </cell>
        </row>
        <row r="4055">
          <cell r="E4055" t="str">
            <v>D25019041</v>
          </cell>
          <cell r="AP4055">
            <v>0</v>
          </cell>
          <cell r="AQ4055">
            <v>0</v>
          </cell>
          <cell r="AV4055">
            <v>0</v>
          </cell>
        </row>
        <row r="4056">
          <cell r="E4056" t="str">
            <v>D25019047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D25019074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D25019354</v>
          </cell>
          <cell r="AP4058">
            <v>0</v>
          </cell>
          <cell r="AQ4058">
            <v>0</v>
          </cell>
          <cell r="AV4058">
            <v>0</v>
          </cell>
        </row>
        <row r="4059">
          <cell r="E4059" t="str">
            <v>B25016951</v>
          </cell>
          <cell r="AP4059">
            <v>0</v>
          </cell>
          <cell r="AQ4059">
            <v>0</v>
          </cell>
          <cell r="AV4059">
            <v>0</v>
          </cell>
        </row>
        <row r="4060">
          <cell r="E4060" t="str">
            <v>B25016968</v>
          </cell>
          <cell r="AP4060">
            <v>0</v>
          </cell>
          <cell r="AQ4060">
            <v>0</v>
          </cell>
          <cell r="AV4060">
            <v>0</v>
          </cell>
        </row>
        <row r="4061">
          <cell r="E4061" t="str">
            <v>B25016976</v>
          </cell>
          <cell r="AP4061">
            <v>0</v>
          </cell>
          <cell r="AQ4061">
            <v>0</v>
          </cell>
          <cell r="AV4061">
            <v>0</v>
          </cell>
        </row>
        <row r="4062">
          <cell r="E4062" t="str">
            <v>B25017051</v>
          </cell>
          <cell r="AP4062">
            <v>0</v>
          </cell>
          <cell r="AQ4062">
            <v>91800000</v>
          </cell>
          <cell r="AV4062">
            <v>0</v>
          </cell>
        </row>
        <row r="4063">
          <cell r="E4063" t="str">
            <v>D25019669</v>
          </cell>
          <cell r="AP4063">
            <v>0</v>
          </cell>
          <cell r="AQ4063">
            <v>15500000</v>
          </cell>
          <cell r="AV4063">
            <v>0</v>
          </cell>
        </row>
        <row r="4064">
          <cell r="E4064" t="str">
            <v>B25017144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B26000011</v>
          </cell>
          <cell r="AP4065">
            <v>0</v>
          </cell>
          <cell r="AQ4065">
            <v>20345000</v>
          </cell>
          <cell r="AV4065">
            <v>0</v>
          </cell>
        </row>
        <row r="4066">
          <cell r="E4066" t="str">
            <v>D26000003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D26000004</v>
          </cell>
          <cell r="AP4067">
            <v>0</v>
          </cell>
          <cell r="AQ4067">
            <v>29250000</v>
          </cell>
          <cell r="AV4067">
            <v>0</v>
          </cell>
        </row>
        <row r="4068">
          <cell r="E4068" t="str">
            <v>D26000038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D26000043</v>
          </cell>
          <cell r="AP4069">
            <v>0</v>
          </cell>
          <cell r="AQ4069">
            <v>3150000</v>
          </cell>
          <cell r="AV4069">
            <v>0</v>
          </cell>
        </row>
        <row r="4070">
          <cell r="E4070" t="str">
            <v>B26000223</v>
          </cell>
          <cell r="AP4070">
            <v>0</v>
          </cell>
          <cell r="AQ4070">
            <v>39315000</v>
          </cell>
          <cell r="AV4070">
            <v>0</v>
          </cell>
        </row>
        <row r="4071">
          <cell r="E4071" t="str">
            <v>D26000251</v>
          </cell>
          <cell r="AP4071">
            <v>0</v>
          </cell>
          <cell r="AQ4071">
            <v>48100000</v>
          </cell>
          <cell r="AV4071">
            <v>0</v>
          </cell>
        </row>
        <row r="4072">
          <cell r="E4072" t="str">
            <v>D26000296</v>
          </cell>
          <cell r="AP4072">
            <v>0</v>
          </cell>
          <cell r="AQ4072">
            <v>98000000</v>
          </cell>
          <cell r="AV4072">
            <v>0</v>
          </cell>
        </row>
        <row r="4073">
          <cell r="E4073" t="str">
            <v>D26000305</v>
          </cell>
          <cell r="AP4073">
            <v>0</v>
          </cell>
          <cell r="AQ4073">
            <v>72000000</v>
          </cell>
          <cell r="AV4073">
            <v>0</v>
          </cell>
        </row>
        <row r="4074">
          <cell r="E4074" t="str">
            <v>D26000307</v>
          </cell>
          <cell r="AP4074">
            <v>0</v>
          </cell>
          <cell r="AQ4074">
            <v>164322000</v>
          </cell>
          <cell r="AV4074">
            <v>0</v>
          </cell>
        </row>
        <row r="4075">
          <cell r="E4075" t="str">
            <v>D26000320</v>
          </cell>
          <cell r="AP4075">
            <v>0</v>
          </cell>
          <cell r="AQ4075">
            <v>28300000</v>
          </cell>
          <cell r="AV4075">
            <v>0</v>
          </cell>
        </row>
        <row r="4076">
          <cell r="E4076" t="str">
            <v>D26000328</v>
          </cell>
          <cell r="AP4076">
            <v>0</v>
          </cell>
          <cell r="AQ4076">
            <v>29540000</v>
          </cell>
          <cell r="AV4076">
            <v>0</v>
          </cell>
        </row>
        <row r="4077">
          <cell r="E4077" t="str">
            <v>D26000458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D26000465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D26000468</v>
          </cell>
          <cell r="AP4079">
            <v>0</v>
          </cell>
          <cell r="AQ4079">
            <v>0</v>
          </cell>
          <cell r="AV4079">
            <v>0</v>
          </cell>
        </row>
        <row r="4080">
          <cell r="E4080" t="str">
            <v>B26000576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B26000577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D26000677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D26000726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D26000727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D26000777</v>
          </cell>
          <cell r="AP4085">
            <v>0</v>
          </cell>
          <cell r="AQ4085">
            <v>0</v>
          </cell>
          <cell r="AV4085">
            <v>0</v>
          </cell>
        </row>
        <row r="4086">
          <cell r="E4086" t="str">
            <v>B26000792</v>
          </cell>
          <cell r="AP4086">
            <v>0</v>
          </cell>
          <cell r="AQ4086">
            <v>0</v>
          </cell>
          <cell r="AV4086">
            <v>0</v>
          </cell>
        </row>
        <row r="4087">
          <cell r="E4087" t="str">
            <v>D26000871</v>
          </cell>
          <cell r="AP4087">
            <v>0</v>
          </cell>
          <cell r="AQ4087">
            <v>0</v>
          </cell>
          <cell r="AV4087">
            <v>0</v>
          </cell>
        </row>
        <row r="4088">
          <cell r="E4088" t="str">
            <v>D26000986</v>
          </cell>
          <cell r="AP4088">
            <v>0</v>
          </cell>
          <cell r="AQ4088">
            <v>0</v>
          </cell>
          <cell r="AV4088">
            <v>0</v>
          </cell>
        </row>
        <row r="4089">
          <cell r="E4089" t="str">
            <v>B26001097</v>
          </cell>
          <cell r="AP4089">
            <v>0</v>
          </cell>
          <cell r="AQ4089">
            <v>0</v>
          </cell>
          <cell r="AV4089">
            <v>0</v>
          </cell>
        </row>
        <row r="4090">
          <cell r="E4090" t="str">
            <v>D26001331</v>
          </cell>
          <cell r="AP4090">
            <v>0</v>
          </cell>
          <cell r="AQ4090">
            <v>0</v>
          </cell>
          <cell r="AV4090">
            <v>0</v>
          </cell>
        </row>
        <row r="4091">
          <cell r="E4091" t="str">
            <v>B26001276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B26001349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B26001401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D26001429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D26001430</v>
          </cell>
          <cell r="AP4095">
            <v>0</v>
          </cell>
          <cell r="AQ4095">
            <v>0</v>
          </cell>
          <cell r="AV4095">
            <v>0</v>
          </cell>
        </row>
        <row r="4096">
          <cell r="E4096" t="str">
            <v>D26001447</v>
          </cell>
          <cell r="AP4096">
            <v>0</v>
          </cell>
          <cell r="AQ4096">
            <v>0</v>
          </cell>
          <cell r="AV4096">
            <v>0</v>
          </cell>
        </row>
        <row r="4097">
          <cell r="E4097" t="str">
            <v>D26001485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D26001493</v>
          </cell>
          <cell r="AP4098">
            <v>0</v>
          </cell>
          <cell r="AQ4098">
            <v>0</v>
          </cell>
          <cell r="AV4098">
            <v>0</v>
          </cell>
        </row>
        <row r="4099">
          <cell r="E4099" t="str">
            <v>D26001512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B26001493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D26001600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D26001604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D26001623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D26001635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B26001573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D26001672</v>
          </cell>
          <cell r="AP4106">
            <v>0</v>
          </cell>
          <cell r="AQ4106">
            <v>0</v>
          </cell>
          <cell r="AV4106">
            <v>0</v>
          </cell>
        </row>
        <row r="4107">
          <cell r="E4107" t="str">
            <v>B26001616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D26001798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D26001809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B26001711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B26001716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D26001860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D26002016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D26002021</v>
          </cell>
          <cell r="AP4114">
            <v>0</v>
          </cell>
          <cell r="AQ4114">
            <v>0</v>
          </cell>
          <cell r="AV4114">
            <v>0</v>
          </cell>
        </row>
        <row r="4115">
          <cell r="E4115" t="str">
            <v>B26001758</v>
          </cell>
          <cell r="AP4115">
            <v>0</v>
          </cell>
          <cell r="AQ4115">
            <v>0</v>
          </cell>
          <cell r="AV4115">
            <v>0</v>
          </cell>
        </row>
        <row r="4116">
          <cell r="E4116" t="str">
            <v>T26000132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B25016062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D26000533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B26000504</v>
          </cell>
          <cell r="AP4119">
            <v>0</v>
          </cell>
          <cell r="AQ4119">
            <v>0</v>
          </cell>
          <cell r="AV4119">
            <v>0</v>
          </cell>
        </row>
        <row r="4120">
          <cell r="E4120" t="str">
            <v>D26000915</v>
          </cell>
          <cell r="AP4120">
            <v>0</v>
          </cell>
          <cell r="AQ4120">
            <v>0</v>
          </cell>
          <cell r="AV4120">
            <v>0</v>
          </cell>
        </row>
        <row r="4121">
          <cell r="E4121" t="str">
            <v>D26001269</v>
          </cell>
          <cell r="AP4121">
            <v>0</v>
          </cell>
          <cell r="AQ4121">
            <v>0</v>
          </cell>
          <cell r="AV4121">
            <v>0</v>
          </cell>
        </row>
        <row r="4122">
          <cell r="E4122" t="str">
            <v>B25016000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D25019017</v>
          </cell>
          <cell r="AP4123">
            <v>0</v>
          </cell>
          <cell r="AQ4123">
            <v>0</v>
          </cell>
          <cell r="AV4123">
            <v>0</v>
          </cell>
        </row>
        <row r="4124">
          <cell r="E4124" t="str">
            <v>B26001286</v>
          </cell>
          <cell r="AP4124">
            <v>0</v>
          </cell>
          <cell r="AQ4124">
            <v>0</v>
          </cell>
          <cell r="AV4124">
            <v>0</v>
          </cell>
        </row>
        <row r="4125">
          <cell r="E4125" t="str">
            <v>B26001659</v>
          </cell>
          <cell r="AP4125">
            <v>0</v>
          </cell>
          <cell r="AQ4125">
            <v>0</v>
          </cell>
          <cell r="AV4125">
            <v>0</v>
          </cell>
        </row>
        <row r="4126">
          <cell r="E4126" t="str">
            <v>B26001681</v>
          </cell>
          <cell r="AP4126">
            <v>0</v>
          </cell>
          <cell r="AQ4126">
            <v>0</v>
          </cell>
          <cell r="AV4126">
            <v>0</v>
          </cell>
        </row>
        <row r="4127">
          <cell r="E4127" t="str">
            <v>T25001791</v>
          </cell>
          <cell r="AP4127">
            <v>0</v>
          </cell>
          <cell r="AQ4127">
            <v>0</v>
          </cell>
          <cell r="AV4127">
            <v>0</v>
          </cell>
        </row>
        <row r="4128">
          <cell r="E4128" t="str">
            <v>T25001792</v>
          </cell>
          <cell r="AP4128">
            <v>0</v>
          </cell>
          <cell r="AQ4128">
            <v>0</v>
          </cell>
          <cell r="AV4128">
            <v>0</v>
          </cell>
        </row>
        <row r="4129">
          <cell r="E4129" t="str">
            <v>D25019371</v>
          </cell>
          <cell r="AP4129">
            <v>0</v>
          </cell>
          <cell r="AQ4129">
            <v>0</v>
          </cell>
          <cell r="AV4129">
            <v>16800000</v>
          </cell>
        </row>
        <row r="4130">
          <cell r="E4130" t="str">
            <v>B26000361</v>
          </cell>
          <cell r="AP4130">
            <v>0</v>
          </cell>
          <cell r="AQ4130">
            <v>0</v>
          </cell>
          <cell r="AV4130">
            <v>0</v>
          </cell>
        </row>
        <row r="4131">
          <cell r="E4131" t="str">
            <v>B26000362</v>
          </cell>
          <cell r="AP4131">
            <v>0</v>
          </cell>
          <cell r="AQ4131">
            <v>0</v>
          </cell>
          <cell r="AV4131">
            <v>0</v>
          </cell>
        </row>
        <row r="4132">
          <cell r="E4132" t="str">
            <v>B26000836</v>
          </cell>
          <cell r="AP4132">
            <v>0</v>
          </cell>
          <cell r="AQ4132">
            <v>0</v>
          </cell>
          <cell r="AV4132">
            <v>0</v>
          </cell>
        </row>
        <row r="4133">
          <cell r="E4133" t="str">
            <v>B26000839</v>
          </cell>
          <cell r="AP4133">
            <v>0</v>
          </cell>
          <cell r="AQ4133">
            <v>0</v>
          </cell>
          <cell r="AV4133">
            <v>0</v>
          </cell>
        </row>
        <row r="4134">
          <cell r="E4134" t="str">
            <v>B26000854</v>
          </cell>
          <cell r="AP4134">
            <v>0</v>
          </cell>
          <cell r="AQ4134">
            <v>0</v>
          </cell>
          <cell r="AV4134">
            <v>0</v>
          </cell>
        </row>
        <row r="4135">
          <cell r="E4135" t="str">
            <v>B26000877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B26001354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D25018432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D25018496</v>
          </cell>
          <cell r="AP4138">
            <v>0</v>
          </cell>
          <cell r="AQ4138">
            <v>0</v>
          </cell>
          <cell r="AV4138">
            <v>236400000</v>
          </cell>
        </row>
        <row r="4139">
          <cell r="E4139" t="str">
            <v>B25016226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D25019206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D26000264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T26000018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D26000694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D26000809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D26001112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D26001375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D26001541</v>
          </cell>
          <cell r="AP4147">
            <v>0</v>
          </cell>
          <cell r="AQ4147">
            <v>0</v>
          </cell>
          <cell r="AV4147">
            <v>0</v>
          </cell>
        </row>
        <row r="4148">
          <cell r="E4148" t="str">
            <v>B26001476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D26001642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D26001720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D26001760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D26001973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B25016849</v>
          </cell>
          <cell r="AP4153">
            <v>0</v>
          </cell>
          <cell r="AQ4153">
            <v>0</v>
          </cell>
          <cell r="AV4153">
            <v>27860000</v>
          </cell>
        </row>
        <row r="4154">
          <cell r="E4154" t="str">
            <v>B25016967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B25016969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B26000544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D26000948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D26001106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B26001700</v>
          </cell>
          <cell r="AP4159">
            <v>0</v>
          </cell>
          <cell r="AQ4159">
            <v>0</v>
          </cell>
          <cell r="AV4159">
            <v>0</v>
          </cell>
        </row>
        <row r="4160">
          <cell r="E4160" t="str">
            <v>D25019098</v>
          </cell>
          <cell r="AP4160">
            <v>0</v>
          </cell>
          <cell r="AQ4160">
            <v>0</v>
          </cell>
          <cell r="AV4160">
            <v>0</v>
          </cell>
        </row>
        <row r="4161">
          <cell r="E4161" t="str">
            <v>B26000599</v>
          </cell>
          <cell r="AP4161">
            <v>0</v>
          </cell>
          <cell r="AQ4161">
            <v>0</v>
          </cell>
          <cell r="AV4161">
            <v>0</v>
          </cell>
        </row>
        <row r="4162">
          <cell r="E4162" t="str">
            <v>D26000627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D25018704</v>
          </cell>
          <cell r="AP4163">
            <v>0</v>
          </cell>
          <cell r="AQ4163">
            <v>0</v>
          </cell>
          <cell r="AV4163">
            <v>6000000</v>
          </cell>
        </row>
        <row r="4164">
          <cell r="E4164" t="str">
            <v>D25018755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D25018858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D25019061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D25019278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D25019454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D25019594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D25019702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D26000214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D26000467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D26000635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D26000799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D26000943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D26000944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D26000964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D26001117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B26001287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B26001508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B26001757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B25015633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T25001860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D25019154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D25016913</v>
          </cell>
          <cell r="AP4185">
            <v>0</v>
          </cell>
          <cell r="AQ4185">
            <v>0</v>
          </cell>
          <cell r="AV4185">
            <v>7660000</v>
          </cell>
        </row>
        <row r="4186">
          <cell r="E4186" t="str">
            <v>D25019342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B25016964</v>
          </cell>
          <cell r="AP4187">
            <v>0</v>
          </cell>
          <cell r="AQ4187">
            <v>0</v>
          </cell>
          <cell r="AV4187">
            <v>2195000</v>
          </cell>
        </row>
        <row r="4188">
          <cell r="E4188" t="str">
            <v>D26000178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D26000333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D26000883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B26001109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B26001281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B26001456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D26001907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B25016656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B26001695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D26000164</v>
          </cell>
          <cell r="AP4197">
            <v>0</v>
          </cell>
          <cell r="AQ4197">
            <v>0</v>
          </cell>
          <cell r="AV4197">
            <v>1640000</v>
          </cell>
        </row>
        <row r="4198">
          <cell r="E4198" t="str">
            <v>B26000788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D26001696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B26001688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B25016398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D26000838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D26000845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D26001389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B26001366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B26001400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B26001764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D26001886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B26001947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D25019562</v>
          </cell>
          <cell r="AP4210">
            <v>0</v>
          </cell>
          <cell r="AQ4210">
            <v>0</v>
          </cell>
          <cell r="AV4210">
            <v>5000000</v>
          </cell>
        </row>
        <row r="4211">
          <cell r="E4211" t="str">
            <v>D26001926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D25016614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B25016902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B26000061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B26001376</v>
          </cell>
          <cell r="AP4215">
            <v>0</v>
          </cell>
          <cell r="AQ4215">
            <v>0</v>
          </cell>
          <cell r="AV4215">
            <v>0</v>
          </cell>
        </row>
        <row r="4216">
          <cell r="E4216" t="str">
            <v>T25001374</v>
          </cell>
          <cell r="AP4216">
            <v>0</v>
          </cell>
          <cell r="AQ4216">
            <v>0</v>
          </cell>
          <cell r="AV4216">
            <v>0</v>
          </cell>
        </row>
        <row r="4217">
          <cell r="E4217" t="str">
            <v>B26001362</v>
          </cell>
          <cell r="AP4217">
            <v>0</v>
          </cell>
          <cell r="AQ4217">
            <v>0</v>
          </cell>
          <cell r="AV4217">
            <v>0</v>
          </cell>
        </row>
        <row r="4218">
          <cell r="E4218" t="str">
            <v>D25017742</v>
          </cell>
          <cell r="AP4218">
            <v>0</v>
          </cell>
          <cell r="AQ4218">
            <v>0</v>
          </cell>
          <cell r="AV4218">
            <v>0</v>
          </cell>
        </row>
        <row r="4219">
          <cell r="E4219" t="str">
            <v>B26001076</v>
          </cell>
          <cell r="AP4219">
            <v>0</v>
          </cell>
          <cell r="AQ4219">
            <v>0</v>
          </cell>
          <cell r="AV4219">
            <v>0</v>
          </cell>
        </row>
        <row r="4220">
          <cell r="E4220" t="str">
            <v>D26001567</v>
          </cell>
          <cell r="AP4220">
            <v>0</v>
          </cell>
          <cell r="AQ4220">
            <v>0</v>
          </cell>
          <cell r="AV4220">
            <v>15000000</v>
          </cell>
        </row>
        <row r="4221">
          <cell r="E4221" t="str">
            <v>B26001592</v>
          </cell>
          <cell r="AP4221">
            <v>0</v>
          </cell>
          <cell r="AQ4221">
            <v>0</v>
          </cell>
          <cell r="AV4221">
            <v>4840000</v>
          </cell>
        </row>
        <row r="4222">
          <cell r="E4222" t="str">
            <v>B26001593</v>
          </cell>
          <cell r="AP4222">
            <v>0</v>
          </cell>
          <cell r="AQ4222">
            <v>0</v>
          </cell>
          <cell r="AV4222">
            <v>906500</v>
          </cell>
        </row>
        <row r="4223">
          <cell r="E4223" t="str">
            <v>B26000310</v>
          </cell>
          <cell r="AP4223">
            <v>0</v>
          </cell>
          <cell r="AQ4223">
            <v>0</v>
          </cell>
          <cell r="AV4223">
            <v>0</v>
          </cell>
        </row>
        <row r="4224">
          <cell r="E4224" t="str">
            <v>D26001175</v>
          </cell>
          <cell r="AP4224">
            <v>0</v>
          </cell>
          <cell r="AQ4224">
            <v>0</v>
          </cell>
          <cell r="AV4224">
            <v>0</v>
          </cell>
        </row>
        <row r="4225">
          <cell r="E4225" t="str">
            <v>D26001615</v>
          </cell>
          <cell r="AP4225">
            <v>0</v>
          </cell>
          <cell r="AQ4225">
            <v>0</v>
          </cell>
          <cell r="AV4225">
            <v>0</v>
          </cell>
        </row>
        <row r="4226">
          <cell r="E4226" t="str">
            <v>B25017060</v>
          </cell>
          <cell r="AP4226">
            <v>0</v>
          </cell>
          <cell r="AQ4226">
            <v>0</v>
          </cell>
          <cell r="AV4226">
            <v>17520000</v>
          </cell>
        </row>
        <row r="4227">
          <cell r="E4227" t="str">
            <v>D26001639</v>
          </cell>
          <cell r="AP4227">
            <v>0</v>
          </cell>
          <cell r="AQ4227">
            <v>0</v>
          </cell>
          <cell r="AV4227">
            <v>0</v>
          </cell>
        </row>
        <row r="4228">
          <cell r="E4228" t="str">
            <v>D26001476</v>
          </cell>
          <cell r="AP4228">
            <v>0</v>
          </cell>
          <cell r="AQ4228">
            <v>0</v>
          </cell>
          <cell r="AV4228">
            <v>382450000</v>
          </cell>
        </row>
        <row r="4229">
          <cell r="E4229" t="str">
            <v>D26001558</v>
          </cell>
          <cell r="AP4229">
            <v>0</v>
          </cell>
          <cell r="AQ4229">
            <v>0</v>
          </cell>
          <cell r="AV4229">
            <v>117550000</v>
          </cell>
        </row>
        <row r="4230">
          <cell r="E4230" t="str">
            <v>D26001558</v>
          </cell>
          <cell r="AP4230">
            <v>0</v>
          </cell>
          <cell r="AQ4230">
            <v>0</v>
          </cell>
          <cell r="AV4230">
            <v>150000000</v>
          </cell>
        </row>
        <row r="4231">
          <cell r="E4231" t="str">
            <v>D26001558</v>
          </cell>
          <cell r="AP4231">
            <v>0</v>
          </cell>
          <cell r="AQ4231">
            <v>0</v>
          </cell>
          <cell r="AV4231">
            <v>158000000</v>
          </cell>
        </row>
        <row r="4232">
          <cell r="E4232" t="str">
            <v>D26001970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D26002001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Z25003229</v>
          </cell>
          <cell r="AP4234">
            <v>0</v>
          </cell>
          <cell r="AQ4234">
            <v>0</v>
          </cell>
          <cell r="AV4234">
            <v>6400000</v>
          </cell>
        </row>
        <row r="4235">
          <cell r="E4235" t="str">
            <v>Z25003285</v>
          </cell>
          <cell r="AP4235">
            <v>0</v>
          </cell>
          <cell r="AQ4235">
            <v>0</v>
          </cell>
          <cell r="AV4235">
            <v>2076000</v>
          </cell>
        </row>
        <row r="4236">
          <cell r="E4236" t="str">
            <v>Z25003370</v>
          </cell>
          <cell r="AP4236">
            <v>0</v>
          </cell>
          <cell r="AQ4236">
            <v>0</v>
          </cell>
          <cell r="AV4236">
            <v>0</v>
          </cell>
        </row>
        <row r="4237">
          <cell r="E4237" t="str">
            <v>Z26000191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Z26000193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Z26000275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Z26000300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Z26000303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D25016711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T25001656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D26001941</v>
          </cell>
          <cell r="AP4244">
            <v>0</v>
          </cell>
          <cell r="AQ4244">
            <v>0</v>
          </cell>
          <cell r="AV4244">
            <v>0</v>
          </cell>
        </row>
        <row r="4245">
          <cell r="E4245" t="str">
            <v>D26001942</v>
          </cell>
          <cell r="AP4245">
            <v>0</v>
          </cell>
          <cell r="AQ4245">
            <v>0</v>
          </cell>
          <cell r="AV4245">
            <v>0</v>
          </cell>
        </row>
        <row r="4246">
          <cell r="E4246" t="str">
            <v>D26000260</v>
          </cell>
          <cell r="AP4246">
            <v>0</v>
          </cell>
          <cell r="AQ4246">
            <v>0</v>
          </cell>
          <cell r="AV4246">
            <v>0</v>
          </cell>
        </row>
        <row r="4247">
          <cell r="E4247" t="str">
            <v>D26001820</v>
          </cell>
          <cell r="AP4247">
            <v>0</v>
          </cell>
          <cell r="AQ4247">
            <v>0</v>
          </cell>
          <cell r="AV4247">
            <v>0</v>
          </cell>
        </row>
        <row r="4248">
          <cell r="E4248" t="str">
            <v>B25016661</v>
          </cell>
          <cell r="AP4248">
            <v>0</v>
          </cell>
          <cell r="AQ4248">
            <v>0</v>
          </cell>
          <cell r="AV4248">
            <v>0</v>
          </cell>
        </row>
        <row r="4249">
          <cell r="E4249" t="str">
            <v>B25016985</v>
          </cell>
          <cell r="AP4249">
            <v>0</v>
          </cell>
          <cell r="AQ4249">
            <v>0</v>
          </cell>
          <cell r="AV4249">
            <v>0</v>
          </cell>
        </row>
        <row r="4250">
          <cell r="E4250" t="str">
            <v>B26001785</v>
          </cell>
          <cell r="AP4250">
            <v>0</v>
          </cell>
          <cell r="AQ4250">
            <v>0</v>
          </cell>
          <cell r="AV4250">
            <v>0</v>
          </cell>
        </row>
        <row r="4251">
          <cell r="E4251" t="str">
            <v>B25016543</v>
          </cell>
          <cell r="AP4251">
            <v>0</v>
          </cell>
          <cell r="AQ4251">
            <v>0</v>
          </cell>
          <cell r="AV4251">
            <v>7625000</v>
          </cell>
        </row>
        <row r="4252">
          <cell r="E4252" t="str">
            <v>D25019191</v>
          </cell>
          <cell r="AP4252">
            <v>0</v>
          </cell>
          <cell r="AQ4252">
            <v>0</v>
          </cell>
          <cell r="AV4252">
            <v>64680000</v>
          </cell>
        </row>
        <row r="4253">
          <cell r="E4253" t="str">
            <v>B25016735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D26000512</v>
          </cell>
          <cell r="AP4254">
            <v>0</v>
          </cell>
          <cell r="AQ4254">
            <v>0</v>
          </cell>
          <cell r="AV4254">
            <v>0</v>
          </cell>
        </row>
        <row r="4255">
          <cell r="E4255" t="str">
            <v>D26001892</v>
          </cell>
          <cell r="AP4255">
            <v>0</v>
          </cell>
          <cell r="AQ4255">
            <v>0</v>
          </cell>
          <cell r="AV4255">
            <v>0</v>
          </cell>
        </row>
        <row r="4256">
          <cell r="E4256" t="str">
            <v>B26001672</v>
          </cell>
          <cell r="AP4256">
            <v>0</v>
          </cell>
          <cell r="AQ4256">
            <v>0</v>
          </cell>
          <cell r="AV4256">
            <v>3000000</v>
          </cell>
        </row>
        <row r="4257">
          <cell r="E4257" t="str">
            <v>D26000141</v>
          </cell>
          <cell r="AP4257">
            <v>0</v>
          </cell>
          <cell r="AQ4257">
            <v>0</v>
          </cell>
          <cell r="AV4257">
            <v>5312500</v>
          </cell>
        </row>
        <row r="4258">
          <cell r="E4258" t="str">
            <v>D26000195</v>
          </cell>
          <cell r="AP4258">
            <v>0</v>
          </cell>
          <cell r="AQ4258">
            <v>0</v>
          </cell>
          <cell r="AV4258">
            <v>5312500</v>
          </cell>
        </row>
        <row r="4259">
          <cell r="E4259">
            <v>250199</v>
          </cell>
          <cell r="AP4259">
            <v>0</v>
          </cell>
          <cell r="AQ4259">
            <v>0</v>
          </cell>
          <cell r="AV4259">
            <v>0</v>
          </cell>
        </row>
        <row r="4260">
          <cell r="E4260" t="str">
            <v>B25016627</v>
          </cell>
          <cell r="AP4260">
            <v>0</v>
          </cell>
          <cell r="AQ4260">
            <v>0</v>
          </cell>
          <cell r="AV4260">
            <v>136770000</v>
          </cell>
        </row>
        <row r="4261">
          <cell r="E4261" t="str">
            <v>B25016628</v>
          </cell>
          <cell r="AP4261">
            <v>0</v>
          </cell>
          <cell r="AQ4261">
            <v>0</v>
          </cell>
          <cell r="AV4261">
            <v>0</v>
          </cell>
        </row>
        <row r="4262">
          <cell r="E4262" t="str">
            <v>D26000424</v>
          </cell>
          <cell r="AP4262">
            <v>0</v>
          </cell>
          <cell r="AQ4262">
            <v>0</v>
          </cell>
          <cell r="AV4262">
            <v>0</v>
          </cell>
        </row>
        <row r="4263">
          <cell r="E4263" t="str">
            <v>D26000425</v>
          </cell>
          <cell r="AP4263">
            <v>0</v>
          </cell>
          <cell r="AQ4263">
            <v>0</v>
          </cell>
          <cell r="AV4263">
            <v>0</v>
          </cell>
        </row>
        <row r="4264">
          <cell r="E4264" t="str">
            <v>D26000426</v>
          </cell>
          <cell r="AP4264">
            <v>0</v>
          </cell>
          <cell r="AQ4264">
            <v>0</v>
          </cell>
          <cell r="AV4264">
            <v>0</v>
          </cell>
        </row>
        <row r="4265">
          <cell r="E4265" t="str">
            <v>B26000562</v>
          </cell>
          <cell r="AP4265">
            <v>0</v>
          </cell>
          <cell r="AQ4265">
            <v>0</v>
          </cell>
          <cell r="AV4265">
            <v>0</v>
          </cell>
        </row>
        <row r="4266">
          <cell r="E4266" t="str">
            <v>D26000644</v>
          </cell>
          <cell r="AP4266">
            <v>0</v>
          </cell>
          <cell r="AQ4266">
            <v>0</v>
          </cell>
          <cell r="AV4266">
            <v>0</v>
          </cell>
        </row>
        <row r="4267">
          <cell r="E4267" t="str">
            <v>D26000658</v>
          </cell>
          <cell r="AP4267">
            <v>0</v>
          </cell>
          <cell r="AQ4267">
            <v>0</v>
          </cell>
          <cell r="AV4267">
            <v>79000000</v>
          </cell>
        </row>
        <row r="4268">
          <cell r="E4268" t="str">
            <v>D26000659</v>
          </cell>
          <cell r="AP4268">
            <v>0</v>
          </cell>
          <cell r="AQ4268">
            <v>0</v>
          </cell>
          <cell r="AV4268">
            <v>0</v>
          </cell>
        </row>
        <row r="4269">
          <cell r="E4269" t="str">
            <v>D26000668</v>
          </cell>
          <cell r="AP4269">
            <v>0</v>
          </cell>
          <cell r="AQ4269">
            <v>0</v>
          </cell>
          <cell r="AV4269">
            <v>0</v>
          </cell>
        </row>
        <row r="4270">
          <cell r="E4270" t="str">
            <v>D26000829</v>
          </cell>
          <cell r="AP4270">
            <v>0</v>
          </cell>
          <cell r="AQ4270">
            <v>0</v>
          </cell>
          <cell r="AV4270">
            <v>0</v>
          </cell>
        </row>
        <row r="4271">
          <cell r="E4271" t="str">
            <v>D26001193</v>
          </cell>
          <cell r="AP4271">
            <v>0</v>
          </cell>
          <cell r="AQ4271">
            <v>0</v>
          </cell>
          <cell r="AV4271">
            <v>0</v>
          </cell>
        </row>
        <row r="4272">
          <cell r="E4272" t="str">
            <v>D26001204</v>
          </cell>
          <cell r="AP4272">
            <v>0</v>
          </cell>
          <cell r="AQ4272">
            <v>0</v>
          </cell>
          <cell r="AV4272">
            <v>0</v>
          </cell>
        </row>
        <row r="4273">
          <cell r="E4273" t="str">
            <v>D26001295</v>
          </cell>
          <cell r="AP4273">
            <v>0</v>
          </cell>
          <cell r="AQ4273">
            <v>0</v>
          </cell>
          <cell r="AV4273">
            <v>0</v>
          </cell>
        </row>
        <row r="4274">
          <cell r="E4274" t="str">
            <v>D26001479</v>
          </cell>
          <cell r="AP4274">
            <v>0</v>
          </cell>
          <cell r="AQ4274">
            <v>0</v>
          </cell>
          <cell r="AV4274">
            <v>0</v>
          </cell>
        </row>
        <row r="4275">
          <cell r="E4275" t="str">
            <v>D26002013</v>
          </cell>
          <cell r="AP4275">
            <v>0</v>
          </cell>
          <cell r="AQ4275">
            <v>0</v>
          </cell>
          <cell r="AV4275">
            <v>0</v>
          </cell>
        </row>
        <row r="4276">
          <cell r="E4276" t="str">
            <v>T25001836</v>
          </cell>
          <cell r="AP4276">
            <v>0</v>
          </cell>
          <cell r="AQ4276">
            <v>0</v>
          </cell>
          <cell r="AV4276">
            <v>0</v>
          </cell>
        </row>
        <row r="4277">
          <cell r="E4277" t="str">
            <v>T25001236</v>
          </cell>
          <cell r="AP4277">
            <v>0</v>
          </cell>
          <cell r="AQ4277">
            <v>0</v>
          </cell>
          <cell r="AV4277">
            <v>0</v>
          </cell>
        </row>
        <row r="4278">
          <cell r="E4278" t="str">
            <v>D26001993</v>
          </cell>
          <cell r="AP4278">
            <v>0</v>
          </cell>
          <cell r="AQ4278">
            <v>0</v>
          </cell>
          <cell r="AV4278">
            <v>0</v>
          </cell>
        </row>
        <row r="4279">
          <cell r="E4279" t="str">
            <v>T25000648</v>
          </cell>
          <cell r="AP4279">
            <v>0</v>
          </cell>
          <cell r="AQ4279">
            <v>0</v>
          </cell>
          <cell r="AV4279">
            <v>0</v>
          </cell>
        </row>
        <row r="4280">
          <cell r="E4280" t="str">
            <v>R25000130</v>
          </cell>
          <cell r="AP4280">
            <v>0</v>
          </cell>
          <cell r="AQ4280">
            <v>0</v>
          </cell>
          <cell r="AV4280">
            <v>0</v>
          </cell>
        </row>
        <row r="4281">
          <cell r="E4281" t="str">
            <v>B25016710</v>
          </cell>
          <cell r="AP4281">
            <v>0</v>
          </cell>
          <cell r="AQ4281">
            <v>0</v>
          </cell>
          <cell r="AV4281">
            <v>0</v>
          </cell>
        </row>
        <row r="4282">
          <cell r="E4282" t="str">
            <v>B25016919</v>
          </cell>
          <cell r="AP4282">
            <v>0</v>
          </cell>
          <cell r="AQ4282">
            <v>0</v>
          </cell>
          <cell r="AV4282">
            <v>0</v>
          </cell>
        </row>
        <row r="4283">
          <cell r="E4283">
            <v>260002</v>
          </cell>
          <cell r="AP4283">
            <v>0</v>
          </cell>
          <cell r="AQ4283">
            <v>0</v>
          </cell>
          <cell r="AV4283">
            <v>0</v>
          </cell>
        </row>
        <row r="4284">
          <cell r="E4284" t="str">
            <v>D26000076</v>
          </cell>
          <cell r="AP4284">
            <v>0</v>
          </cell>
          <cell r="AQ4284">
            <v>0</v>
          </cell>
          <cell r="AV4284">
            <v>0</v>
          </cell>
        </row>
        <row r="4285">
          <cell r="E4285" t="str">
            <v>D26000108</v>
          </cell>
          <cell r="AP4285">
            <v>0</v>
          </cell>
          <cell r="AQ4285">
            <v>0</v>
          </cell>
          <cell r="AV4285">
            <v>0</v>
          </cell>
        </row>
        <row r="4286">
          <cell r="E4286" t="str">
            <v>B26000201</v>
          </cell>
          <cell r="AP4286">
            <v>0</v>
          </cell>
          <cell r="AQ4286">
            <v>0</v>
          </cell>
          <cell r="AV4286">
            <v>0</v>
          </cell>
        </row>
        <row r="4287">
          <cell r="E4287" t="str">
            <v>D26000836</v>
          </cell>
          <cell r="AP4287">
            <v>0</v>
          </cell>
          <cell r="AQ4287">
            <v>0</v>
          </cell>
          <cell r="AV4287">
            <v>0</v>
          </cell>
        </row>
        <row r="4288">
          <cell r="E4288" t="str">
            <v>B26000929</v>
          </cell>
          <cell r="AP4288">
            <v>0</v>
          </cell>
          <cell r="AQ4288">
            <v>0</v>
          </cell>
          <cell r="AV4288">
            <v>0</v>
          </cell>
        </row>
        <row r="4289">
          <cell r="E4289" t="str">
            <v>D26001388</v>
          </cell>
          <cell r="AP4289">
            <v>0</v>
          </cell>
          <cell r="AQ4289">
            <v>0</v>
          </cell>
          <cell r="AV4289">
            <v>0</v>
          </cell>
        </row>
        <row r="4290">
          <cell r="E4290" t="str">
            <v>B25017113</v>
          </cell>
          <cell r="AP4290">
            <v>0</v>
          </cell>
          <cell r="AQ4290">
            <v>0</v>
          </cell>
          <cell r="AV4290">
            <v>1100000</v>
          </cell>
        </row>
        <row r="4291">
          <cell r="E4291" t="str">
            <v>D26000059</v>
          </cell>
          <cell r="AP4291">
            <v>0</v>
          </cell>
          <cell r="AQ4291">
            <v>0</v>
          </cell>
          <cell r="AV4291">
            <v>1600000</v>
          </cell>
        </row>
        <row r="4292">
          <cell r="E4292" t="str">
            <v>D26001185</v>
          </cell>
          <cell r="AP4292">
            <v>0</v>
          </cell>
          <cell r="AQ4292">
            <v>0</v>
          </cell>
          <cell r="AV4292">
            <v>0</v>
          </cell>
        </row>
        <row r="4293">
          <cell r="E4293" t="str">
            <v>D26001186</v>
          </cell>
          <cell r="AP4293">
            <v>0</v>
          </cell>
          <cell r="AQ4293">
            <v>0</v>
          </cell>
          <cell r="AV4293">
            <v>0</v>
          </cell>
        </row>
        <row r="4294">
          <cell r="E4294" t="str">
            <v>D26001693</v>
          </cell>
          <cell r="AP4294">
            <v>0</v>
          </cell>
          <cell r="AQ4294">
            <v>0</v>
          </cell>
          <cell r="AV4294">
            <v>0</v>
          </cell>
        </row>
        <row r="4295">
          <cell r="E4295" t="str">
            <v>B26001742</v>
          </cell>
          <cell r="AP4295">
            <v>0</v>
          </cell>
          <cell r="AQ4295">
            <v>0</v>
          </cell>
          <cell r="AV4295">
            <v>0</v>
          </cell>
        </row>
        <row r="4296">
          <cell r="E4296" t="str">
            <v>T25001640</v>
          </cell>
          <cell r="AP4296">
            <v>0</v>
          </cell>
          <cell r="AQ4296">
            <v>0</v>
          </cell>
          <cell r="AV4296">
            <v>2500000</v>
          </cell>
        </row>
        <row r="4297">
          <cell r="E4297" t="str">
            <v>D25019122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D26000103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B26000774</v>
          </cell>
          <cell r="AP4299">
            <v>0</v>
          </cell>
          <cell r="AQ4299">
            <v>0</v>
          </cell>
          <cell r="AV4299">
            <v>0</v>
          </cell>
        </row>
        <row r="4300">
          <cell r="E4300" t="str">
            <v>T26000047</v>
          </cell>
          <cell r="AP4300">
            <v>0</v>
          </cell>
          <cell r="AQ4300">
            <v>0</v>
          </cell>
          <cell r="AV4300">
            <v>0</v>
          </cell>
        </row>
        <row r="4301">
          <cell r="E4301" t="str">
            <v>T26000109</v>
          </cell>
          <cell r="AP4301">
            <v>0</v>
          </cell>
          <cell r="AQ4301">
            <v>0</v>
          </cell>
          <cell r="AV4301">
            <v>0</v>
          </cell>
        </row>
        <row r="4302">
          <cell r="E4302" t="str">
            <v>D26000714</v>
          </cell>
          <cell r="AP4302">
            <v>0</v>
          </cell>
          <cell r="AQ4302">
            <v>0</v>
          </cell>
          <cell r="AV4302">
            <v>0</v>
          </cell>
        </row>
        <row r="4303">
          <cell r="E4303" t="str">
            <v>D26000715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T26000036</v>
          </cell>
          <cell r="AP4304">
            <v>0</v>
          </cell>
          <cell r="AQ4304">
            <v>0</v>
          </cell>
          <cell r="AV4304">
            <v>0</v>
          </cell>
        </row>
        <row r="4305">
          <cell r="E4305" t="str">
            <v>B26000960</v>
          </cell>
          <cell r="AP4305">
            <v>0</v>
          </cell>
          <cell r="AQ4305">
            <v>0</v>
          </cell>
          <cell r="AV4305">
            <v>0</v>
          </cell>
        </row>
        <row r="4306">
          <cell r="E4306" t="str">
            <v>B26001297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T25001726</v>
          </cell>
          <cell r="AP4307">
            <v>0</v>
          </cell>
          <cell r="AQ4307">
            <v>0</v>
          </cell>
          <cell r="AV4307">
            <v>0</v>
          </cell>
        </row>
        <row r="4308">
          <cell r="E4308" t="str">
            <v>T25001727</v>
          </cell>
          <cell r="AP4308">
            <v>0</v>
          </cell>
          <cell r="AQ4308">
            <v>0</v>
          </cell>
          <cell r="AV4308">
            <v>0</v>
          </cell>
        </row>
        <row r="4309">
          <cell r="E4309" t="str">
            <v>T25001891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T25001499k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D25016324</v>
          </cell>
          <cell r="AP4311">
            <v>0</v>
          </cell>
          <cell r="AQ4311">
            <v>0</v>
          </cell>
          <cell r="AV4311">
            <v>0</v>
          </cell>
        </row>
        <row r="4312">
          <cell r="E4312" t="str">
            <v>B25014290</v>
          </cell>
          <cell r="AP4312">
            <v>0</v>
          </cell>
          <cell r="AQ4312">
            <v>0</v>
          </cell>
          <cell r="AV4312">
            <v>0</v>
          </cell>
        </row>
        <row r="4313">
          <cell r="E4313" t="str">
            <v>T25001642</v>
          </cell>
          <cell r="AP4313">
            <v>0</v>
          </cell>
          <cell r="AQ4313">
            <v>0</v>
          </cell>
          <cell r="AV4313">
            <v>0</v>
          </cell>
        </row>
        <row r="4314">
          <cell r="E4314" t="str">
            <v>B25014665</v>
          </cell>
          <cell r="AP4314">
            <v>0</v>
          </cell>
          <cell r="AQ4314">
            <v>0</v>
          </cell>
          <cell r="AV4314">
            <v>0</v>
          </cell>
        </row>
        <row r="4315">
          <cell r="E4315" t="str">
            <v>D25017559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D25017560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T25001743</v>
          </cell>
          <cell r="AP4317">
            <v>0</v>
          </cell>
          <cell r="AQ4317">
            <v>0</v>
          </cell>
          <cell r="AV4317">
            <v>0</v>
          </cell>
        </row>
        <row r="4318">
          <cell r="E4318" t="str">
            <v>B25015759</v>
          </cell>
          <cell r="AP4318">
            <v>0</v>
          </cell>
          <cell r="AQ4318">
            <v>0</v>
          </cell>
          <cell r="AV4318">
            <v>0</v>
          </cell>
        </row>
        <row r="4319">
          <cell r="E4319" t="str">
            <v>B25015760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B25016494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B25016495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B26000065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B26000407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B26000801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B26000802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T26000052k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T26000053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B26000919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B26001531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B26001532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B26001539</v>
          </cell>
          <cell r="AP4331">
            <v>0</v>
          </cell>
          <cell r="AQ4331">
            <v>0</v>
          </cell>
          <cell r="AV4331">
            <v>1350000</v>
          </cell>
        </row>
        <row r="4332">
          <cell r="E4332" t="str">
            <v>B26001543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B25016130</v>
          </cell>
          <cell r="AP4333">
            <v>0</v>
          </cell>
          <cell r="AQ4333">
            <v>0</v>
          </cell>
          <cell r="AV4333">
            <v>2597800</v>
          </cell>
        </row>
        <row r="4334">
          <cell r="E4334" t="str">
            <v>D25019283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D26001180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B26001811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B26001868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B26001920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D25015072</v>
          </cell>
          <cell r="AP4339">
            <v>0</v>
          </cell>
          <cell r="AQ4339">
            <v>0</v>
          </cell>
          <cell r="AV4339">
            <v>3680000</v>
          </cell>
        </row>
        <row r="4340">
          <cell r="E4340" t="str">
            <v>T25001501</v>
          </cell>
          <cell r="AP4340">
            <v>0</v>
          </cell>
          <cell r="AQ4340">
            <v>0</v>
          </cell>
          <cell r="AV4340">
            <v>1320000</v>
          </cell>
        </row>
        <row r="4341">
          <cell r="E4341" t="str">
            <v>B25015134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D25017600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B25015240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D25018399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B25016041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D25018626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D25018819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D25018822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B25016573</v>
          </cell>
          <cell r="AP4349">
            <v>0</v>
          </cell>
          <cell r="AQ4349">
            <v>0</v>
          </cell>
          <cell r="AV4349">
            <v>0</v>
          </cell>
        </row>
        <row r="4350">
          <cell r="E4350" t="str">
            <v>D25019089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D25019270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D25019287</v>
          </cell>
          <cell r="AP4352">
            <v>0</v>
          </cell>
          <cell r="AQ4352">
            <v>0</v>
          </cell>
          <cell r="AV4352">
            <v>0</v>
          </cell>
        </row>
        <row r="4353">
          <cell r="E4353" t="str">
            <v>D25019324</v>
          </cell>
          <cell r="AP4353">
            <v>0</v>
          </cell>
          <cell r="AQ4353">
            <v>0</v>
          </cell>
          <cell r="AV4353">
            <v>0</v>
          </cell>
        </row>
        <row r="4354">
          <cell r="E4354" t="str">
            <v>B25017028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B25017059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D25019673</v>
          </cell>
          <cell r="AP4356">
            <v>0</v>
          </cell>
          <cell r="AQ4356">
            <v>0</v>
          </cell>
          <cell r="AV4356">
            <v>0</v>
          </cell>
        </row>
        <row r="4357">
          <cell r="E4357" t="str">
            <v>D25019680</v>
          </cell>
          <cell r="AP4357">
            <v>0</v>
          </cell>
          <cell r="AQ4357">
            <v>0</v>
          </cell>
          <cell r="AV4357">
            <v>0</v>
          </cell>
        </row>
        <row r="4358">
          <cell r="E4358" t="str">
            <v>D26000202</v>
          </cell>
          <cell r="AP4358">
            <v>0</v>
          </cell>
          <cell r="AQ4358">
            <v>0</v>
          </cell>
          <cell r="AV4358">
            <v>0</v>
          </cell>
        </row>
        <row r="4359">
          <cell r="E4359" t="str">
            <v>D26000682</v>
          </cell>
          <cell r="AP4359">
            <v>0</v>
          </cell>
          <cell r="AQ4359">
            <v>0</v>
          </cell>
          <cell r="AV4359">
            <v>0</v>
          </cell>
        </row>
        <row r="4360">
          <cell r="E4360" t="str">
            <v>B26000700</v>
          </cell>
          <cell r="AP4360">
            <v>0</v>
          </cell>
          <cell r="AQ4360">
            <v>0</v>
          </cell>
          <cell r="AV4360">
            <v>0</v>
          </cell>
        </row>
        <row r="4361">
          <cell r="E4361" t="str">
            <v>D26000778</v>
          </cell>
          <cell r="AP4361">
            <v>0</v>
          </cell>
          <cell r="AQ4361">
            <v>0</v>
          </cell>
          <cell r="AV4361">
            <v>0</v>
          </cell>
        </row>
        <row r="4362">
          <cell r="E4362" t="str">
            <v>B26000791</v>
          </cell>
          <cell r="AP4362">
            <v>0</v>
          </cell>
          <cell r="AQ4362">
            <v>0</v>
          </cell>
          <cell r="AV4362">
            <v>0</v>
          </cell>
        </row>
        <row r="4363">
          <cell r="E4363" t="str">
            <v>B26001170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B26001181</v>
          </cell>
          <cell r="AP4364">
            <v>0</v>
          </cell>
          <cell r="AQ4364">
            <v>0</v>
          </cell>
          <cell r="AV4364">
            <v>0</v>
          </cell>
        </row>
        <row r="4365">
          <cell r="E4365" t="str">
            <v>B26001220</v>
          </cell>
          <cell r="AP4365">
            <v>0</v>
          </cell>
          <cell r="AQ4365">
            <v>0</v>
          </cell>
          <cell r="AV4365">
            <v>0</v>
          </cell>
        </row>
        <row r="4366">
          <cell r="E4366" t="str">
            <v>D26001819</v>
          </cell>
          <cell r="AP4366">
            <v>0</v>
          </cell>
          <cell r="AQ4366">
            <v>0</v>
          </cell>
          <cell r="AV4366">
            <v>0</v>
          </cell>
        </row>
        <row r="4367">
          <cell r="E4367" t="str">
            <v>D26001838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D26001897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B26001899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B26000546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D26000254</v>
          </cell>
          <cell r="AP4371">
            <v>0</v>
          </cell>
          <cell r="AQ4371">
            <v>0</v>
          </cell>
          <cell r="AV4371">
            <v>1725000</v>
          </cell>
        </row>
        <row r="4372">
          <cell r="E4372" t="str">
            <v>D26000255</v>
          </cell>
          <cell r="AP4372">
            <v>0</v>
          </cell>
          <cell r="AQ4372">
            <v>0</v>
          </cell>
          <cell r="AV4372">
            <v>900000</v>
          </cell>
        </row>
        <row r="4373">
          <cell r="E4373" t="str">
            <v>D26000398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D26000983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B26001256</v>
          </cell>
          <cell r="AP4375">
            <v>0</v>
          </cell>
          <cell r="AQ4375">
            <v>0</v>
          </cell>
          <cell r="AV4375">
            <v>0</v>
          </cell>
        </row>
        <row r="4376">
          <cell r="E4376" t="str">
            <v>D26000511</v>
          </cell>
          <cell r="AP4376">
            <v>0</v>
          </cell>
          <cell r="AQ4376">
            <v>0</v>
          </cell>
          <cell r="AV4376">
            <v>0</v>
          </cell>
        </row>
        <row r="4377">
          <cell r="E4377" t="str">
            <v>D26000510</v>
          </cell>
          <cell r="AP4377">
            <v>0</v>
          </cell>
          <cell r="AQ4377">
            <v>0</v>
          </cell>
          <cell r="AV4377">
            <v>0</v>
          </cell>
        </row>
        <row r="4378">
          <cell r="E4378" t="str">
            <v>B26000601</v>
          </cell>
          <cell r="AP4378">
            <v>0</v>
          </cell>
          <cell r="AQ4378">
            <v>0</v>
          </cell>
          <cell r="AV4378">
            <v>6212000</v>
          </cell>
        </row>
        <row r="4379">
          <cell r="E4379" t="str">
            <v>B26000601</v>
          </cell>
          <cell r="AP4379">
            <v>0</v>
          </cell>
          <cell r="AQ4379">
            <v>0</v>
          </cell>
          <cell r="AV4379">
            <v>500</v>
          </cell>
        </row>
        <row r="4380">
          <cell r="E4380" t="str">
            <v>D26000753</v>
          </cell>
          <cell r="AP4380">
            <v>0</v>
          </cell>
          <cell r="AQ4380">
            <v>0</v>
          </cell>
          <cell r="AV4380">
            <v>0</v>
          </cell>
        </row>
        <row r="4381">
          <cell r="E4381" t="str">
            <v>B26001215</v>
          </cell>
          <cell r="AP4381">
            <v>0</v>
          </cell>
          <cell r="AQ4381">
            <v>0</v>
          </cell>
          <cell r="AV4381">
            <v>0</v>
          </cell>
        </row>
        <row r="4382">
          <cell r="E4382" t="str">
            <v>B26001432</v>
          </cell>
          <cell r="AP4382">
            <v>0</v>
          </cell>
          <cell r="AQ4382">
            <v>0</v>
          </cell>
          <cell r="AV4382">
            <v>0</v>
          </cell>
        </row>
        <row r="4383">
          <cell r="E4383" t="str">
            <v>B26001602</v>
          </cell>
          <cell r="AP4383">
            <v>0</v>
          </cell>
          <cell r="AQ4383">
            <v>0</v>
          </cell>
          <cell r="AV4383">
            <v>0</v>
          </cell>
        </row>
        <row r="4384">
          <cell r="E4384" t="str">
            <v>T25001747</v>
          </cell>
          <cell r="AP4384">
            <v>0</v>
          </cell>
          <cell r="AQ4384">
            <v>0</v>
          </cell>
          <cell r="AV4384">
            <v>0</v>
          </cell>
        </row>
        <row r="4385">
          <cell r="E4385" t="str">
            <v>T25001819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D25019551</v>
          </cell>
          <cell r="AP4386">
            <v>0</v>
          </cell>
          <cell r="AQ4386">
            <v>0</v>
          </cell>
          <cell r="AV4386">
            <v>0</v>
          </cell>
        </row>
        <row r="4387">
          <cell r="E4387" t="str">
            <v>D25016451</v>
          </cell>
          <cell r="AP4387">
            <v>0</v>
          </cell>
          <cell r="AQ4387">
            <v>0</v>
          </cell>
          <cell r="AV4387">
            <v>10000000</v>
          </cell>
        </row>
        <row r="4388">
          <cell r="E4388" t="str">
            <v>D25016452</v>
          </cell>
          <cell r="AP4388">
            <v>0</v>
          </cell>
          <cell r="AQ4388">
            <v>0</v>
          </cell>
          <cell r="AV4388">
            <v>30000000</v>
          </cell>
        </row>
        <row r="4389">
          <cell r="E4389" t="str">
            <v>B25014976</v>
          </cell>
          <cell r="AP4389">
            <v>0</v>
          </cell>
          <cell r="AQ4389">
            <v>0</v>
          </cell>
          <cell r="AV4389">
            <v>0</v>
          </cell>
        </row>
        <row r="4390">
          <cell r="E4390" t="str">
            <v>B25015475</v>
          </cell>
          <cell r="AP4390">
            <v>0</v>
          </cell>
          <cell r="AQ4390">
            <v>0</v>
          </cell>
          <cell r="AV4390">
            <v>0</v>
          </cell>
        </row>
        <row r="4391">
          <cell r="E4391" t="str">
            <v>B25015792</v>
          </cell>
          <cell r="AP4391">
            <v>0</v>
          </cell>
          <cell r="AQ4391">
            <v>0</v>
          </cell>
          <cell r="AV4391">
            <v>0</v>
          </cell>
        </row>
        <row r="4392">
          <cell r="E4392" t="str">
            <v>B25015921</v>
          </cell>
          <cell r="AP4392">
            <v>0</v>
          </cell>
          <cell r="AQ4392">
            <v>0</v>
          </cell>
          <cell r="AV4392">
            <v>0</v>
          </cell>
        </row>
        <row r="4393">
          <cell r="E4393" t="str">
            <v>D25018359</v>
          </cell>
          <cell r="AP4393">
            <v>0</v>
          </cell>
          <cell r="AQ4393">
            <v>0</v>
          </cell>
          <cell r="AV4393">
            <v>0</v>
          </cell>
        </row>
        <row r="4394">
          <cell r="E4394" t="str">
            <v>D25018773</v>
          </cell>
          <cell r="AP4394">
            <v>0</v>
          </cell>
          <cell r="AQ4394">
            <v>0</v>
          </cell>
          <cell r="AV4394">
            <v>0</v>
          </cell>
        </row>
        <row r="4395">
          <cell r="E4395" t="str">
            <v>D25018786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D25018825</v>
          </cell>
          <cell r="AP4396">
            <v>0</v>
          </cell>
          <cell r="AQ4396">
            <v>0</v>
          </cell>
          <cell r="AV4396">
            <v>0</v>
          </cell>
        </row>
        <row r="4397">
          <cell r="E4397" t="str">
            <v>B25016551</v>
          </cell>
          <cell r="AP4397">
            <v>0</v>
          </cell>
          <cell r="AQ4397">
            <v>0</v>
          </cell>
          <cell r="AV4397">
            <v>0</v>
          </cell>
        </row>
        <row r="4398">
          <cell r="E4398" t="str">
            <v>B25016634</v>
          </cell>
          <cell r="AP4398">
            <v>0</v>
          </cell>
          <cell r="AQ4398">
            <v>0</v>
          </cell>
          <cell r="AV4398">
            <v>0</v>
          </cell>
        </row>
        <row r="4399">
          <cell r="E4399" t="str">
            <v>D25019495</v>
          </cell>
          <cell r="AP4399">
            <v>0</v>
          </cell>
          <cell r="AQ4399">
            <v>0</v>
          </cell>
          <cell r="AV4399">
            <v>0</v>
          </cell>
        </row>
        <row r="4400">
          <cell r="E4400" t="str">
            <v>D25019498</v>
          </cell>
          <cell r="AP4400">
            <v>0</v>
          </cell>
          <cell r="AQ4400">
            <v>0</v>
          </cell>
          <cell r="AV4400">
            <v>0</v>
          </cell>
        </row>
        <row r="4401">
          <cell r="E4401" t="str">
            <v>D25019501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B26000318</v>
          </cell>
          <cell r="AP4402">
            <v>0</v>
          </cell>
          <cell r="AQ4402">
            <v>0</v>
          </cell>
          <cell r="AV4402">
            <v>0</v>
          </cell>
        </row>
        <row r="4403">
          <cell r="E4403" t="str">
            <v>B26000392</v>
          </cell>
          <cell r="AP4403">
            <v>0</v>
          </cell>
          <cell r="AQ4403">
            <v>0</v>
          </cell>
          <cell r="AV4403">
            <v>0</v>
          </cell>
        </row>
        <row r="4404">
          <cell r="E4404" t="str">
            <v>B26000453</v>
          </cell>
          <cell r="AP4404">
            <v>0</v>
          </cell>
          <cell r="AQ4404">
            <v>0</v>
          </cell>
          <cell r="AV4404">
            <v>0</v>
          </cell>
        </row>
        <row r="4405">
          <cell r="E4405" t="str">
            <v>D26000518</v>
          </cell>
          <cell r="AP4405">
            <v>0</v>
          </cell>
          <cell r="AQ4405">
            <v>0</v>
          </cell>
          <cell r="AV4405">
            <v>0</v>
          </cell>
        </row>
        <row r="4406">
          <cell r="E4406" t="str">
            <v>D26000923</v>
          </cell>
          <cell r="AP4406">
            <v>0</v>
          </cell>
          <cell r="AQ4406">
            <v>0</v>
          </cell>
          <cell r="AV4406">
            <v>0</v>
          </cell>
        </row>
        <row r="4407">
          <cell r="E4407" t="str">
            <v>B26001212</v>
          </cell>
          <cell r="AP4407">
            <v>0</v>
          </cell>
          <cell r="AQ4407">
            <v>0</v>
          </cell>
          <cell r="AV4407">
            <v>0</v>
          </cell>
        </row>
        <row r="4408">
          <cell r="E4408" t="str">
            <v>B26001213</v>
          </cell>
          <cell r="AP4408">
            <v>0</v>
          </cell>
          <cell r="AQ4408">
            <v>0</v>
          </cell>
          <cell r="AV4408">
            <v>0</v>
          </cell>
        </row>
        <row r="4409">
          <cell r="E4409" t="str">
            <v>D26001294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D26001396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B26001431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 t="str">
            <v>B26001451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D26001721</v>
          </cell>
          <cell r="AP4413">
            <v>0</v>
          </cell>
          <cell r="AQ4413">
            <v>0</v>
          </cell>
          <cell r="AV4413">
            <v>0</v>
          </cell>
        </row>
        <row r="4414">
          <cell r="E4414" t="str">
            <v>B26001878</v>
          </cell>
          <cell r="AP4414">
            <v>0</v>
          </cell>
          <cell r="AQ4414">
            <v>0</v>
          </cell>
          <cell r="AV4414">
            <v>0</v>
          </cell>
        </row>
        <row r="4415">
          <cell r="E4415" t="str">
            <v>B26001879</v>
          </cell>
          <cell r="AP4415">
            <v>0</v>
          </cell>
          <cell r="AQ4415">
            <v>0</v>
          </cell>
          <cell r="AV4415">
            <v>0</v>
          </cell>
        </row>
        <row r="4416">
          <cell r="E4416" t="str">
            <v>D26001980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D26002007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D26002008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D26002009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B26001921</v>
          </cell>
          <cell r="AP4420">
            <v>0</v>
          </cell>
          <cell r="AQ4420">
            <v>0</v>
          </cell>
          <cell r="AV4420">
            <v>0</v>
          </cell>
        </row>
        <row r="4421">
          <cell r="E4421" t="str">
            <v>D25015935</v>
          </cell>
          <cell r="AP4421">
            <v>0</v>
          </cell>
          <cell r="AQ4421">
            <v>0</v>
          </cell>
          <cell r="AV4421">
            <v>0</v>
          </cell>
        </row>
        <row r="4422">
          <cell r="E4422" t="str">
            <v>D25015936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D25016102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D25016279</v>
          </cell>
          <cell r="AP4424">
            <v>0</v>
          </cell>
          <cell r="AQ4424">
            <v>0</v>
          </cell>
          <cell r="AV4424">
            <v>0</v>
          </cell>
        </row>
        <row r="4425">
          <cell r="E4425" t="str">
            <v>D25016279</v>
          </cell>
          <cell r="AP4425">
            <v>0</v>
          </cell>
          <cell r="AQ4425">
            <v>0</v>
          </cell>
          <cell r="AV4425">
            <v>0</v>
          </cell>
        </row>
        <row r="4426">
          <cell r="E4426" t="str">
            <v>D25016337</v>
          </cell>
          <cell r="AP4426">
            <v>0</v>
          </cell>
          <cell r="AQ4426">
            <v>0</v>
          </cell>
          <cell r="AV4426">
            <v>0</v>
          </cell>
        </row>
        <row r="4427">
          <cell r="E4427" t="str">
            <v>D25016338</v>
          </cell>
          <cell r="AP4427">
            <v>0</v>
          </cell>
          <cell r="AQ4427">
            <v>0</v>
          </cell>
          <cell r="AV4427">
            <v>0</v>
          </cell>
        </row>
        <row r="4428">
          <cell r="E4428" t="str">
            <v>D25016835</v>
          </cell>
          <cell r="AP4428">
            <v>0</v>
          </cell>
          <cell r="AQ4428">
            <v>0</v>
          </cell>
          <cell r="AV4428">
            <v>0</v>
          </cell>
        </row>
        <row r="4429">
          <cell r="E4429" t="str">
            <v>D25016835</v>
          </cell>
          <cell r="AP4429">
            <v>0</v>
          </cell>
          <cell r="AQ4429">
            <v>0</v>
          </cell>
          <cell r="AV4429">
            <v>0</v>
          </cell>
        </row>
        <row r="4430">
          <cell r="E4430" t="str">
            <v>D25016876</v>
          </cell>
          <cell r="AP4430">
            <v>0</v>
          </cell>
          <cell r="AQ4430">
            <v>0</v>
          </cell>
          <cell r="AV4430">
            <v>0</v>
          </cell>
        </row>
        <row r="4431">
          <cell r="E4431" t="str">
            <v>D25016876</v>
          </cell>
          <cell r="AP4431">
            <v>0</v>
          </cell>
          <cell r="AQ4431">
            <v>0</v>
          </cell>
          <cell r="AV4431">
            <v>0</v>
          </cell>
        </row>
        <row r="4432">
          <cell r="E4432" t="str">
            <v>D25016896</v>
          </cell>
          <cell r="AP4432">
            <v>0</v>
          </cell>
          <cell r="AQ4432">
            <v>0</v>
          </cell>
          <cell r="AV4432">
            <v>0</v>
          </cell>
        </row>
        <row r="4433">
          <cell r="E4433" t="str">
            <v>D25016896</v>
          </cell>
          <cell r="AP4433">
            <v>0</v>
          </cell>
          <cell r="AQ4433">
            <v>0</v>
          </cell>
          <cell r="AV4433">
            <v>0</v>
          </cell>
        </row>
        <row r="4434">
          <cell r="E4434" t="str">
            <v>D25016967</v>
          </cell>
          <cell r="AP4434">
            <v>0</v>
          </cell>
          <cell r="AQ4434">
            <v>0</v>
          </cell>
          <cell r="AV4434">
            <v>0</v>
          </cell>
        </row>
        <row r="4435">
          <cell r="E4435" t="str">
            <v>D25016967</v>
          </cell>
          <cell r="AP4435">
            <v>0</v>
          </cell>
          <cell r="AQ4435">
            <v>0</v>
          </cell>
          <cell r="AV4435">
            <v>0</v>
          </cell>
        </row>
        <row r="4436">
          <cell r="E4436" t="str">
            <v>D25016970</v>
          </cell>
          <cell r="AP4436">
            <v>0</v>
          </cell>
          <cell r="AQ4436">
            <v>0</v>
          </cell>
          <cell r="AV4436">
            <v>0</v>
          </cell>
        </row>
        <row r="4437">
          <cell r="E4437" t="str">
            <v>D25017010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D25017050</v>
          </cell>
          <cell r="AP4438">
            <v>0</v>
          </cell>
          <cell r="AQ4438">
            <v>0</v>
          </cell>
          <cell r="AV4438">
            <v>0</v>
          </cell>
        </row>
        <row r="4439">
          <cell r="E4439" t="str">
            <v>D25017050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D25017174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D25017174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D25017175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D25017175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D25017274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D25017274</v>
          </cell>
          <cell r="AP4445">
            <v>0</v>
          </cell>
          <cell r="AQ4445">
            <v>0</v>
          </cell>
          <cell r="AV4445">
            <v>0</v>
          </cell>
        </row>
        <row r="4446">
          <cell r="E4446" t="str">
            <v>D25017375</v>
          </cell>
          <cell r="AP4446">
            <v>0</v>
          </cell>
          <cell r="AQ4446">
            <v>0</v>
          </cell>
          <cell r="AV4446">
            <v>0</v>
          </cell>
        </row>
        <row r="4447">
          <cell r="E4447" t="str">
            <v>D25017375</v>
          </cell>
          <cell r="AP4447">
            <v>0</v>
          </cell>
          <cell r="AQ4447">
            <v>0</v>
          </cell>
          <cell r="AV4447">
            <v>0</v>
          </cell>
        </row>
        <row r="4448">
          <cell r="E4448" t="str">
            <v>D25017431</v>
          </cell>
          <cell r="AP4448">
            <v>0</v>
          </cell>
          <cell r="AQ4448">
            <v>0</v>
          </cell>
          <cell r="AV4448">
            <v>0</v>
          </cell>
        </row>
        <row r="4449">
          <cell r="E4449" t="str">
            <v>D25017432</v>
          </cell>
          <cell r="AP4449">
            <v>0</v>
          </cell>
          <cell r="AQ4449">
            <v>0</v>
          </cell>
          <cell r="AV4449">
            <v>0</v>
          </cell>
        </row>
        <row r="4450">
          <cell r="E4450" t="str">
            <v>D25017461</v>
          </cell>
          <cell r="AP4450">
            <v>0</v>
          </cell>
          <cell r="AQ4450">
            <v>0</v>
          </cell>
          <cell r="AV4450">
            <v>0</v>
          </cell>
        </row>
        <row r="4451">
          <cell r="E4451" t="str">
            <v>D25017566</v>
          </cell>
          <cell r="AP4451">
            <v>0</v>
          </cell>
          <cell r="AQ4451">
            <v>0</v>
          </cell>
          <cell r="AV4451">
            <v>0</v>
          </cell>
        </row>
        <row r="4452">
          <cell r="E4452" t="str">
            <v>D25017566</v>
          </cell>
          <cell r="AP4452">
            <v>0</v>
          </cell>
          <cell r="AQ4452">
            <v>0</v>
          </cell>
          <cell r="AV4452">
            <v>0</v>
          </cell>
        </row>
        <row r="4453">
          <cell r="E4453" t="str">
            <v>D25017567</v>
          </cell>
          <cell r="AP4453">
            <v>0</v>
          </cell>
          <cell r="AQ4453">
            <v>0</v>
          </cell>
          <cell r="AV4453">
            <v>0</v>
          </cell>
        </row>
        <row r="4454">
          <cell r="E4454" t="str">
            <v>D25017567</v>
          </cell>
          <cell r="AP4454">
            <v>0</v>
          </cell>
          <cell r="AQ4454">
            <v>0</v>
          </cell>
          <cell r="AV4454">
            <v>0</v>
          </cell>
        </row>
        <row r="4455">
          <cell r="E4455" t="str">
            <v>D25017731</v>
          </cell>
          <cell r="AP4455">
            <v>0</v>
          </cell>
          <cell r="AQ4455">
            <v>0</v>
          </cell>
          <cell r="AV4455">
            <v>0</v>
          </cell>
        </row>
        <row r="4456">
          <cell r="E4456" t="str">
            <v>D25017731</v>
          </cell>
          <cell r="AP4456">
            <v>0</v>
          </cell>
          <cell r="AQ4456">
            <v>0</v>
          </cell>
          <cell r="AV4456">
            <v>0</v>
          </cell>
        </row>
        <row r="4457">
          <cell r="E4457" t="str">
            <v>B25015348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B25015349</v>
          </cell>
          <cell r="AP4458">
            <v>0</v>
          </cell>
          <cell r="AQ4458">
            <v>0</v>
          </cell>
          <cell r="AV4458">
            <v>0</v>
          </cell>
        </row>
        <row r="4459">
          <cell r="E4459" t="str">
            <v>B25015350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D25018068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D25018081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D25018081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D25018082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D25018082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D25018134</v>
          </cell>
          <cell r="AP4465">
            <v>0</v>
          </cell>
          <cell r="AQ4465">
            <v>0</v>
          </cell>
          <cell r="AV4465">
            <v>0</v>
          </cell>
        </row>
        <row r="4466">
          <cell r="E4466" t="str">
            <v>D25018134</v>
          </cell>
          <cell r="AP4466">
            <v>0</v>
          </cell>
          <cell r="AQ4466">
            <v>0</v>
          </cell>
          <cell r="AV4466">
            <v>0</v>
          </cell>
        </row>
        <row r="4467">
          <cell r="E4467" t="str">
            <v>D25018377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D25018377</v>
          </cell>
          <cell r="AP4468">
            <v>0</v>
          </cell>
          <cell r="AQ4468">
            <v>0</v>
          </cell>
          <cell r="AV4468">
            <v>0</v>
          </cell>
        </row>
        <row r="4469">
          <cell r="E4469" t="str">
            <v>D25018418</v>
          </cell>
          <cell r="AP4469">
            <v>0</v>
          </cell>
          <cell r="AQ4469">
            <v>0</v>
          </cell>
          <cell r="AV4469">
            <v>0</v>
          </cell>
        </row>
        <row r="4470">
          <cell r="E4470" t="str">
            <v>D25018428</v>
          </cell>
          <cell r="AP4470">
            <v>0</v>
          </cell>
          <cell r="AQ4470">
            <v>0</v>
          </cell>
          <cell r="AV4470">
            <v>0</v>
          </cell>
        </row>
        <row r="4471">
          <cell r="E4471" t="str">
            <v>B25016088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B25016088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B25016088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D25018512</v>
          </cell>
          <cell r="AP4474">
            <v>0</v>
          </cell>
          <cell r="AQ4474">
            <v>0</v>
          </cell>
          <cell r="AV4474">
            <v>0</v>
          </cell>
        </row>
        <row r="4475">
          <cell r="E4475" t="str">
            <v>D25018512</v>
          </cell>
          <cell r="AP4475">
            <v>0</v>
          </cell>
          <cell r="AQ4475">
            <v>0</v>
          </cell>
          <cell r="AV4475">
            <v>0</v>
          </cell>
        </row>
        <row r="4476">
          <cell r="E4476" t="str">
            <v>D25018512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D25018513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D25018574</v>
          </cell>
          <cell r="AP4478">
            <v>0</v>
          </cell>
          <cell r="AQ4478">
            <v>0</v>
          </cell>
          <cell r="AV4478">
            <v>0</v>
          </cell>
        </row>
        <row r="4479">
          <cell r="E4479" t="str">
            <v>B25016181</v>
          </cell>
          <cell r="AP4479">
            <v>0</v>
          </cell>
          <cell r="AQ4479">
            <v>0</v>
          </cell>
          <cell r="AV4479">
            <v>0</v>
          </cell>
        </row>
        <row r="4480">
          <cell r="E4480" t="str">
            <v>B25016181</v>
          </cell>
          <cell r="AP4480">
            <v>0</v>
          </cell>
          <cell r="AQ4480">
            <v>0</v>
          </cell>
          <cell r="AV4480">
            <v>0</v>
          </cell>
        </row>
        <row r="4481">
          <cell r="E4481" t="str">
            <v>B25016194</v>
          </cell>
          <cell r="AP4481">
            <v>0</v>
          </cell>
          <cell r="AQ4481">
            <v>0</v>
          </cell>
          <cell r="AV4481">
            <v>0</v>
          </cell>
        </row>
        <row r="4482">
          <cell r="E4482" t="str">
            <v>B25016194</v>
          </cell>
          <cell r="AP4482">
            <v>0</v>
          </cell>
          <cell r="AQ4482">
            <v>0</v>
          </cell>
          <cell r="AV4482">
            <v>0</v>
          </cell>
        </row>
        <row r="4483">
          <cell r="E4483" t="str">
            <v>D25018679</v>
          </cell>
          <cell r="AP4483">
            <v>0</v>
          </cell>
          <cell r="AQ4483">
            <v>0</v>
          </cell>
          <cell r="AV4483">
            <v>0</v>
          </cell>
        </row>
        <row r="4484">
          <cell r="E4484" t="str">
            <v>D25018679</v>
          </cell>
          <cell r="AP4484">
            <v>0</v>
          </cell>
          <cell r="AQ4484">
            <v>0</v>
          </cell>
          <cell r="AV4484">
            <v>0</v>
          </cell>
        </row>
        <row r="4485">
          <cell r="E4485" t="str">
            <v>D25018679</v>
          </cell>
          <cell r="AP4485">
            <v>0</v>
          </cell>
          <cell r="AQ4485">
            <v>0</v>
          </cell>
          <cell r="AV4485">
            <v>0</v>
          </cell>
        </row>
        <row r="4486">
          <cell r="E4486" t="str">
            <v>D25018700</v>
          </cell>
          <cell r="AP4486">
            <v>0</v>
          </cell>
          <cell r="AQ4486">
            <v>0</v>
          </cell>
          <cell r="AV4486">
            <v>0</v>
          </cell>
        </row>
        <row r="4487">
          <cell r="E4487" t="str">
            <v>D25018700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B25016422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B25016422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B25016422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T25001856</v>
          </cell>
          <cell r="AP4491">
            <v>0</v>
          </cell>
          <cell r="AQ4491">
            <v>0</v>
          </cell>
          <cell r="AV4491">
            <v>0</v>
          </cell>
        </row>
        <row r="4492">
          <cell r="E4492" t="str">
            <v>B25016444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D25019031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D25019031</v>
          </cell>
          <cell r="AP4494">
            <v>0</v>
          </cell>
          <cell r="AQ4494">
            <v>0</v>
          </cell>
          <cell r="AV4494">
            <v>0</v>
          </cell>
        </row>
        <row r="4495">
          <cell r="E4495" t="str">
            <v>D25019031</v>
          </cell>
          <cell r="AP4495">
            <v>0</v>
          </cell>
          <cell r="AQ4495">
            <v>0</v>
          </cell>
          <cell r="AV4495">
            <v>0</v>
          </cell>
        </row>
        <row r="4496">
          <cell r="E4496" t="str">
            <v>D25019031</v>
          </cell>
          <cell r="AP4496">
            <v>0</v>
          </cell>
          <cell r="AQ4496">
            <v>0</v>
          </cell>
          <cell r="AV4496">
            <v>0</v>
          </cell>
        </row>
        <row r="4497">
          <cell r="E4497" t="str">
            <v>D25019032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D25019113</v>
          </cell>
          <cell r="AP4498">
            <v>0</v>
          </cell>
          <cell r="AQ4498">
            <v>0</v>
          </cell>
          <cell r="AV4498">
            <v>0</v>
          </cell>
        </row>
        <row r="4499">
          <cell r="E4499" t="str">
            <v>D25019125</v>
          </cell>
          <cell r="AP4499">
            <v>0</v>
          </cell>
          <cell r="AQ4499">
            <v>0</v>
          </cell>
          <cell r="AV4499">
            <v>0</v>
          </cell>
        </row>
        <row r="4500">
          <cell r="E4500" t="str">
            <v>D25019125</v>
          </cell>
          <cell r="AP4500">
            <v>0</v>
          </cell>
          <cell r="AQ4500">
            <v>0</v>
          </cell>
          <cell r="AV4500">
            <v>0</v>
          </cell>
        </row>
        <row r="4501">
          <cell r="E4501" t="str">
            <v>D25019125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D25019136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D25019232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D25019232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D25019232</v>
          </cell>
          <cell r="AP4505">
            <v>0</v>
          </cell>
          <cell r="AQ4505">
            <v>0</v>
          </cell>
          <cell r="AV4505">
            <v>0</v>
          </cell>
        </row>
        <row r="4506">
          <cell r="E4506" t="str">
            <v>D25019232</v>
          </cell>
          <cell r="AP4506">
            <v>0</v>
          </cell>
          <cell r="AQ4506">
            <v>0</v>
          </cell>
          <cell r="AV4506">
            <v>0</v>
          </cell>
        </row>
        <row r="4507">
          <cell r="E4507" t="str">
            <v>D25019232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D25019464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D25019542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D25019542</v>
          </cell>
          <cell r="AP4510">
            <v>0</v>
          </cell>
          <cell r="AQ4510">
            <v>0</v>
          </cell>
          <cell r="AV4510">
            <v>0</v>
          </cell>
        </row>
        <row r="4511">
          <cell r="E4511" t="str">
            <v>D25019542</v>
          </cell>
          <cell r="AP4511">
            <v>0</v>
          </cell>
          <cell r="AQ4511">
            <v>0</v>
          </cell>
          <cell r="AV4511">
            <v>0</v>
          </cell>
        </row>
        <row r="4512">
          <cell r="E4512" t="str">
            <v>D25019543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D25019589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D25019589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D25019590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D25019590</v>
          </cell>
          <cell r="AP4516">
            <v>0</v>
          </cell>
          <cell r="AQ4516">
            <v>0</v>
          </cell>
          <cell r="AV4516">
            <v>0</v>
          </cell>
        </row>
        <row r="4517">
          <cell r="E4517" t="str">
            <v>D25019591</v>
          </cell>
          <cell r="AP4517">
            <v>0</v>
          </cell>
          <cell r="AQ4517">
            <v>0</v>
          </cell>
          <cell r="AV4517">
            <v>0</v>
          </cell>
        </row>
        <row r="4518">
          <cell r="E4518" t="str">
            <v>D25019591</v>
          </cell>
          <cell r="AP4518">
            <v>0</v>
          </cell>
          <cell r="AQ4518">
            <v>0</v>
          </cell>
          <cell r="AV4518">
            <v>0</v>
          </cell>
        </row>
        <row r="4519">
          <cell r="E4519" t="str">
            <v>D25019591</v>
          </cell>
          <cell r="AP4519">
            <v>0</v>
          </cell>
          <cell r="AQ4519">
            <v>0</v>
          </cell>
          <cell r="AV4519">
            <v>0</v>
          </cell>
        </row>
        <row r="4520">
          <cell r="E4520" t="str">
            <v>D25019600</v>
          </cell>
          <cell r="AP4520">
            <v>0</v>
          </cell>
          <cell r="AQ4520">
            <v>0</v>
          </cell>
          <cell r="AV4520">
            <v>0</v>
          </cell>
        </row>
        <row r="4521">
          <cell r="E4521" t="str">
            <v>D25019608</v>
          </cell>
          <cell r="AP4521">
            <v>0</v>
          </cell>
          <cell r="AQ4521">
            <v>0</v>
          </cell>
          <cell r="AV4521">
            <v>0</v>
          </cell>
        </row>
        <row r="4522">
          <cell r="E4522" t="str">
            <v>D25019608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D26000006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D26000068</v>
          </cell>
          <cell r="AP4524">
            <v>0</v>
          </cell>
          <cell r="AQ4524">
            <v>0</v>
          </cell>
          <cell r="AV4524">
            <v>0</v>
          </cell>
        </row>
        <row r="4525">
          <cell r="E4525" t="str">
            <v>T26000024</v>
          </cell>
          <cell r="AP4525">
            <v>0</v>
          </cell>
          <cell r="AQ4525">
            <v>0</v>
          </cell>
          <cell r="AV4525">
            <v>0</v>
          </cell>
        </row>
        <row r="4526">
          <cell r="E4526" t="str">
            <v>D26000463</v>
          </cell>
          <cell r="AP4526">
            <v>0</v>
          </cell>
          <cell r="AQ4526">
            <v>0</v>
          </cell>
          <cell r="AV4526">
            <v>0</v>
          </cell>
        </row>
        <row r="4527">
          <cell r="E4527" t="str">
            <v>D26000494</v>
          </cell>
          <cell r="AP4527">
            <v>0</v>
          </cell>
          <cell r="AQ4527">
            <v>0</v>
          </cell>
          <cell r="AV4527">
            <v>0</v>
          </cell>
        </row>
        <row r="4528">
          <cell r="E4528" t="str">
            <v>D26000523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D26000523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D26000523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D26000523</v>
          </cell>
          <cell r="AP4531">
            <v>0</v>
          </cell>
          <cell r="AQ4531">
            <v>0</v>
          </cell>
          <cell r="AV4531">
            <v>0</v>
          </cell>
        </row>
        <row r="4532">
          <cell r="E4532" t="str">
            <v>D26000616</v>
          </cell>
          <cell r="AP4532">
            <v>0</v>
          </cell>
          <cell r="AQ4532">
            <v>449225000</v>
          </cell>
          <cell r="AV4532">
            <v>0</v>
          </cell>
        </row>
        <row r="4533">
          <cell r="E4533" t="str">
            <v>D26000617</v>
          </cell>
          <cell r="AP4533">
            <v>0</v>
          </cell>
          <cell r="AQ4533">
            <v>449225000</v>
          </cell>
          <cell r="AV4533">
            <v>0</v>
          </cell>
        </row>
        <row r="4534">
          <cell r="E4534" t="str">
            <v>D26000618</v>
          </cell>
          <cell r="AP4534">
            <v>0</v>
          </cell>
          <cell r="AQ4534">
            <v>422800000</v>
          </cell>
          <cell r="AV4534">
            <v>0</v>
          </cell>
        </row>
        <row r="4535">
          <cell r="E4535" t="str">
            <v>D26000746</v>
          </cell>
          <cell r="AP4535">
            <v>0</v>
          </cell>
          <cell r="AQ4535">
            <v>0</v>
          </cell>
          <cell r="AV4535">
            <v>0</v>
          </cell>
        </row>
        <row r="4536">
          <cell r="E4536" t="str">
            <v>B26000786</v>
          </cell>
          <cell r="AP4536">
            <v>0</v>
          </cell>
          <cell r="AQ4536">
            <v>0</v>
          </cell>
          <cell r="AV4536">
            <v>0</v>
          </cell>
        </row>
        <row r="4537">
          <cell r="E4537" t="str">
            <v>B26000787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D26000842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D26000995</v>
          </cell>
          <cell r="AP4539">
            <v>0</v>
          </cell>
          <cell r="AQ4539">
            <v>0</v>
          </cell>
          <cell r="AV4539">
            <v>0</v>
          </cell>
        </row>
        <row r="4540">
          <cell r="E4540" t="str">
            <v>D26000996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D26001094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D26001095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D26001096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B26001106</v>
          </cell>
          <cell r="AP4544">
            <v>0</v>
          </cell>
          <cell r="AQ4544">
            <v>0</v>
          </cell>
          <cell r="AV4544">
            <v>0</v>
          </cell>
        </row>
        <row r="4545">
          <cell r="E4545" t="str">
            <v>B26001107</v>
          </cell>
          <cell r="AP4545">
            <v>0</v>
          </cell>
          <cell r="AQ4545">
            <v>0</v>
          </cell>
          <cell r="AV4545">
            <v>0</v>
          </cell>
        </row>
        <row r="4546">
          <cell r="E4546" t="str">
            <v>D26001336</v>
          </cell>
          <cell r="AP4546">
            <v>0</v>
          </cell>
          <cell r="AQ4546">
            <v>0</v>
          </cell>
          <cell r="AV4546">
            <v>0</v>
          </cell>
        </row>
        <row r="4547">
          <cell r="E4547" t="str">
            <v>D26001372</v>
          </cell>
          <cell r="AP4547">
            <v>0</v>
          </cell>
          <cell r="AQ4547">
            <v>0</v>
          </cell>
          <cell r="AV4547">
            <v>0</v>
          </cell>
        </row>
        <row r="4548">
          <cell r="E4548" t="str">
            <v>D26001495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D26001496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D26001517</v>
          </cell>
          <cell r="AP4550">
            <v>0</v>
          </cell>
          <cell r="AQ4550">
            <v>0</v>
          </cell>
          <cell r="AV4550">
            <v>0</v>
          </cell>
        </row>
        <row r="4551">
          <cell r="E4551" t="str">
            <v>D26001542</v>
          </cell>
          <cell r="AP4551">
            <v>0</v>
          </cell>
          <cell r="AQ4551">
            <v>0</v>
          </cell>
          <cell r="AV4551">
            <v>0</v>
          </cell>
        </row>
        <row r="4552">
          <cell r="E4552" t="str">
            <v>D26001618</v>
          </cell>
          <cell r="AP4552">
            <v>0</v>
          </cell>
          <cell r="AQ4552">
            <v>0</v>
          </cell>
          <cell r="AV4552">
            <v>0</v>
          </cell>
        </row>
        <row r="4553">
          <cell r="E4553" t="str">
            <v>D26001619</v>
          </cell>
          <cell r="AP4553">
            <v>0</v>
          </cell>
          <cell r="AQ4553">
            <v>0</v>
          </cell>
          <cell r="AV4553">
            <v>0</v>
          </cell>
        </row>
        <row r="4554">
          <cell r="E4554" t="str">
            <v>D26001688</v>
          </cell>
          <cell r="AP4554">
            <v>0</v>
          </cell>
          <cell r="AQ4554">
            <v>0</v>
          </cell>
          <cell r="AV4554">
            <v>0</v>
          </cell>
        </row>
        <row r="4555">
          <cell r="E4555" t="str">
            <v>D26001689</v>
          </cell>
          <cell r="AP4555">
            <v>0</v>
          </cell>
          <cell r="AQ4555">
            <v>0</v>
          </cell>
          <cell r="AV4555">
            <v>0</v>
          </cell>
        </row>
        <row r="4556">
          <cell r="E4556" t="str">
            <v>D26001718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D26001743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D26001744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B26001717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D26001888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D26001899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B26001866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D26001983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D26002034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D26002035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B25016794</v>
          </cell>
          <cell r="AP4566">
            <v>0</v>
          </cell>
          <cell r="AQ4566">
            <v>0</v>
          </cell>
          <cell r="AV4566">
            <v>2900000</v>
          </cell>
        </row>
        <row r="4567">
          <cell r="E4567" t="str">
            <v>D26000007</v>
          </cell>
          <cell r="AP4567">
            <v>0</v>
          </cell>
          <cell r="AQ4567">
            <v>0</v>
          </cell>
          <cell r="AV4567">
            <v>2800000</v>
          </cell>
        </row>
        <row r="4568">
          <cell r="E4568" t="str">
            <v>D26001145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T26000071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B26001314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B26001315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T25001879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D26000261</v>
          </cell>
          <cell r="AP4573">
            <v>0</v>
          </cell>
          <cell r="AQ4573">
            <v>0</v>
          </cell>
          <cell r="AV4573">
            <v>0</v>
          </cell>
        </row>
        <row r="4574">
          <cell r="E4574" t="str">
            <v>B26001237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T26000042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D26001211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D26001976</v>
          </cell>
          <cell r="AP4577">
            <v>0</v>
          </cell>
          <cell r="AQ4577">
            <v>0</v>
          </cell>
          <cell r="AV4577">
            <v>1730000</v>
          </cell>
        </row>
        <row r="4578">
          <cell r="E4578" t="str">
            <v>D26001553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B26001652</v>
          </cell>
          <cell r="AP4579">
            <v>0</v>
          </cell>
          <cell r="AQ4579">
            <v>0</v>
          </cell>
          <cell r="AV4579">
            <v>1300000</v>
          </cell>
        </row>
        <row r="4580">
          <cell r="E4580" t="str">
            <v>B26000286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B26000287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D26001189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 t="str">
            <v>B26001457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B26000473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D26001005</v>
          </cell>
          <cell r="AP4585">
            <v>0</v>
          </cell>
          <cell r="AQ4585">
            <v>0</v>
          </cell>
          <cell r="AV4585">
            <v>0</v>
          </cell>
        </row>
        <row r="4586">
          <cell r="E4586" t="str">
            <v>B26001395</v>
          </cell>
          <cell r="AP4586">
            <v>0</v>
          </cell>
          <cell r="AQ4586">
            <v>0</v>
          </cell>
          <cell r="AV4586">
            <v>0</v>
          </cell>
        </row>
        <row r="4587">
          <cell r="E4587" t="str">
            <v>B26001556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B26001678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D26001834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B26001826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D26002065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D26000582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B26000779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D23006230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N25000011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B26001332</v>
          </cell>
          <cell r="AP4596">
            <v>4680000</v>
          </cell>
          <cell r="AQ4596">
            <v>0</v>
          </cell>
          <cell r="AV4596">
            <v>0</v>
          </cell>
        </row>
        <row r="4597">
          <cell r="E4597" t="str">
            <v>B26001727</v>
          </cell>
          <cell r="AP4597">
            <v>0</v>
          </cell>
          <cell r="AQ4597">
            <v>0</v>
          </cell>
          <cell r="AV4597">
            <v>14100000</v>
          </cell>
        </row>
        <row r="4598">
          <cell r="E4598" t="str">
            <v>D26001425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D26001918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D26001948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D25016305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D25016859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D25016929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D25017131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D25017131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D25017316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D25017317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B25015252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D25017823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D25018074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D25018188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D25018562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D25018905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D25019034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D25019035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D25019085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B25016745</v>
          </cell>
          <cell r="AP4617">
            <v>0</v>
          </cell>
          <cell r="AQ4617">
            <v>0</v>
          </cell>
          <cell r="AV4617">
            <v>0</v>
          </cell>
        </row>
        <row r="4618">
          <cell r="E4618" t="str">
            <v>D25019216</v>
          </cell>
          <cell r="AP4618">
            <v>0</v>
          </cell>
          <cell r="AQ4618">
            <v>0</v>
          </cell>
          <cell r="AV4618">
            <v>0</v>
          </cell>
        </row>
        <row r="4619">
          <cell r="E4619" t="str">
            <v>D25019236</v>
          </cell>
          <cell r="AP4619">
            <v>0</v>
          </cell>
          <cell r="AQ4619">
            <v>0</v>
          </cell>
          <cell r="AV4619">
            <v>0</v>
          </cell>
        </row>
        <row r="4620">
          <cell r="E4620" t="str">
            <v>D25019237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D25019267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D25019347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D25019451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D25019451</v>
          </cell>
          <cell r="AP4624">
            <v>0</v>
          </cell>
          <cell r="AQ4624">
            <v>0</v>
          </cell>
          <cell r="AV4624">
            <v>0</v>
          </cell>
        </row>
        <row r="4625">
          <cell r="E4625" t="str">
            <v>D25019452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D25019483</v>
          </cell>
          <cell r="AP4626">
            <v>0</v>
          </cell>
          <cell r="AQ4626">
            <v>0</v>
          </cell>
          <cell r="AV4626">
            <v>0</v>
          </cell>
        </row>
        <row r="4627">
          <cell r="E4627" t="str">
            <v>D25019486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D25019487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B26000130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D26000445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D26000474</v>
          </cell>
          <cell r="AP4631">
            <v>0</v>
          </cell>
          <cell r="AQ4631">
            <v>81000000</v>
          </cell>
          <cell r="AV4631">
            <v>0</v>
          </cell>
        </row>
        <row r="4632">
          <cell r="E4632" t="str">
            <v>D26000498</v>
          </cell>
          <cell r="AP4632">
            <v>0</v>
          </cell>
          <cell r="AQ4632">
            <v>0</v>
          </cell>
          <cell r="AV4632">
            <v>0</v>
          </cell>
        </row>
        <row r="4633">
          <cell r="E4633" t="str">
            <v>D26000499</v>
          </cell>
          <cell r="AP4633">
            <v>0</v>
          </cell>
          <cell r="AQ4633">
            <v>0</v>
          </cell>
          <cell r="AV4633">
            <v>0</v>
          </cell>
        </row>
        <row r="4634">
          <cell r="E4634" t="str">
            <v>D26000519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B26000598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D26000741</v>
          </cell>
          <cell r="AP4636">
            <v>0</v>
          </cell>
          <cell r="AQ4636">
            <v>0</v>
          </cell>
          <cell r="AV4636">
            <v>0</v>
          </cell>
        </row>
        <row r="4637">
          <cell r="E4637" t="str">
            <v>D26001098</v>
          </cell>
          <cell r="AP4637">
            <v>0</v>
          </cell>
          <cell r="AQ4637">
            <v>93140000</v>
          </cell>
          <cell r="AV4637">
            <v>0</v>
          </cell>
        </row>
        <row r="4638">
          <cell r="E4638" t="str">
            <v>D26001099</v>
          </cell>
          <cell r="AP4638">
            <v>0</v>
          </cell>
          <cell r="AQ4638">
            <v>119625000</v>
          </cell>
          <cell r="AV4638">
            <v>0</v>
          </cell>
        </row>
        <row r="4639">
          <cell r="E4639" t="str">
            <v>D26001116</v>
          </cell>
          <cell r="AP4639">
            <v>0</v>
          </cell>
          <cell r="AQ4639">
            <v>7500000</v>
          </cell>
          <cell r="AV4639">
            <v>0</v>
          </cell>
        </row>
        <row r="4640">
          <cell r="E4640" t="str">
            <v>B26001236</v>
          </cell>
          <cell r="AP4640">
            <v>0</v>
          </cell>
          <cell r="AQ4640">
            <v>140000000</v>
          </cell>
          <cell r="AV4640">
            <v>0</v>
          </cell>
        </row>
        <row r="4641">
          <cell r="E4641" t="str">
            <v>D26001366</v>
          </cell>
          <cell r="AP4641">
            <v>0</v>
          </cell>
          <cell r="AQ4641">
            <v>29040000</v>
          </cell>
          <cell r="AV4641">
            <v>0</v>
          </cell>
        </row>
        <row r="4642">
          <cell r="E4642" t="str">
            <v>T26000097</v>
          </cell>
          <cell r="AP4642">
            <v>0</v>
          </cell>
          <cell r="AQ4642">
            <v>11750000</v>
          </cell>
          <cell r="AV4642">
            <v>0</v>
          </cell>
        </row>
        <row r="4643">
          <cell r="E4643" t="str">
            <v>D26001501</v>
          </cell>
          <cell r="AP4643">
            <v>0</v>
          </cell>
          <cell r="AQ4643">
            <v>90125000</v>
          </cell>
          <cell r="AV4643">
            <v>0</v>
          </cell>
        </row>
        <row r="4644">
          <cell r="E4644" t="str">
            <v>D26001501</v>
          </cell>
          <cell r="AP4644">
            <v>0</v>
          </cell>
          <cell r="AQ4644">
            <v>11750000</v>
          </cell>
          <cell r="AV4644">
            <v>0</v>
          </cell>
        </row>
        <row r="4645">
          <cell r="E4645" t="str">
            <v>B26001449</v>
          </cell>
          <cell r="AP4645">
            <v>0</v>
          </cell>
          <cell r="AQ4645">
            <v>45600000</v>
          </cell>
          <cell r="AV4645">
            <v>0</v>
          </cell>
        </row>
        <row r="4646">
          <cell r="E4646" t="str">
            <v>D26001526</v>
          </cell>
          <cell r="AP4646">
            <v>0</v>
          </cell>
          <cell r="AQ4646">
            <v>121800000</v>
          </cell>
          <cell r="AV4646">
            <v>0</v>
          </cell>
        </row>
        <row r="4647">
          <cell r="E4647" t="str">
            <v>D26001591</v>
          </cell>
          <cell r="AP4647">
            <v>0</v>
          </cell>
          <cell r="AQ4647">
            <v>81600000</v>
          </cell>
          <cell r="AV4647">
            <v>0</v>
          </cell>
        </row>
        <row r="4648">
          <cell r="E4648" t="str">
            <v>D26001815</v>
          </cell>
          <cell r="AP4648">
            <v>0</v>
          </cell>
          <cell r="AQ4648">
            <v>0</v>
          </cell>
          <cell r="AV4648">
            <v>0</v>
          </cell>
        </row>
        <row r="4649">
          <cell r="E4649" t="str">
            <v>D26001863</v>
          </cell>
          <cell r="AP4649">
            <v>0</v>
          </cell>
          <cell r="AQ4649">
            <v>0</v>
          </cell>
          <cell r="AV4649">
            <v>0</v>
          </cell>
        </row>
        <row r="4650">
          <cell r="E4650" t="str">
            <v>B26001824</v>
          </cell>
          <cell r="AP4650">
            <v>0</v>
          </cell>
          <cell r="AQ4650">
            <v>0</v>
          </cell>
          <cell r="AV4650">
            <v>0</v>
          </cell>
        </row>
        <row r="4651">
          <cell r="E4651" t="str">
            <v>B26001816</v>
          </cell>
          <cell r="AP4651">
            <v>0</v>
          </cell>
          <cell r="AQ4651">
            <v>0</v>
          </cell>
          <cell r="AV4651">
            <v>2502500</v>
          </cell>
        </row>
        <row r="4652">
          <cell r="E4652" t="str">
            <v>B26001817</v>
          </cell>
          <cell r="AP4652">
            <v>0</v>
          </cell>
          <cell r="AQ4652">
            <v>0</v>
          </cell>
          <cell r="AV4652">
            <v>3620000</v>
          </cell>
        </row>
        <row r="4653">
          <cell r="E4653" t="str">
            <v>B26001818</v>
          </cell>
          <cell r="AP4653">
            <v>0</v>
          </cell>
          <cell r="AQ4653">
            <v>0</v>
          </cell>
          <cell r="AV4653">
            <v>540000</v>
          </cell>
        </row>
        <row r="4654">
          <cell r="E4654" t="str">
            <v>D26001833</v>
          </cell>
          <cell r="AP4654">
            <v>0</v>
          </cell>
          <cell r="AQ4654">
            <v>0</v>
          </cell>
          <cell r="AV4654">
            <v>31834000</v>
          </cell>
        </row>
        <row r="4655">
          <cell r="E4655" t="str">
            <v>D25017323</v>
          </cell>
          <cell r="AP4655">
            <v>0</v>
          </cell>
          <cell r="AQ4655">
            <v>0</v>
          </cell>
          <cell r="AV4655">
            <v>0</v>
          </cell>
        </row>
        <row r="4656">
          <cell r="E4656" t="str">
            <v>D25017324</v>
          </cell>
          <cell r="AP4656">
            <v>0</v>
          </cell>
          <cell r="AQ4656">
            <v>0</v>
          </cell>
          <cell r="AV4656">
            <v>0</v>
          </cell>
        </row>
        <row r="4657">
          <cell r="E4657" t="str">
            <v>B25015963</v>
          </cell>
          <cell r="AP4657">
            <v>0</v>
          </cell>
          <cell r="AQ4657">
            <v>0</v>
          </cell>
          <cell r="AV4657">
            <v>0</v>
          </cell>
        </row>
        <row r="4658">
          <cell r="E4658" t="str">
            <v>D25018569</v>
          </cell>
          <cell r="AP4658">
            <v>0</v>
          </cell>
          <cell r="AQ4658">
            <v>0</v>
          </cell>
          <cell r="AV4658">
            <v>0</v>
          </cell>
        </row>
        <row r="4659">
          <cell r="E4659" t="str">
            <v>B25017002</v>
          </cell>
          <cell r="AP4659">
            <v>0</v>
          </cell>
          <cell r="AQ4659">
            <v>0</v>
          </cell>
          <cell r="AV4659">
            <v>0</v>
          </cell>
        </row>
        <row r="4660">
          <cell r="E4660" t="str">
            <v>B25017003</v>
          </cell>
          <cell r="AP4660">
            <v>0</v>
          </cell>
          <cell r="AQ4660">
            <v>0</v>
          </cell>
          <cell r="AV4660">
            <v>0</v>
          </cell>
        </row>
        <row r="4661">
          <cell r="E4661" t="str">
            <v>B25017004</v>
          </cell>
          <cell r="AP4661">
            <v>0</v>
          </cell>
          <cell r="AQ4661">
            <v>0</v>
          </cell>
          <cell r="AV4661">
            <v>0</v>
          </cell>
        </row>
        <row r="4662">
          <cell r="E4662" t="str">
            <v>B25017041</v>
          </cell>
          <cell r="AP4662">
            <v>0</v>
          </cell>
          <cell r="AQ4662">
            <v>0</v>
          </cell>
          <cell r="AV4662">
            <v>0</v>
          </cell>
        </row>
        <row r="4663">
          <cell r="E4663" t="str">
            <v>B25017046</v>
          </cell>
          <cell r="AP4663">
            <v>0</v>
          </cell>
          <cell r="AQ4663">
            <v>0</v>
          </cell>
          <cell r="AV4663">
            <v>0</v>
          </cell>
        </row>
        <row r="4664">
          <cell r="E4664" t="str">
            <v>D26001049</v>
          </cell>
          <cell r="AP4664">
            <v>0</v>
          </cell>
          <cell r="AQ4664">
            <v>0</v>
          </cell>
          <cell r="AV4664">
            <v>0</v>
          </cell>
        </row>
        <row r="4665">
          <cell r="E4665" t="str">
            <v>D26001050</v>
          </cell>
          <cell r="AP4665">
            <v>0</v>
          </cell>
          <cell r="AQ4665">
            <v>0</v>
          </cell>
          <cell r="AV4665">
            <v>0</v>
          </cell>
        </row>
        <row r="4666">
          <cell r="E4666" t="str">
            <v>B26001138</v>
          </cell>
          <cell r="AP4666">
            <v>0</v>
          </cell>
          <cell r="AQ4666">
            <v>0</v>
          </cell>
          <cell r="AV4666">
            <v>0</v>
          </cell>
        </row>
        <row r="4667">
          <cell r="E4667" t="str">
            <v>Z25002988</v>
          </cell>
          <cell r="AP4667">
            <v>0</v>
          </cell>
          <cell r="AQ4667">
            <v>0</v>
          </cell>
          <cell r="AV4667">
            <v>200000000</v>
          </cell>
        </row>
        <row r="4668">
          <cell r="E4668" t="str">
            <v>Z25002988</v>
          </cell>
          <cell r="AP4668">
            <v>0</v>
          </cell>
          <cell r="AQ4668">
            <v>0</v>
          </cell>
          <cell r="AV4668">
            <v>156250000</v>
          </cell>
        </row>
        <row r="4669">
          <cell r="E4669" t="str">
            <v>Z25002989</v>
          </cell>
          <cell r="AP4669">
            <v>0</v>
          </cell>
          <cell r="AQ4669">
            <v>0</v>
          </cell>
          <cell r="AV4669">
            <v>43750000</v>
          </cell>
        </row>
        <row r="4670">
          <cell r="E4670" t="str">
            <v>Z25002989</v>
          </cell>
          <cell r="AP4670">
            <v>0</v>
          </cell>
          <cell r="AQ4670">
            <v>0</v>
          </cell>
          <cell r="AV4670">
            <v>65540000</v>
          </cell>
        </row>
        <row r="4671">
          <cell r="E4671" t="str">
            <v>T25001736</v>
          </cell>
          <cell r="AP4671">
            <v>0</v>
          </cell>
          <cell r="AQ4671">
            <v>0</v>
          </cell>
          <cell r="AV4671">
            <v>0</v>
          </cell>
        </row>
        <row r="4672">
          <cell r="E4672" t="str">
            <v>Z25003036</v>
          </cell>
          <cell r="AP4672">
            <v>0</v>
          </cell>
          <cell r="AQ4672">
            <v>0</v>
          </cell>
          <cell r="AV4672">
            <v>0</v>
          </cell>
        </row>
        <row r="4673">
          <cell r="E4673" t="str">
            <v>T25001770</v>
          </cell>
          <cell r="AP4673">
            <v>0</v>
          </cell>
          <cell r="AQ4673">
            <v>0</v>
          </cell>
          <cell r="AV4673">
            <v>0</v>
          </cell>
        </row>
        <row r="4674">
          <cell r="E4674" t="str">
            <v>Z25003067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Z25003068</v>
          </cell>
          <cell r="AP4675">
            <v>0</v>
          </cell>
          <cell r="AQ4675">
            <v>0</v>
          </cell>
          <cell r="AV4675">
            <v>0</v>
          </cell>
        </row>
        <row r="4676">
          <cell r="E4676" t="str">
            <v>Z25003076</v>
          </cell>
          <cell r="AP4676">
            <v>0</v>
          </cell>
          <cell r="AQ4676">
            <v>0</v>
          </cell>
          <cell r="AV4676">
            <v>0</v>
          </cell>
        </row>
        <row r="4677">
          <cell r="E4677" t="str">
            <v>Z25003078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Z25003080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Z25003085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Z25003119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Z25003173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Z25003188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Z25003189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Z25003270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Z25003281</v>
          </cell>
          <cell r="AP4685">
            <v>0</v>
          </cell>
          <cell r="AQ4685">
            <v>0</v>
          </cell>
          <cell r="AV4685">
            <v>0</v>
          </cell>
        </row>
        <row r="4686">
          <cell r="E4686" t="str">
            <v>Z25003330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Z25003350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Z25003351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Z26000022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Z26000166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Z26000168</v>
          </cell>
          <cell r="AP4691">
            <v>0</v>
          </cell>
          <cell r="AQ4691">
            <v>0</v>
          </cell>
          <cell r="AV4691">
            <v>262934000</v>
          </cell>
        </row>
        <row r="4692">
          <cell r="E4692" t="str">
            <v>Z26000195</v>
          </cell>
          <cell r="AP4692">
            <v>0</v>
          </cell>
          <cell r="AQ4692">
            <v>0</v>
          </cell>
          <cell r="AV4692">
            <v>111526000</v>
          </cell>
        </row>
        <row r="4693">
          <cell r="E4693" t="str">
            <v>Z26000195</v>
          </cell>
          <cell r="AP4693">
            <v>0</v>
          </cell>
          <cell r="AQ4693">
            <v>0</v>
          </cell>
          <cell r="AV4693">
            <v>422474000</v>
          </cell>
        </row>
        <row r="4694">
          <cell r="E4694" t="str">
            <v>Z26000212</v>
          </cell>
          <cell r="AP4694">
            <v>0</v>
          </cell>
          <cell r="AQ4694">
            <v>0</v>
          </cell>
          <cell r="AV4694">
            <v>0</v>
          </cell>
        </row>
        <row r="4695">
          <cell r="E4695" t="str">
            <v>Z26000213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Z26000221</v>
          </cell>
          <cell r="AP4696">
            <v>0</v>
          </cell>
          <cell r="AQ4696">
            <v>0</v>
          </cell>
          <cell r="AV4696">
            <v>237526000</v>
          </cell>
        </row>
        <row r="4697">
          <cell r="E4697" t="str">
            <v>Z26000221</v>
          </cell>
          <cell r="AP4697">
            <v>0</v>
          </cell>
          <cell r="AQ4697">
            <v>0</v>
          </cell>
          <cell r="AV4697">
            <v>350000000</v>
          </cell>
        </row>
        <row r="4698">
          <cell r="E4698" t="str">
            <v>Z26000222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Z26000242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Z26000245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Z26000273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Z26000306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Z26000317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Z26000318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Z26000321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Z26000348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B26000712</v>
          </cell>
          <cell r="AP4707">
            <v>0</v>
          </cell>
          <cell r="AQ4707">
            <v>0</v>
          </cell>
          <cell r="AV4707">
            <v>0</v>
          </cell>
        </row>
        <row r="4708">
          <cell r="E4708" t="str">
            <v>B26000742</v>
          </cell>
          <cell r="AP4708">
            <v>0</v>
          </cell>
          <cell r="AQ4708">
            <v>0</v>
          </cell>
          <cell r="AV4708">
            <v>0</v>
          </cell>
        </row>
        <row r="4709">
          <cell r="E4709" t="str">
            <v>D26001315</v>
          </cell>
          <cell r="AP4709">
            <v>0</v>
          </cell>
          <cell r="AQ4709">
            <v>0</v>
          </cell>
          <cell r="AV4709">
            <v>0</v>
          </cell>
        </row>
        <row r="4710">
          <cell r="E4710" t="str">
            <v>D26001316</v>
          </cell>
          <cell r="AP4710">
            <v>0</v>
          </cell>
          <cell r="AQ4710">
            <v>0</v>
          </cell>
          <cell r="AV4710">
            <v>0</v>
          </cell>
        </row>
        <row r="4711">
          <cell r="E4711" t="str">
            <v>B26001819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T25001740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D25019087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T25001790</v>
          </cell>
          <cell r="AP4714">
            <v>0</v>
          </cell>
          <cell r="AQ4714">
            <v>0</v>
          </cell>
          <cell r="AV4714">
            <v>1440000</v>
          </cell>
        </row>
        <row r="4715">
          <cell r="E4715" t="str">
            <v>T25001884</v>
          </cell>
          <cell r="AP4715">
            <v>0</v>
          </cell>
          <cell r="AQ4715">
            <v>0</v>
          </cell>
          <cell r="AV4715">
            <v>900000</v>
          </cell>
        </row>
        <row r="4716">
          <cell r="E4716" t="str">
            <v>B25017000</v>
          </cell>
          <cell r="AP4716">
            <v>0</v>
          </cell>
          <cell r="AQ4716">
            <v>0</v>
          </cell>
          <cell r="AV4716">
            <v>1560000</v>
          </cell>
        </row>
        <row r="4717">
          <cell r="E4717" t="str">
            <v>D26000418</v>
          </cell>
          <cell r="AP4717">
            <v>0</v>
          </cell>
          <cell r="AQ4717">
            <v>0</v>
          </cell>
          <cell r="AV4717">
            <v>0</v>
          </cell>
        </row>
        <row r="4718">
          <cell r="E4718" t="str">
            <v>D26000444</v>
          </cell>
          <cell r="AP4718">
            <v>0</v>
          </cell>
          <cell r="AQ4718">
            <v>0</v>
          </cell>
          <cell r="AV4718">
            <v>0</v>
          </cell>
        </row>
        <row r="4719">
          <cell r="E4719" t="str">
            <v>D26000446</v>
          </cell>
          <cell r="AP4719">
            <v>0</v>
          </cell>
          <cell r="AQ4719">
            <v>0</v>
          </cell>
          <cell r="AV4719">
            <v>0</v>
          </cell>
        </row>
        <row r="4720">
          <cell r="E4720" t="str">
            <v>B26001667</v>
          </cell>
          <cell r="AP4720">
            <v>0</v>
          </cell>
          <cell r="AQ4720">
            <v>0</v>
          </cell>
          <cell r="AV4720">
            <v>2460000</v>
          </cell>
        </row>
        <row r="4721">
          <cell r="E4721" t="str">
            <v>B26001185</v>
          </cell>
          <cell r="AP4721">
            <v>0</v>
          </cell>
          <cell r="AQ4721">
            <v>0</v>
          </cell>
          <cell r="AV4721">
            <v>0</v>
          </cell>
        </row>
        <row r="4722">
          <cell r="E4722" t="str">
            <v>D26001515</v>
          </cell>
          <cell r="AP4722">
            <v>0</v>
          </cell>
          <cell r="AQ4722">
            <v>0</v>
          </cell>
          <cell r="AV4722">
            <v>0</v>
          </cell>
        </row>
        <row r="4723">
          <cell r="E4723" t="str">
            <v>B26001685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B26001773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B26001793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B25016264</v>
          </cell>
          <cell r="AP4726">
            <v>0</v>
          </cell>
          <cell r="AQ4726">
            <v>0</v>
          </cell>
          <cell r="AV4726">
            <v>12984000</v>
          </cell>
        </row>
        <row r="4727">
          <cell r="E4727" t="str">
            <v>D25019138</v>
          </cell>
          <cell r="AP4727">
            <v>0</v>
          </cell>
          <cell r="AQ4727">
            <v>0</v>
          </cell>
          <cell r="AV4727">
            <v>2016000</v>
          </cell>
        </row>
        <row r="4728">
          <cell r="E4728" t="str">
            <v>B25016971</v>
          </cell>
          <cell r="AP4728">
            <v>0</v>
          </cell>
          <cell r="AQ4728">
            <v>0</v>
          </cell>
          <cell r="AV4728">
            <v>0</v>
          </cell>
        </row>
        <row r="4729">
          <cell r="E4729" t="str">
            <v>B26000358</v>
          </cell>
          <cell r="AP4729">
            <v>0</v>
          </cell>
          <cell r="AQ4729">
            <v>0</v>
          </cell>
          <cell r="AV4729">
            <v>0</v>
          </cell>
        </row>
        <row r="4730">
          <cell r="E4730" t="str">
            <v>D26000464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B26001357</v>
          </cell>
          <cell r="AP4731">
            <v>0</v>
          </cell>
          <cell r="AQ4731">
            <v>0</v>
          </cell>
          <cell r="AV4731">
            <v>0</v>
          </cell>
        </row>
        <row r="4732">
          <cell r="E4732" t="str">
            <v>B26001358</v>
          </cell>
          <cell r="AP4732">
            <v>0</v>
          </cell>
          <cell r="AQ4732">
            <v>0</v>
          </cell>
          <cell r="AV4732">
            <v>0</v>
          </cell>
        </row>
        <row r="4733">
          <cell r="E4733" t="str">
            <v>B26001360</v>
          </cell>
          <cell r="AP4733">
            <v>0</v>
          </cell>
          <cell r="AQ4733">
            <v>0</v>
          </cell>
          <cell r="AV4733">
            <v>0</v>
          </cell>
        </row>
        <row r="4734">
          <cell r="E4734" t="str">
            <v>B26001403</v>
          </cell>
          <cell r="AP4734">
            <v>0</v>
          </cell>
          <cell r="AQ4734">
            <v>0</v>
          </cell>
          <cell r="AV4734">
            <v>0</v>
          </cell>
        </row>
        <row r="4735">
          <cell r="E4735" t="str">
            <v>D26000348</v>
          </cell>
          <cell r="AP4735">
            <v>0</v>
          </cell>
          <cell r="AQ4735">
            <v>0</v>
          </cell>
          <cell r="AV4735">
            <v>0</v>
          </cell>
        </row>
        <row r="4736">
          <cell r="E4736" t="str">
            <v>B26001074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B26001833</v>
          </cell>
          <cell r="AP4737">
            <v>0</v>
          </cell>
          <cell r="AQ4737">
            <v>0</v>
          </cell>
          <cell r="AV4737">
            <v>0</v>
          </cell>
        </row>
        <row r="4738">
          <cell r="E4738" t="str">
            <v>B26001835</v>
          </cell>
          <cell r="AP4738">
            <v>0</v>
          </cell>
          <cell r="AQ4738">
            <v>0</v>
          </cell>
          <cell r="AV4738">
            <v>0</v>
          </cell>
        </row>
        <row r="4739">
          <cell r="E4739" t="str">
            <v>B25015653</v>
          </cell>
          <cell r="AP4739">
            <v>0</v>
          </cell>
          <cell r="AQ4739">
            <v>0</v>
          </cell>
          <cell r="AV4739">
            <v>0</v>
          </cell>
        </row>
        <row r="4740">
          <cell r="E4740" t="str">
            <v>D26001506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D25019337</v>
          </cell>
          <cell r="AP4741">
            <v>0</v>
          </cell>
          <cell r="AQ4741">
            <v>0</v>
          </cell>
          <cell r="AV4741">
            <v>9700000</v>
          </cell>
        </row>
        <row r="4742">
          <cell r="E4742" t="str">
            <v>D25019338</v>
          </cell>
          <cell r="AP4742">
            <v>0</v>
          </cell>
          <cell r="AQ4742">
            <v>0</v>
          </cell>
          <cell r="AV4742">
            <v>2415000</v>
          </cell>
        </row>
        <row r="4743">
          <cell r="E4743" t="str">
            <v>B25016943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B25017062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B25017083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D26001261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D26001329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B26001269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B26001809</v>
          </cell>
          <cell r="AP4749">
            <v>0</v>
          </cell>
          <cell r="AQ4749">
            <v>0</v>
          </cell>
          <cell r="AV4749">
            <v>1525000</v>
          </cell>
        </row>
        <row r="4750">
          <cell r="E4750" t="str">
            <v>B26001810</v>
          </cell>
          <cell r="AP4750">
            <v>0</v>
          </cell>
          <cell r="AQ4750">
            <v>0</v>
          </cell>
          <cell r="AV4750">
            <v>3275000</v>
          </cell>
        </row>
        <row r="4751">
          <cell r="E4751" t="str">
            <v>D26001954</v>
          </cell>
          <cell r="AP4751">
            <v>0</v>
          </cell>
          <cell r="AQ4751">
            <v>0</v>
          </cell>
          <cell r="AV4751">
            <v>1835000</v>
          </cell>
        </row>
        <row r="4752">
          <cell r="E4752" t="str">
            <v>D26001637</v>
          </cell>
          <cell r="AP4752">
            <v>0</v>
          </cell>
          <cell r="AQ4752">
            <v>0</v>
          </cell>
          <cell r="AV4752">
            <v>21628800</v>
          </cell>
        </row>
        <row r="4753">
          <cell r="E4753" t="str">
            <v>D26001638</v>
          </cell>
          <cell r="AP4753">
            <v>0</v>
          </cell>
          <cell r="AQ4753">
            <v>0</v>
          </cell>
          <cell r="AV4753">
            <v>8026000</v>
          </cell>
        </row>
        <row r="4754">
          <cell r="E4754" t="str">
            <v>D26001661</v>
          </cell>
          <cell r="AP4754">
            <v>0</v>
          </cell>
          <cell r="AQ4754">
            <v>0</v>
          </cell>
          <cell r="AV4754">
            <v>4424000</v>
          </cell>
        </row>
        <row r="4755">
          <cell r="E4755" t="str">
            <v>D26001662</v>
          </cell>
          <cell r="AP4755">
            <v>0</v>
          </cell>
          <cell r="AQ4755">
            <v>0</v>
          </cell>
          <cell r="AV4755">
            <v>1960000</v>
          </cell>
        </row>
        <row r="4756">
          <cell r="E4756" t="str">
            <v>D26001827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D26001828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D26001829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D26001830</v>
          </cell>
          <cell r="AP4759">
            <v>0</v>
          </cell>
          <cell r="AQ4759">
            <v>0</v>
          </cell>
          <cell r="AV4759">
            <v>0</v>
          </cell>
        </row>
        <row r="4760">
          <cell r="E4760" t="str">
            <v>D26001830</v>
          </cell>
          <cell r="AP4760">
            <v>0</v>
          </cell>
          <cell r="AQ4760">
            <v>0</v>
          </cell>
          <cell r="AV4760">
            <v>2688000</v>
          </cell>
        </row>
        <row r="4761">
          <cell r="E4761" t="str">
            <v>D26002011</v>
          </cell>
          <cell r="AP4761">
            <v>0</v>
          </cell>
          <cell r="AQ4761">
            <v>0</v>
          </cell>
          <cell r="AV4761">
            <v>0</v>
          </cell>
        </row>
        <row r="4762">
          <cell r="E4762" t="str">
            <v>B26001895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D26000097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B26000169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B26000708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B26000709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B26000710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B26000711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D26000965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B26001160</v>
          </cell>
          <cell r="AP4770">
            <v>0</v>
          </cell>
          <cell r="AQ4770">
            <v>0</v>
          </cell>
          <cell r="AV4770">
            <v>0</v>
          </cell>
        </row>
        <row r="4771">
          <cell r="E4771" t="str">
            <v>D26001236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D26001569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B26001606</v>
          </cell>
          <cell r="AP4773">
            <v>0</v>
          </cell>
          <cell r="AQ4773">
            <v>0</v>
          </cell>
          <cell r="AV4773">
            <v>7720000</v>
          </cell>
        </row>
        <row r="4774">
          <cell r="E4774" t="str">
            <v>D26001724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B26001845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D26002070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D26002071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>
            <v>250204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D26000039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 t="str">
            <v>D26000561</v>
          </cell>
          <cell r="AP4780">
            <v>0</v>
          </cell>
          <cell r="AQ4780">
            <v>0</v>
          </cell>
          <cell r="AV4780">
            <v>0</v>
          </cell>
        </row>
        <row r="4781">
          <cell r="E4781" t="str">
            <v>D26001910</v>
          </cell>
          <cell r="AP4781">
            <v>0</v>
          </cell>
          <cell r="AQ4781">
            <v>0</v>
          </cell>
          <cell r="AV4781">
            <v>0</v>
          </cell>
        </row>
        <row r="4782">
          <cell r="E4782" t="str">
            <v>B26001618</v>
          </cell>
          <cell r="AP4782">
            <v>0</v>
          </cell>
          <cell r="AQ4782">
            <v>0</v>
          </cell>
          <cell r="AV4782">
            <v>4380000</v>
          </cell>
        </row>
        <row r="4783">
          <cell r="E4783" t="str">
            <v>D26000280</v>
          </cell>
          <cell r="AP4783">
            <v>0</v>
          </cell>
          <cell r="AQ4783">
            <v>0</v>
          </cell>
          <cell r="AV4783">
            <v>0</v>
          </cell>
        </row>
        <row r="4784">
          <cell r="E4784" t="str">
            <v>D25016938</v>
          </cell>
          <cell r="AP4784">
            <v>0</v>
          </cell>
          <cell r="AQ4784">
            <v>0</v>
          </cell>
          <cell r="AV4784">
            <v>0</v>
          </cell>
        </row>
        <row r="4785">
          <cell r="E4785" t="str">
            <v>D25017234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D25019460</v>
          </cell>
          <cell r="AP4786">
            <v>0</v>
          </cell>
          <cell r="AQ4786">
            <v>0</v>
          </cell>
          <cell r="AV4786">
            <v>0</v>
          </cell>
        </row>
        <row r="4787">
          <cell r="E4787" t="str">
            <v>D26000110</v>
          </cell>
          <cell r="AP4787">
            <v>0</v>
          </cell>
          <cell r="AQ4787">
            <v>0</v>
          </cell>
          <cell r="AV4787">
            <v>23400000</v>
          </cell>
        </row>
        <row r="4788">
          <cell r="E4788" t="str">
            <v>D26000405</v>
          </cell>
          <cell r="AP4788">
            <v>0</v>
          </cell>
          <cell r="AQ4788">
            <v>0</v>
          </cell>
          <cell r="AV4788">
            <v>0</v>
          </cell>
        </row>
        <row r="4789">
          <cell r="E4789" t="str">
            <v>B26001893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D25018958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B26000514</v>
          </cell>
          <cell r="AP4791">
            <v>0</v>
          </cell>
          <cell r="AQ4791">
            <v>0</v>
          </cell>
          <cell r="AV4791">
            <v>2366000</v>
          </cell>
        </row>
        <row r="4792">
          <cell r="E4792" t="str">
            <v>B26000981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B26001490</v>
          </cell>
          <cell r="AP4793">
            <v>0</v>
          </cell>
          <cell r="AQ4793">
            <v>0</v>
          </cell>
          <cell r="AV4793">
            <v>0</v>
          </cell>
        </row>
        <row r="4794">
          <cell r="E4794" t="str">
            <v>D26001622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D26001651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B26001873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Z25003238</v>
          </cell>
          <cell r="AP4797">
            <v>0</v>
          </cell>
          <cell r="AQ4797">
            <v>0</v>
          </cell>
          <cell r="AV4797">
            <v>30000000</v>
          </cell>
        </row>
        <row r="4798">
          <cell r="E4798" t="str">
            <v>Z25003293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Z25003299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Z25003361</v>
          </cell>
          <cell r="AP4800">
            <v>0</v>
          </cell>
          <cell r="AQ4800">
            <v>0</v>
          </cell>
          <cell r="AV4800">
            <v>0</v>
          </cell>
        </row>
        <row r="4801">
          <cell r="E4801" t="str">
            <v>Z25003362</v>
          </cell>
          <cell r="AP4801">
            <v>0</v>
          </cell>
          <cell r="AQ4801">
            <v>0</v>
          </cell>
          <cell r="AV4801">
            <v>0</v>
          </cell>
        </row>
        <row r="4802">
          <cell r="E4802" t="str">
            <v>Z25003367</v>
          </cell>
          <cell r="AP4802">
            <v>0</v>
          </cell>
          <cell r="AQ4802">
            <v>0</v>
          </cell>
          <cell r="AV4802">
            <v>0</v>
          </cell>
        </row>
        <row r="4803">
          <cell r="E4803" t="str">
            <v>Z26000048</v>
          </cell>
          <cell r="AP4803">
            <v>0</v>
          </cell>
          <cell r="AQ4803">
            <v>0</v>
          </cell>
          <cell r="AV4803">
            <v>0</v>
          </cell>
        </row>
        <row r="4804">
          <cell r="E4804" t="str">
            <v>B26000300</v>
          </cell>
          <cell r="AP4804">
            <v>0</v>
          </cell>
          <cell r="AQ4804">
            <v>0</v>
          </cell>
          <cell r="AV4804">
            <v>0</v>
          </cell>
        </row>
        <row r="4805">
          <cell r="E4805" t="str">
            <v>D26000454</v>
          </cell>
          <cell r="AP4805">
            <v>0</v>
          </cell>
          <cell r="AQ4805">
            <v>0</v>
          </cell>
          <cell r="AV4805">
            <v>0</v>
          </cell>
        </row>
        <row r="4806">
          <cell r="E4806" t="str">
            <v>D26000686</v>
          </cell>
          <cell r="AP4806">
            <v>0</v>
          </cell>
          <cell r="AQ4806">
            <v>0</v>
          </cell>
          <cell r="AV4806">
            <v>0</v>
          </cell>
        </row>
        <row r="4807">
          <cell r="E4807" t="str">
            <v>D26000688</v>
          </cell>
          <cell r="AP4807">
            <v>0</v>
          </cell>
          <cell r="AQ4807">
            <v>0</v>
          </cell>
          <cell r="AV4807">
            <v>0</v>
          </cell>
        </row>
        <row r="4808">
          <cell r="E4808" t="str">
            <v>B25017125</v>
          </cell>
          <cell r="AP4808">
            <v>0</v>
          </cell>
          <cell r="AQ4808">
            <v>0</v>
          </cell>
          <cell r="AV4808">
            <v>1350000</v>
          </cell>
        </row>
        <row r="4809">
          <cell r="E4809" t="str">
            <v>B26000086</v>
          </cell>
          <cell r="AP4809">
            <v>0</v>
          </cell>
          <cell r="AQ4809">
            <v>0</v>
          </cell>
          <cell r="AV4809">
            <v>1680000</v>
          </cell>
        </row>
        <row r="4810">
          <cell r="E4810" t="str">
            <v>D26000063</v>
          </cell>
          <cell r="AP4810">
            <v>0</v>
          </cell>
          <cell r="AQ4810">
            <v>0</v>
          </cell>
          <cell r="AV4810">
            <v>2016000</v>
          </cell>
        </row>
        <row r="4811">
          <cell r="E4811" t="str">
            <v>D26000077</v>
          </cell>
          <cell r="AP4811">
            <v>0</v>
          </cell>
          <cell r="AQ4811">
            <v>0</v>
          </cell>
          <cell r="AV4811">
            <v>0</v>
          </cell>
        </row>
        <row r="4812">
          <cell r="E4812" t="str">
            <v>D26000274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B26000399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D26000415</v>
          </cell>
          <cell r="AP4814">
            <v>0</v>
          </cell>
          <cell r="AQ4814">
            <v>0</v>
          </cell>
          <cell r="AV4814">
            <v>0</v>
          </cell>
        </row>
        <row r="4815">
          <cell r="E4815" t="str">
            <v>B26000470</v>
          </cell>
          <cell r="AP4815">
            <v>0</v>
          </cell>
          <cell r="AQ4815">
            <v>0</v>
          </cell>
          <cell r="AV4815">
            <v>0</v>
          </cell>
        </row>
        <row r="4816">
          <cell r="E4816" t="str">
            <v>D26000645</v>
          </cell>
          <cell r="AP4816">
            <v>0</v>
          </cell>
          <cell r="AQ4816">
            <v>0</v>
          </cell>
          <cell r="AV4816">
            <v>0</v>
          </cell>
        </row>
        <row r="4817">
          <cell r="E4817" t="str">
            <v>D26000927</v>
          </cell>
          <cell r="AP4817">
            <v>0</v>
          </cell>
          <cell r="AQ4817">
            <v>0</v>
          </cell>
          <cell r="AV4817">
            <v>0</v>
          </cell>
        </row>
        <row r="4818">
          <cell r="E4818" t="str">
            <v>D26000940</v>
          </cell>
          <cell r="AP4818">
            <v>0</v>
          </cell>
          <cell r="AQ4818">
            <v>0</v>
          </cell>
          <cell r="AV4818">
            <v>0</v>
          </cell>
        </row>
        <row r="4819">
          <cell r="E4819" t="str">
            <v>D26000976</v>
          </cell>
          <cell r="AP4819">
            <v>0</v>
          </cell>
          <cell r="AQ4819">
            <v>0</v>
          </cell>
          <cell r="AV4819">
            <v>0</v>
          </cell>
        </row>
        <row r="4820">
          <cell r="E4820" t="str">
            <v>B26000992</v>
          </cell>
          <cell r="AP4820">
            <v>0</v>
          </cell>
          <cell r="AQ4820">
            <v>0</v>
          </cell>
          <cell r="AV4820">
            <v>0</v>
          </cell>
        </row>
        <row r="4821">
          <cell r="E4821" t="str">
            <v>D26001052</v>
          </cell>
          <cell r="AP4821">
            <v>0</v>
          </cell>
          <cell r="AQ4821">
            <v>0</v>
          </cell>
          <cell r="AV4821">
            <v>0</v>
          </cell>
        </row>
        <row r="4822">
          <cell r="E4822" t="str">
            <v>B26001050</v>
          </cell>
          <cell r="AP4822">
            <v>0</v>
          </cell>
          <cell r="AQ4822">
            <v>0</v>
          </cell>
          <cell r="AV4822">
            <v>0</v>
          </cell>
        </row>
        <row r="4823">
          <cell r="E4823" t="str">
            <v>N26000011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D26001235</v>
          </cell>
          <cell r="AP4824">
            <v>0</v>
          </cell>
          <cell r="AQ4824">
            <v>0</v>
          </cell>
          <cell r="AV4824">
            <v>0</v>
          </cell>
        </row>
        <row r="4825">
          <cell r="E4825" t="str">
            <v>D26001612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D26001663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D26001664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D26001789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D26001790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T26000117</v>
          </cell>
          <cell r="AP4830">
            <v>0</v>
          </cell>
          <cell r="AQ4830">
            <v>0</v>
          </cell>
          <cell r="AV4830">
            <v>5200000</v>
          </cell>
        </row>
        <row r="4831">
          <cell r="E4831" t="str">
            <v>T26000118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D26000021</v>
          </cell>
          <cell r="AP4832">
            <v>0</v>
          </cell>
          <cell r="AQ4832">
            <v>0</v>
          </cell>
          <cell r="AV4832">
            <v>0</v>
          </cell>
        </row>
        <row r="4833">
          <cell r="E4833" t="str">
            <v>D26000378</v>
          </cell>
          <cell r="AP4833">
            <v>0</v>
          </cell>
          <cell r="AQ4833">
            <v>0</v>
          </cell>
          <cell r="AV4833">
            <v>0</v>
          </cell>
        </row>
        <row r="4834">
          <cell r="E4834" t="str">
            <v>D26000397</v>
          </cell>
          <cell r="AP4834">
            <v>0</v>
          </cell>
          <cell r="AQ4834">
            <v>0</v>
          </cell>
          <cell r="AV4834">
            <v>0</v>
          </cell>
        </row>
        <row r="4835">
          <cell r="E4835" t="str">
            <v>D26000406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B26000416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D26000599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D26000600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D26000656</v>
          </cell>
          <cell r="AP4839">
            <v>0</v>
          </cell>
          <cell r="AQ4839">
            <v>0</v>
          </cell>
          <cell r="AV4839">
            <v>0</v>
          </cell>
        </row>
        <row r="4840">
          <cell r="E4840" t="str">
            <v>D26000731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D26000781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D26000782</v>
          </cell>
          <cell r="AP4842">
            <v>0</v>
          </cell>
          <cell r="AQ4842">
            <v>0</v>
          </cell>
          <cell r="AV4842">
            <v>0</v>
          </cell>
        </row>
        <row r="4843">
          <cell r="E4843" t="str">
            <v>D26000817</v>
          </cell>
          <cell r="AP4843">
            <v>0</v>
          </cell>
          <cell r="AQ4843">
            <v>0</v>
          </cell>
          <cell r="AV4843">
            <v>0</v>
          </cell>
        </row>
        <row r="4844">
          <cell r="E4844" t="str">
            <v>B26000975</v>
          </cell>
          <cell r="AP4844">
            <v>0</v>
          </cell>
          <cell r="AQ4844">
            <v>0</v>
          </cell>
          <cell r="AV4844">
            <v>0</v>
          </cell>
        </row>
        <row r="4845">
          <cell r="E4845" t="str">
            <v>D26001060</v>
          </cell>
          <cell r="AP4845">
            <v>0</v>
          </cell>
          <cell r="AQ4845">
            <v>0</v>
          </cell>
          <cell r="AV4845">
            <v>0</v>
          </cell>
        </row>
        <row r="4846">
          <cell r="E4846" t="str">
            <v>B26001069</v>
          </cell>
          <cell r="AP4846">
            <v>0</v>
          </cell>
          <cell r="AQ4846">
            <v>0</v>
          </cell>
          <cell r="AV4846">
            <v>0</v>
          </cell>
        </row>
        <row r="4847">
          <cell r="E4847" t="str">
            <v>D26001263</v>
          </cell>
          <cell r="AP4847">
            <v>0</v>
          </cell>
          <cell r="AQ4847">
            <v>0</v>
          </cell>
          <cell r="AV4847">
            <v>0</v>
          </cell>
        </row>
        <row r="4848">
          <cell r="E4848" t="str">
            <v>D26001654</v>
          </cell>
          <cell r="AP4848">
            <v>0</v>
          </cell>
          <cell r="AQ4848">
            <v>0</v>
          </cell>
          <cell r="AV4848">
            <v>0</v>
          </cell>
        </row>
        <row r="4849">
          <cell r="E4849" t="str">
            <v>B26001674</v>
          </cell>
          <cell r="AP4849">
            <v>0</v>
          </cell>
          <cell r="AQ4849">
            <v>0</v>
          </cell>
          <cell r="AV4849">
            <v>0</v>
          </cell>
        </row>
        <row r="4850">
          <cell r="E4850" t="str">
            <v>D26001998</v>
          </cell>
          <cell r="AP4850">
            <v>0</v>
          </cell>
          <cell r="AQ4850">
            <v>0</v>
          </cell>
          <cell r="AV4850">
            <v>0</v>
          </cell>
        </row>
        <row r="4851">
          <cell r="E4851" t="str">
            <v>Z26000053</v>
          </cell>
          <cell r="AP4851">
            <v>0</v>
          </cell>
          <cell r="AQ4851">
            <v>0</v>
          </cell>
          <cell r="AV4851">
            <v>0</v>
          </cell>
        </row>
        <row r="4852">
          <cell r="E4852" t="str">
            <v>Z26000056</v>
          </cell>
          <cell r="AP4852">
            <v>0</v>
          </cell>
          <cell r="AQ4852">
            <v>0</v>
          </cell>
          <cell r="AV4852">
            <v>0</v>
          </cell>
        </row>
        <row r="4853">
          <cell r="E4853" t="str">
            <v>Z26000124</v>
          </cell>
          <cell r="AP4853">
            <v>0</v>
          </cell>
          <cell r="AQ4853">
            <v>0</v>
          </cell>
          <cell r="AV4853">
            <v>0</v>
          </cell>
        </row>
        <row r="4854">
          <cell r="E4854" t="str">
            <v>T26000043</v>
          </cell>
          <cell r="AP4854">
            <v>0</v>
          </cell>
          <cell r="AQ4854">
            <v>0</v>
          </cell>
          <cell r="AV4854">
            <v>0</v>
          </cell>
        </row>
        <row r="4855">
          <cell r="E4855" t="str">
            <v>Z26000135</v>
          </cell>
          <cell r="AP4855">
            <v>0</v>
          </cell>
          <cell r="AQ4855">
            <v>0</v>
          </cell>
          <cell r="AV4855">
            <v>0</v>
          </cell>
        </row>
        <row r="4856">
          <cell r="E4856" t="str">
            <v>Z26000161</v>
          </cell>
          <cell r="AP4856">
            <v>0</v>
          </cell>
          <cell r="AQ4856">
            <v>0</v>
          </cell>
          <cell r="AV4856">
            <v>0</v>
          </cell>
        </row>
        <row r="4857">
          <cell r="E4857" t="str">
            <v>Z26000200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Z26000205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Z26000282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T25001673</v>
          </cell>
          <cell r="AP4860">
            <v>0</v>
          </cell>
          <cell r="AQ4860">
            <v>0</v>
          </cell>
          <cell r="AV4860">
            <v>0</v>
          </cell>
        </row>
        <row r="4861">
          <cell r="E4861" t="str">
            <v>T26000103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B26001499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T26000142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B25016958</v>
          </cell>
          <cell r="AP4864">
            <v>0</v>
          </cell>
          <cell r="AQ4864">
            <v>0</v>
          </cell>
          <cell r="AV4864">
            <v>490000</v>
          </cell>
        </row>
        <row r="4865">
          <cell r="E4865" t="str">
            <v>D25019518</v>
          </cell>
          <cell r="AP4865">
            <v>0</v>
          </cell>
          <cell r="AQ4865">
            <v>0</v>
          </cell>
          <cell r="AV4865">
            <v>5272000</v>
          </cell>
        </row>
        <row r="4866">
          <cell r="E4866" t="str">
            <v>D25013643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T26000057K</v>
          </cell>
          <cell r="AP4867">
            <v>0</v>
          </cell>
          <cell r="AQ4867">
            <v>0</v>
          </cell>
          <cell r="AV4867">
            <v>0</v>
          </cell>
        </row>
        <row r="4868">
          <cell r="E4868" t="str">
            <v>D25018530</v>
          </cell>
          <cell r="AP4868">
            <v>0</v>
          </cell>
          <cell r="AQ4868">
            <v>0</v>
          </cell>
          <cell r="AV4868">
            <v>136975000</v>
          </cell>
        </row>
        <row r="4869">
          <cell r="E4869" t="str">
            <v>B25016279</v>
          </cell>
          <cell r="AP4869">
            <v>0</v>
          </cell>
          <cell r="AQ4869">
            <v>0</v>
          </cell>
          <cell r="AV4869">
            <v>3200000</v>
          </cell>
        </row>
        <row r="4870">
          <cell r="E4870" t="str">
            <v>B25016808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B25016809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B25016868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B25016886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D26000185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D26000550</v>
          </cell>
          <cell r="AP4875">
            <v>0</v>
          </cell>
          <cell r="AQ4875">
            <v>0</v>
          </cell>
          <cell r="AV4875">
            <v>0</v>
          </cell>
        </row>
        <row r="4876">
          <cell r="E4876" t="str">
            <v>D26001076</v>
          </cell>
          <cell r="AP4876">
            <v>0</v>
          </cell>
          <cell r="AQ4876">
            <v>0</v>
          </cell>
          <cell r="AV4876">
            <v>0</v>
          </cell>
        </row>
        <row r="4877">
          <cell r="E4877" t="str">
            <v>D26001626</v>
          </cell>
          <cell r="AP4877">
            <v>0</v>
          </cell>
          <cell r="AQ4877">
            <v>0</v>
          </cell>
          <cell r="AV4877">
            <v>0</v>
          </cell>
        </row>
        <row r="4878">
          <cell r="E4878" t="str">
            <v>D26001627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D26001931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B25017103</v>
          </cell>
          <cell r="AP4880">
            <v>0</v>
          </cell>
          <cell r="AQ4880">
            <v>0</v>
          </cell>
          <cell r="AV4880">
            <v>9900000</v>
          </cell>
        </row>
        <row r="4881">
          <cell r="E4881" t="str">
            <v>B26000302</v>
          </cell>
          <cell r="AP4881">
            <v>0</v>
          </cell>
          <cell r="AQ4881">
            <v>0</v>
          </cell>
          <cell r="AV4881">
            <v>1850000</v>
          </cell>
        </row>
        <row r="4882">
          <cell r="E4882">
            <v>260004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B26000343</v>
          </cell>
          <cell r="AP4883">
            <v>0</v>
          </cell>
          <cell r="AQ4883">
            <v>0</v>
          </cell>
          <cell r="AV4883">
            <v>4200000</v>
          </cell>
        </row>
        <row r="4884">
          <cell r="E4884" t="str">
            <v>B26000349</v>
          </cell>
          <cell r="AP4884">
            <v>0</v>
          </cell>
          <cell r="AQ4884">
            <v>0</v>
          </cell>
          <cell r="AV4884">
            <v>0</v>
          </cell>
        </row>
        <row r="4885">
          <cell r="E4885" t="str">
            <v>B26000609</v>
          </cell>
          <cell r="AP4885">
            <v>0</v>
          </cell>
          <cell r="AQ4885">
            <v>0</v>
          </cell>
          <cell r="AV4885">
            <v>0</v>
          </cell>
        </row>
        <row r="4886">
          <cell r="E4886" t="str">
            <v>D26000820</v>
          </cell>
          <cell r="AP4886">
            <v>0</v>
          </cell>
          <cell r="AQ4886">
            <v>0</v>
          </cell>
          <cell r="AV4886">
            <v>0</v>
          </cell>
        </row>
        <row r="4887">
          <cell r="E4887" t="str">
            <v>B26000770</v>
          </cell>
          <cell r="AP4887">
            <v>0</v>
          </cell>
          <cell r="AQ4887">
            <v>0</v>
          </cell>
          <cell r="AV4887">
            <v>0</v>
          </cell>
        </row>
        <row r="4888">
          <cell r="E4888" t="str">
            <v>B26000771</v>
          </cell>
          <cell r="AP4888">
            <v>0</v>
          </cell>
          <cell r="AQ4888">
            <v>0</v>
          </cell>
          <cell r="AV4888">
            <v>0</v>
          </cell>
        </row>
        <row r="4889">
          <cell r="E4889" t="str">
            <v>B26000939</v>
          </cell>
          <cell r="AP4889">
            <v>0</v>
          </cell>
          <cell r="AQ4889">
            <v>0</v>
          </cell>
          <cell r="AV4889">
            <v>0</v>
          </cell>
        </row>
        <row r="4890">
          <cell r="E4890" t="str">
            <v>B26000942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B26001166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D26001234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D26001345</v>
          </cell>
          <cell r="AP4893">
            <v>0</v>
          </cell>
          <cell r="AQ4893">
            <v>0</v>
          </cell>
          <cell r="AV4893">
            <v>0</v>
          </cell>
        </row>
        <row r="4894">
          <cell r="E4894" t="str">
            <v>B26001512</v>
          </cell>
          <cell r="AP4894">
            <v>0</v>
          </cell>
          <cell r="AQ4894">
            <v>0</v>
          </cell>
          <cell r="AV4894">
            <v>0</v>
          </cell>
        </row>
        <row r="4895">
          <cell r="E4895" t="str">
            <v>B26001558</v>
          </cell>
          <cell r="AP4895">
            <v>0</v>
          </cell>
          <cell r="AQ4895">
            <v>0</v>
          </cell>
          <cell r="AV4895">
            <v>0</v>
          </cell>
        </row>
        <row r="4896">
          <cell r="E4896" t="str">
            <v>D26001701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 t="str">
            <v>B26001708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D26001767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D26000581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D26001070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D26001700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B26001922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D26000482</v>
          </cell>
          <cell r="AP4903">
            <v>0</v>
          </cell>
          <cell r="AQ4903">
            <v>0</v>
          </cell>
          <cell r="AV4903">
            <v>1350000</v>
          </cell>
        </row>
        <row r="4904">
          <cell r="E4904" t="str">
            <v>D26000495</v>
          </cell>
          <cell r="AP4904">
            <v>0</v>
          </cell>
          <cell r="AQ4904">
            <v>0</v>
          </cell>
          <cell r="AV4904">
            <v>2100000</v>
          </cell>
        </row>
        <row r="4905">
          <cell r="E4905" t="str">
            <v>B26000552</v>
          </cell>
          <cell r="AP4905">
            <v>0</v>
          </cell>
          <cell r="AQ4905">
            <v>0</v>
          </cell>
          <cell r="AV4905">
            <v>1710000</v>
          </cell>
        </row>
        <row r="4906">
          <cell r="E4906" t="str">
            <v>B26000592</v>
          </cell>
          <cell r="AP4906">
            <v>0</v>
          </cell>
          <cell r="AQ4906">
            <v>0</v>
          </cell>
          <cell r="AV4906">
            <v>2640000</v>
          </cell>
        </row>
        <row r="4907">
          <cell r="E4907" t="str">
            <v>B26000672</v>
          </cell>
          <cell r="AP4907">
            <v>0</v>
          </cell>
          <cell r="AQ4907">
            <v>0</v>
          </cell>
          <cell r="AV4907">
            <v>537500</v>
          </cell>
        </row>
        <row r="4908">
          <cell r="E4908" t="str">
            <v>D26000703</v>
          </cell>
          <cell r="AP4908">
            <v>0</v>
          </cell>
          <cell r="AQ4908">
            <v>0</v>
          </cell>
          <cell r="AV4908">
            <v>14140000</v>
          </cell>
        </row>
        <row r="4909">
          <cell r="E4909" t="str">
            <v>B26000873</v>
          </cell>
          <cell r="AP4909">
            <v>0</v>
          </cell>
          <cell r="AQ4909">
            <v>0</v>
          </cell>
          <cell r="AV4909">
            <v>1800000</v>
          </cell>
        </row>
        <row r="4910">
          <cell r="E4910" t="str">
            <v>D26001176</v>
          </cell>
          <cell r="AP4910">
            <v>0</v>
          </cell>
          <cell r="AQ4910">
            <v>0</v>
          </cell>
          <cell r="AV4910">
            <v>2000000</v>
          </cell>
        </row>
        <row r="4911">
          <cell r="E4911" t="str">
            <v>B26001293</v>
          </cell>
          <cell r="AP4911">
            <v>0</v>
          </cell>
          <cell r="AQ4911">
            <v>0</v>
          </cell>
          <cell r="AV4911">
            <v>11899000</v>
          </cell>
        </row>
        <row r="4912">
          <cell r="E4912" t="str">
            <v>B26001321</v>
          </cell>
          <cell r="AP4912">
            <v>0</v>
          </cell>
          <cell r="AQ4912">
            <v>0</v>
          </cell>
          <cell r="AV4912">
            <v>1416000</v>
          </cell>
        </row>
        <row r="4913">
          <cell r="E4913" t="str">
            <v>D26001398</v>
          </cell>
          <cell r="AP4913">
            <v>0</v>
          </cell>
          <cell r="AQ4913">
            <v>0</v>
          </cell>
          <cell r="AV4913">
            <v>2700000</v>
          </cell>
        </row>
        <row r="4914">
          <cell r="E4914" t="str">
            <v>D26001785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D26001914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D26002015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D26002054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 t="str">
            <v>D25015100</v>
          </cell>
          <cell r="AP4918">
            <v>0</v>
          </cell>
          <cell r="AQ4918">
            <v>0</v>
          </cell>
          <cell r="AV4918">
            <v>57000000</v>
          </cell>
        </row>
        <row r="4919">
          <cell r="E4919" t="str">
            <v>D25016428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D25016444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B25014380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B25014914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B25014915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B25014916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B25014917</v>
          </cell>
          <cell r="AP4925">
            <v>0</v>
          </cell>
          <cell r="AQ4925">
            <v>0</v>
          </cell>
          <cell r="AV4925">
            <v>0</v>
          </cell>
        </row>
        <row r="4926">
          <cell r="E4926" t="str">
            <v>B25014921</v>
          </cell>
          <cell r="AP4926">
            <v>0</v>
          </cell>
          <cell r="AQ4926">
            <v>0</v>
          </cell>
          <cell r="AV4926">
            <v>0</v>
          </cell>
        </row>
        <row r="4927">
          <cell r="E4927" t="str">
            <v>D25017196</v>
          </cell>
          <cell r="AP4927">
            <v>0</v>
          </cell>
          <cell r="AQ4927">
            <v>0</v>
          </cell>
          <cell r="AV4927">
            <v>0</v>
          </cell>
        </row>
        <row r="4928">
          <cell r="E4928" t="str">
            <v>B25016405</v>
          </cell>
          <cell r="AP4928">
            <v>0</v>
          </cell>
          <cell r="AQ4928">
            <v>0</v>
          </cell>
          <cell r="AV4928">
            <v>0</v>
          </cell>
        </row>
        <row r="4929">
          <cell r="E4929" t="str">
            <v>B25016539</v>
          </cell>
          <cell r="AP4929">
            <v>0</v>
          </cell>
          <cell r="AQ4929">
            <v>0</v>
          </cell>
          <cell r="AV4929">
            <v>0</v>
          </cell>
        </row>
        <row r="4930">
          <cell r="E4930" t="str">
            <v>B25016540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D25019392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D25019402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B26000529</v>
          </cell>
          <cell r="AP4933">
            <v>0</v>
          </cell>
          <cell r="AQ4933">
            <v>0</v>
          </cell>
          <cell r="AV4933">
            <v>0</v>
          </cell>
        </row>
        <row r="4934">
          <cell r="E4934" t="str">
            <v>B26000530</v>
          </cell>
          <cell r="AP4934">
            <v>0</v>
          </cell>
          <cell r="AQ4934">
            <v>0</v>
          </cell>
          <cell r="AV4934">
            <v>0</v>
          </cell>
        </row>
        <row r="4935">
          <cell r="E4935" t="str">
            <v>B26000643</v>
          </cell>
          <cell r="AP4935">
            <v>0</v>
          </cell>
          <cell r="AQ4935">
            <v>0</v>
          </cell>
          <cell r="AV4935">
            <v>0</v>
          </cell>
        </row>
        <row r="4936">
          <cell r="E4936" t="str">
            <v>D26000729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D26001356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D25017901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D25017901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D25017902</v>
          </cell>
          <cell r="AP4940">
            <v>0</v>
          </cell>
          <cell r="AQ4940">
            <v>0</v>
          </cell>
          <cell r="AV4940">
            <v>0</v>
          </cell>
        </row>
        <row r="4941">
          <cell r="E4941" t="str">
            <v>B25015794</v>
          </cell>
          <cell r="AP4941">
            <v>0</v>
          </cell>
          <cell r="AQ4941">
            <v>0</v>
          </cell>
          <cell r="AV4941">
            <v>0</v>
          </cell>
        </row>
        <row r="4942">
          <cell r="E4942" t="str">
            <v>B25015795</v>
          </cell>
          <cell r="AP4942">
            <v>0</v>
          </cell>
          <cell r="AQ4942">
            <v>0</v>
          </cell>
          <cell r="AV4942">
            <v>0</v>
          </cell>
        </row>
        <row r="4943">
          <cell r="E4943" t="str">
            <v>D25018558</v>
          </cell>
          <cell r="AP4943">
            <v>0</v>
          </cell>
          <cell r="AQ4943">
            <v>0</v>
          </cell>
          <cell r="AV4943">
            <v>0</v>
          </cell>
        </row>
        <row r="4944">
          <cell r="E4944" t="str">
            <v>D25018559</v>
          </cell>
          <cell r="AP4944">
            <v>0</v>
          </cell>
          <cell r="AQ4944">
            <v>0</v>
          </cell>
          <cell r="AV4944">
            <v>0</v>
          </cell>
        </row>
        <row r="4945">
          <cell r="E4945" t="str">
            <v>D25018559</v>
          </cell>
          <cell r="AP4945">
            <v>0</v>
          </cell>
          <cell r="AQ4945">
            <v>0</v>
          </cell>
          <cell r="AV4945">
            <v>0</v>
          </cell>
        </row>
        <row r="4946">
          <cell r="E4946" t="str">
            <v>D25018583</v>
          </cell>
          <cell r="AP4946">
            <v>0</v>
          </cell>
          <cell r="AQ4946">
            <v>0</v>
          </cell>
          <cell r="AV4946">
            <v>0</v>
          </cell>
        </row>
        <row r="4947">
          <cell r="E4947" t="str">
            <v>D25019033</v>
          </cell>
          <cell r="AP4947">
            <v>0</v>
          </cell>
          <cell r="AQ4947">
            <v>0</v>
          </cell>
          <cell r="AV4947">
            <v>0</v>
          </cell>
        </row>
        <row r="4948">
          <cell r="E4948" t="str">
            <v>D25019033</v>
          </cell>
          <cell r="AP4948">
            <v>0</v>
          </cell>
          <cell r="AQ4948">
            <v>0</v>
          </cell>
          <cell r="AV4948">
            <v>0</v>
          </cell>
        </row>
        <row r="4949">
          <cell r="E4949" t="str">
            <v>D25019048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D25019050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D25019084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D25019084</v>
          </cell>
          <cell r="AP4952">
            <v>0</v>
          </cell>
          <cell r="AQ4952">
            <v>0</v>
          </cell>
          <cell r="AV4952">
            <v>0</v>
          </cell>
        </row>
        <row r="4953">
          <cell r="E4953" t="str">
            <v>B25016734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D25019255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B25016980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B25016990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B25016991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B25016991</v>
          </cell>
          <cell r="AP4958">
            <v>0</v>
          </cell>
          <cell r="AQ4958">
            <v>0</v>
          </cell>
          <cell r="AV4958">
            <v>0</v>
          </cell>
        </row>
        <row r="4959">
          <cell r="E4959" t="str">
            <v>B25017032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D25019592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D25019597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B26000133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B26000462</v>
          </cell>
          <cell r="AP4963">
            <v>0</v>
          </cell>
          <cell r="AQ4963">
            <v>0</v>
          </cell>
          <cell r="AV4963">
            <v>0</v>
          </cell>
        </row>
        <row r="4964">
          <cell r="E4964" t="str">
            <v>D26000538</v>
          </cell>
          <cell r="AP4964">
            <v>0</v>
          </cell>
          <cell r="AQ4964">
            <v>0</v>
          </cell>
          <cell r="AV4964">
            <v>0</v>
          </cell>
        </row>
        <row r="4965">
          <cell r="E4965" t="str">
            <v>D26000723</v>
          </cell>
          <cell r="AP4965">
            <v>0</v>
          </cell>
          <cell r="AQ4965">
            <v>73888000</v>
          </cell>
          <cell r="AV4965">
            <v>0</v>
          </cell>
        </row>
        <row r="4966">
          <cell r="E4966" t="str">
            <v>D26000739</v>
          </cell>
          <cell r="AP4966">
            <v>0</v>
          </cell>
          <cell r="AQ4966">
            <v>6112000</v>
          </cell>
          <cell r="AV4966">
            <v>0</v>
          </cell>
        </row>
        <row r="4967">
          <cell r="E4967" t="str">
            <v>D26000739</v>
          </cell>
          <cell r="AP4967">
            <v>0</v>
          </cell>
          <cell r="AQ4967">
            <v>29588000</v>
          </cell>
          <cell r="AV4967">
            <v>0</v>
          </cell>
        </row>
        <row r="4968">
          <cell r="E4968" t="str">
            <v>B26000959</v>
          </cell>
          <cell r="AP4968">
            <v>0</v>
          </cell>
          <cell r="AQ4968">
            <v>50460000</v>
          </cell>
          <cell r="AV4968">
            <v>0</v>
          </cell>
        </row>
        <row r="4969">
          <cell r="E4969" t="str">
            <v>B26001021</v>
          </cell>
          <cell r="AP4969">
            <v>0</v>
          </cell>
          <cell r="AQ4969">
            <v>4952000</v>
          </cell>
          <cell r="AV4969">
            <v>0</v>
          </cell>
        </row>
        <row r="4970">
          <cell r="E4970" t="str">
            <v>B26001021</v>
          </cell>
          <cell r="AP4970">
            <v>0</v>
          </cell>
          <cell r="AQ4970">
            <v>25160000</v>
          </cell>
          <cell r="AV4970">
            <v>0</v>
          </cell>
        </row>
        <row r="4971">
          <cell r="E4971" t="str">
            <v>D26001118</v>
          </cell>
          <cell r="AP4971">
            <v>0</v>
          </cell>
          <cell r="AQ4971">
            <v>5800000</v>
          </cell>
          <cell r="AV4971">
            <v>0</v>
          </cell>
        </row>
        <row r="4972">
          <cell r="E4972" t="str">
            <v>D26001135</v>
          </cell>
          <cell r="AP4972">
            <v>0</v>
          </cell>
          <cell r="AQ4972">
            <v>25057000</v>
          </cell>
          <cell r="AV4972">
            <v>0</v>
          </cell>
        </row>
        <row r="4973">
          <cell r="E4973" t="str">
            <v>D26001136</v>
          </cell>
          <cell r="AP4973">
            <v>0</v>
          </cell>
          <cell r="AQ4973">
            <v>18983000</v>
          </cell>
          <cell r="AV4973">
            <v>0</v>
          </cell>
        </row>
        <row r="4974">
          <cell r="E4974" t="str">
            <v>D26001136</v>
          </cell>
          <cell r="AP4974">
            <v>0</v>
          </cell>
          <cell r="AQ4974">
            <v>27617000</v>
          </cell>
          <cell r="AV4974">
            <v>0</v>
          </cell>
        </row>
        <row r="4975">
          <cell r="E4975" t="str">
            <v>D26001241</v>
          </cell>
          <cell r="AP4975">
            <v>0</v>
          </cell>
          <cell r="AQ4975">
            <v>12825000</v>
          </cell>
          <cell r="AV4975">
            <v>0</v>
          </cell>
        </row>
        <row r="4976">
          <cell r="E4976" t="str">
            <v>B26001419</v>
          </cell>
          <cell r="AP4976">
            <v>0</v>
          </cell>
          <cell r="AQ4976">
            <v>45440000</v>
          </cell>
          <cell r="AV4976">
            <v>0</v>
          </cell>
        </row>
        <row r="4977">
          <cell r="E4977" t="str">
            <v>D26001572</v>
          </cell>
          <cell r="AP4977">
            <v>0</v>
          </cell>
          <cell r="AQ4977">
            <v>1440000</v>
          </cell>
          <cell r="AV4977">
            <v>0</v>
          </cell>
        </row>
        <row r="4978">
          <cell r="E4978" t="str">
            <v>D26001922</v>
          </cell>
          <cell r="AP4978">
            <v>0</v>
          </cell>
          <cell r="AQ4978">
            <v>0</v>
          </cell>
          <cell r="AV4978">
            <v>0</v>
          </cell>
        </row>
        <row r="4979">
          <cell r="E4979" t="str">
            <v>D26001923</v>
          </cell>
          <cell r="AP4979">
            <v>0</v>
          </cell>
          <cell r="AQ4979">
            <v>0</v>
          </cell>
          <cell r="AV4979">
            <v>6720000</v>
          </cell>
        </row>
        <row r="4980">
          <cell r="E4980" t="str">
            <v>D26001955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D26001956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B25016162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D25019352</v>
          </cell>
          <cell r="AP4983">
            <v>0</v>
          </cell>
          <cell r="AQ4983">
            <v>0</v>
          </cell>
          <cell r="AV4983">
            <v>0</v>
          </cell>
        </row>
        <row r="4984">
          <cell r="E4984" t="str">
            <v>B26000741</v>
          </cell>
          <cell r="AP4984">
            <v>0</v>
          </cell>
          <cell r="AQ4984">
            <v>0</v>
          </cell>
          <cell r="AV4984">
            <v>0</v>
          </cell>
        </row>
        <row r="4985">
          <cell r="E4985" t="str">
            <v>D26000835</v>
          </cell>
          <cell r="AP4985">
            <v>0</v>
          </cell>
          <cell r="AQ4985">
            <v>0</v>
          </cell>
          <cell r="AV4985">
            <v>0</v>
          </cell>
        </row>
        <row r="4986">
          <cell r="E4986" t="str">
            <v>D26001063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D26001561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B26001477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Z26000034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Z26000035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Z26000233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T25001440</v>
          </cell>
          <cell r="AP4992">
            <v>0</v>
          </cell>
          <cell r="AQ4992">
            <v>0</v>
          </cell>
          <cell r="AV4992">
            <v>1000000</v>
          </cell>
        </row>
        <row r="4993">
          <cell r="E4993" t="str">
            <v>D25015258</v>
          </cell>
          <cell r="AP4993">
            <v>0</v>
          </cell>
          <cell r="AQ4993">
            <v>0</v>
          </cell>
          <cell r="AV4993">
            <v>0</v>
          </cell>
        </row>
        <row r="4994">
          <cell r="E4994" t="str">
            <v>D26001097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B26001740</v>
          </cell>
          <cell r="AP4995">
            <v>0</v>
          </cell>
          <cell r="AQ4995">
            <v>0</v>
          </cell>
          <cell r="AV4995">
            <v>25000000</v>
          </cell>
        </row>
        <row r="4996">
          <cell r="E4996" t="str">
            <v>D25018019</v>
          </cell>
          <cell r="AP4996">
            <v>0</v>
          </cell>
          <cell r="AQ4996">
            <v>0</v>
          </cell>
          <cell r="AV4996">
            <v>1605000</v>
          </cell>
        </row>
        <row r="4997">
          <cell r="E4997" t="str">
            <v>D26000073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T26000014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D26000577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D26000578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D25016645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B26000353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D26000430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T25001626K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T25001835k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T25001866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D26000548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D26001402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D26000176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T25001548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D26001668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B26001683</v>
          </cell>
          <cell r="AP5012">
            <v>0</v>
          </cell>
          <cell r="AQ5012">
            <v>0</v>
          </cell>
          <cell r="AV5012">
            <v>0</v>
          </cell>
        </row>
        <row r="5013">
          <cell r="E5013" t="str">
            <v>B26001684</v>
          </cell>
          <cell r="AP5013">
            <v>0</v>
          </cell>
          <cell r="AQ5013">
            <v>0</v>
          </cell>
          <cell r="AV5013">
            <v>0</v>
          </cell>
        </row>
        <row r="5014">
          <cell r="E5014" t="str">
            <v>B26001942</v>
          </cell>
          <cell r="AP5014">
            <v>0</v>
          </cell>
          <cell r="AQ5014">
            <v>0</v>
          </cell>
          <cell r="AV5014">
            <v>0</v>
          </cell>
        </row>
        <row r="5015">
          <cell r="E5015" t="str">
            <v>B26001416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B26001417</v>
          </cell>
          <cell r="AP5016">
            <v>0</v>
          </cell>
          <cell r="AQ5016">
            <v>0</v>
          </cell>
          <cell r="AV5016">
            <v>0</v>
          </cell>
        </row>
        <row r="5017">
          <cell r="E5017" t="str">
            <v>B25016307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B26001192</v>
          </cell>
          <cell r="AP5018">
            <v>0</v>
          </cell>
          <cell r="AQ5018">
            <v>0</v>
          </cell>
          <cell r="AV5018">
            <v>0</v>
          </cell>
        </row>
        <row r="5019">
          <cell r="E5019" t="str">
            <v>D26000909</v>
          </cell>
          <cell r="AP5019">
            <v>0</v>
          </cell>
          <cell r="AQ5019">
            <v>0</v>
          </cell>
          <cell r="AV5019">
            <v>0</v>
          </cell>
        </row>
        <row r="5020">
          <cell r="E5020" t="str">
            <v>D26001243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D26001714</v>
          </cell>
          <cell r="AP5021">
            <v>0</v>
          </cell>
          <cell r="AQ5021">
            <v>0</v>
          </cell>
          <cell r="AV5021">
            <v>0</v>
          </cell>
        </row>
        <row r="5022">
          <cell r="E5022" t="str">
            <v>B26001657</v>
          </cell>
          <cell r="AP5022">
            <v>0</v>
          </cell>
          <cell r="AQ5022">
            <v>0</v>
          </cell>
          <cell r="AV5022">
            <v>0</v>
          </cell>
        </row>
        <row r="5023">
          <cell r="E5023" t="str">
            <v>D26001835</v>
          </cell>
          <cell r="AP5023">
            <v>0</v>
          </cell>
          <cell r="AQ5023">
            <v>0</v>
          </cell>
          <cell r="AV5023">
            <v>0</v>
          </cell>
        </row>
        <row r="5024">
          <cell r="E5024" t="str">
            <v>B26001907</v>
          </cell>
          <cell r="AP5024">
            <v>0</v>
          </cell>
          <cell r="AQ5024">
            <v>0</v>
          </cell>
          <cell r="AV5024">
            <v>0</v>
          </cell>
        </row>
        <row r="5025">
          <cell r="E5025" t="str">
            <v>D25016353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D26002077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B26001849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B26000376</v>
          </cell>
          <cell r="AP5028">
            <v>0</v>
          </cell>
          <cell r="AQ5028">
            <v>0</v>
          </cell>
          <cell r="AV5028">
            <v>4400000</v>
          </cell>
        </row>
        <row r="5029">
          <cell r="E5029" t="str">
            <v>B26000378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D26001960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T26000133</v>
          </cell>
          <cell r="AP5031">
            <v>0</v>
          </cell>
          <cell r="AQ5031">
            <v>0</v>
          </cell>
          <cell r="AV5031">
            <v>0</v>
          </cell>
        </row>
        <row r="5032">
          <cell r="E5032" t="str">
            <v>D26002078</v>
          </cell>
          <cell r="AP5032">
            <v>0</v>
          </cell>
          <cell r="AQ5032">
            <v>0</v>
          </cell>
          <cell r="AV5032">
            <v>0</v>
          </cell>
        </row>
        <row r="5033">
          <cell r="E5033" t="str">
            <v>B26001626</v>
          </cell>
          <cell r="AP5033">
            <v>0</v>
          </cell>
          <cell r="AQ5033">
            <v>0</v>
          </cell>
          <cell r="AV5033">
            <v>22927500</v>
          </cell>
        </row>
        <row r="5034">
          <cell r="E5034" t="str">
            <v>B25017061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D25019695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B26000088</v>
          </cell>
          <cell r="AP5036">
            <v>0</v>
          </cell>
          <cell r="AQ5036">
            <v>0</v>
          </cell>
          <cell r="AV5036">
            <v>0</v>
          </cell>
        </row>
        <row r="5037">
          <cell r="E5037" t="str">
            <v>B26000142</v>
          </cell>
          <cell r="AP5037">
            <v>0</v>
          </cell>
          <cell r="AQ5037">
            <v>0</v>
          </cell>
          <cell r="AV5037">
            <v>0</v>
          </cell>
        </row>
        <row r="5038">
          <cell r="E5038" t="str">
            <v>B26000148</v>
          </cell>
          <cell r="AP5038">
            <v>0</v>
          </cell>
          <cell r="AQ5038">
            <v>0</v>
          </cell>
          <cell r="AV5038">
            <v>0</v>
          </cell>
        </row>
        <row r="5039">
          <cell r="E5039" t="str">
            <v>D26000796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B26001064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N26000014</v>
          </cell>
          <cell r="AP5041">
            <v>0</v>
          </cell>
          <cell r="AQ5041">
            <v>0</v>
          </cell>
          <cell r="AV5041">
            <v>0</v>
          </cell>
        </row>
        <row r="5042">
          <cell r="E5042" t="str">
            <v>B26001528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B26001529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D26001681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D26001813</v>
          </cell>
          <cell r="AP5045">
            <v>0</v>
          </cell>
          <cell r="AQ5045">
            <v>0</v>
          </cell>
          <cell r="AV5045">
            <v>0</v>
          </cell>
        </row>
        <row r="5046">
          <cell r="E5046" t="str">
            <v>B25014251</v>
          </cell>
          <cell r="AP5046">
            <v>0</v>
          </cell>
          <cell r="AQ5046">
            <v>0</v>
          </cell>
          <cell r="AV5046">
            <v>0</v>
          </cell>
        </row>
        <row r="5047">
          <cell r="E5047" t="str">
            <v>D25018333</v>
          </cell>
          <cell r="AP5047">
            <v>0</v>
          </cell>
          <cell r="AQ5047">
            <v>0</v>
          </cell>
          <cell r="AV5047">
            <v>0</v>
          </cell>
        </row>
        <row r="5048">
          <cell r="E5048" t="str">
            <v>D25018347</v>
          </cell>
          <cell r="AP5048">
            <v>0</v>
          </cell>
          <cell r="AQ5048">
            <v>0</v>
          </cell>
          <cell r="AV5048">
            <v>0</v>
          </cell>
        </row>
        <row r="5049">
          <cell r="E5049" t="str">
            <v>B25016257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D25018742</v>
          </cell>
          <cell r="AP5050">
            <v>0</v>
          </cell>
          <cell r="AQ5050">
            <v>0</v>
          </cell>
          <cell r="AV5050">
            <v>0</v>
          </cell>
        </row>
        <row r="5051">
          <cell r="E5051" t="str">
            <v>D25018743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D26000026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D26000027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D26000216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D26000217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D26000218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B26000559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B26000560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B26000569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B26000570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D26001528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D26001240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D26001246</v>
          </cell>
          <cell r="AP5063">
            <v>0</v>
          </cell>
          <cell r="AQ5063">
            <v>0</v>
          </cell>
          <cell r="AV5063">
            <v>0</v>
          </cell>
        </row>
        <row r="5064">
          <cell r="E5064" t="str">
            <v>D25016746</v>
          </cell>
          <cell r="AP5064">
            <v>0</v>
          </cell>
          <cell r="AQ5064">
            <v>82122000</v>
          </cell>
          <cell r="AV5064">
            <v>0</v>
          </cell>
        </row>
        <row r="5065">
          <cell r="E5065" t="str">
            <v>B25015472</v>
          </cell>
          <cell r="AP5065">
            <v>0</v>
          </cell>
          <cell r="AQ5065">
            <v>35100000</v>
          </cell>
          <cell r="AV5065">
            <v>0</v>
          </cell>
        </row>
        <row r="5066">
          <cell r="E5066" t="str">
            <v>D25018132</v>
          </cell>
          <cell r="AP5066">
            <v>0</v>
          </cell>
          <cell r="AQ5066">
            <v>140325000</v>
          </cell>
          <cell r="AV5066">
            <v>0</v>
          </cell>
        </row>
        <row r="5067">
          <cell r="E5067" t="str">
            <v>D25018308</v>
          </cell>
          <cell r="AP5067">
            <v>0</v>
          </cell>
          <cell r="AQ5067">
            <v>54000000</v>
          </cell>
          <cell r="AV5067">
            <v>0</v>
          </cell>
        </row>
        <row r="5068">
          <cell r="E5068" t="str">
            <v>B25016700</v>
          </cell>
          <cell r="AP5068">
            <v>0</v>
          </cell>
          <cell r="AQ5068">
            <v>163000000</v>
          </cell>
          <cell r="AV5068">
            <v>0</v>
          </cell>
        </row>
        <row r="5069">
          <cell r="E5069" t="str">
            <v>B26000038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B26000298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B26000593</v>
          </cell>
          <cell r="AP5071">
            <v>0</v>
          </cell>
          <cell r="AQ5071">
            <v>0</v>
          </cell>
          <cell r="AV5071">
            <v>0</v>
          </cell>
        </row>
        <row r="5072">
          <cell r="E5072" t="str">
            <v>D26000625</v>
          </cell>
          <cell r="AP5072">
            <v>0</v>
          </cell>
          <cell r="AQ5072">
            <v>0</v>
          </cell>
          <cell r="AV5072">
            <v>0</v>
          </cell>
        </row>
        <row r="5073">
          <cell r="E5073" t="str">
            <v>B26001110</v>
          </cell>
          <cell r="AP5073">
            <v>0</v>
          </cell>
          <cell r="AQ5073">
            <v>0</v>
          </cell>
          <cell r="AV5073">
            <v>0</v>
          </cell>
        </row>
        <row r="5074">
          <cell r="E5074" t="str">
            <v>B26001139</v>
          </cell>
          <cell r="AP5074">
            <v>0</v>
          </cell>
          <cell r="AQ5074">
            <v>0</v>
          </cell>
          <cell r="AV5074">
            <v>46200000</v>
          </cell>
        </row>
        <row r="5075">
          <cell r="E5075" t="str">
            <v>B26001693</v>
          </cell>
          <cell r="AP5075">
            <v>0</v>
          </cell>
          <cell r="AQ5075">
            <v>0</v>
          </cell>
          <cell r="AV5075">
            <v>218000000</v>
          </cell>
        </row>
        <row r="5076">
          <cell r="E5076" t="str">
            <v>B26001694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D26001787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D26002030</v>
          </cell>
          <cell r="AP5078">
            <v>0</v>
          </cell>
          <cell r="AQ5078">
            <v>0</v>
          </cell>
          <cell r="AV5078">
            <v>0</v>
          </cell>
        </row>
        <row r="5079">
          <cell r="E5079" t="str">
            <v>D26002041</v>
          </cell>
          <cell r="AP5079">
            <v>0</v>
          </cell>
          <cell r="AQ5079">
            <v>0</v>
          </cell>
          <cell r="AV5079">
            <v>0</v>
          </cell>
        </row>
        <row r="5080">
          <cell r="E5080" t="str">
            <v>D26001616</v>
          </cell>
          <cell r="AP5080">
            <v>0</v>
          </cell>
          <cell r="AQ5080">
            <v>0</v>
          </cell>
          <cell r="AV5080">
            <v>840000</v>
          </cell>
        </row>
        <row r="5081">
          <cell r="E5081" t="str">
            <v>B25013470</v>
          </cell>
          <cell r="AP5081">
            <v>0</v>
          </cell>
          <cell r="AQ5081">
            <v>0</v>
          </cell>
          <cell r="AV5081">
            <v>0</v>
          </cell>
        </row>
        <row r="5082">
          <cell r="E5082" t="str">
            <v>B25013470</v>
          </cell>
          <cell r="AP5082">
            <v>0</v>
          </cell>
          <cell r="AQ5082">
            <v>0</v>
          </cell>
          <cell r="AV5082">
            <v>0</v>
          </cell>
        </row>
        <row r="5083">
          <cell r="E5083" t="str">
            <v>B25013470</v>
          </cell>
          <cell r="AP5083">
            <v>0</v>
          </cell>
          <cell r="AQ5083">
            <v>0</v>
          </cell>
          <cell r="AV5083">
            <v>0</v>
          </cell>
        </row>
        <row r="5084">
          <cell r="E5084" t="str">
            <v>B25013565</v>
          </cell>
          <cell r="AP5084">
            <v>0</v>
          </cell>
          <cell r="AQ5084">
            <v>0</v>
          </cell>
          <cell r="AV5084">
            <v>0</v>
          </cell>
        </row>
        <row r="5085">
          <cell r="E5085" t="str">
            <v>D25016726</v>
          </cell>
          <cell r="AP5085">
            <v>0</v>
          </cell>
          <cell r="AQ5085">
            <v>0</v>
          </cell>
          <cell r="AV5085">
            <v>0</v>
          </cell>
        </row>
        <row r="5086">
          <cell r="E5086" t="str">
            <v>D26001851</v>
          </cell>
          <cell r="AP5086">
            <v>0</v>
          </cell>
          <cell r="AQ5086">
            <v>0</v>
          </cell>
          <cell r="AV5086">
            <v>0</v>
          </cell>
        </row>
        <row r="5087">
          <cell r="E5087" t="str">
            <v>D26001852</v>
          </cell>
          <cell r="AP5087">
            <v>0</v>
          </cell>
          <cell r="AQ5087">
            <v>0</v>
          </cell>
          <cell r="AV5087">
            <v>0</v>
          </cell>
        </row>
        <row r="5088">
          <cell r="E5088" t="str">
            <v>D26001885</v>
          </cell>
          <cell r="AP5088">
            <v>0</v>
          </cell>
          <cell r="AQ5088">
            <v>0</v>
          </cell>
          <cell r="AV5088">
            <v>0</v>
          </cell>
        </row>
        <row r="5089">
          <cell r="E5089" t="str">
            <v>B26001338</v>
          </cell>
          <cell r="AP5089">
            <v>0</v>
          </cell>
          <cell r="AQ5089">
            <v>0</v>
          </cell>
          <cell r="AV5089">
            <v>0</v>
          </cell>
        </row>
        <row r="5090">
          <cell r="E5090" t="str">
            <v>D26001400</v>
          </cell>
          <cell r="AP5090">
            <v>0</v>
          </cell>
          <cell r="AQ5090">
            <v>0</v>
          </cell>
          <cell r="AV5090">
            <v>0</v>
          </cell>
        </row>
        <row r="5091">
          <cell r="E5091" t="str">
            <v>D26001407</v>
          </cell>
          <cell r="AP5091">
            <v>0</v>
          </cell>
          <cell r="AQ5091">
            <v>0</v>
          </cell>
          <cell r="AV5091">
            <v>0</v>
          </cell>
        </row>
        <row r="5092">
          <cell r="E5092" t="str">
            <v>B26001661</v>
          </cell>
          <cell r="AP5092">
            <v>0</v>
          </cell>
          <cell r="AQ5092">
            <v>0</v>
          </cell>
          <cell r="AV5092">
            <v>0</v>
          </cell>
        </row>
        <row r="5093">
          <cell r="E5093" t="str">
            <v>B26000014</v>
          </cell>
          <cell r="AP5093">
            <v>0</v>
          </cell>
          <cell r="AQ5093">
            <v>0</v>
          </cell>
          <cell r="AV5093">
            <v>0</v>
          </cell>
        </row>
        <row r="5094">
          <cell r="E5094" t="str">
            <v>D26000120</v>
          </cell>
          <cell r="AP5094">
            <v>0</v>
          </cell>
          <cell r="AQ5094">
            <v>0</v>
          </cell>
          <cell r="AV5094">
            <v>0</v>
          </cell>
        </row>
        <row r="5095">
          <cell r="E5095" t="str">
            <v>B26000227</v>
          </cell>
          <cell r="AP5095">
            <v>0</v>
          </cell>
          <cell r="AQ5095">
            <v>0</v>
          </cell>
          <cell r="AV5095">
            <v>0</v>
          </cell>
        </row>
        <row r="5096">
          <cell r="E5096" t="str">
            <v>D26000343</v>
          </cell>
          <cell r="AP5096">
            <v>0</v>
          </cell>
          <cell r="AQ5096">
            <v>0</v>
          </cell>
          <cell r="AV5096">
            <v>0</v>
          </cell>
        </row>
        <row r="5097">
          <cell r="E5097" t="str">
            <v>D26000597</v>
          </cell>
          <cell r="AP5097">
            <v>0</v>
          </cell>
          <cell r="AQ5097">
            <v>0</v>
          </cell>
          <cell r="AV5097">
            <v>0</v>
          </cell>
        </row>
        <row r="5098">
          <cell r="E5098" t="str">
            <v>D26000646</v>
          </cell>
          <cell r="AP5098">
            <v>0</v>
          </cell>
          <cell r="AQ5098">
            <v>0</v>
          </cell>
          <cell r="AV5098">
            <v>0</v>
          </cell>
        </row>
        <row r="5099">
          <cell r="E5099" t="str">
            <v>D26000663</v>
          </cell>
          <cell r="AP5099">
            <v>0</v>
          </cell>
          <cell r="AQ5099">
            <v>0</v>
          </cell>
          <cell r="AV5099">
            <v>0</v>
          </cell>
        </row>
        <row r="5100">
          <cell r="E5100" t="str">
            <v>B26000631</v>
          </cell>
          <cell r="AP5100">
            <v>0</v>
          </cell>
          <cell r="AQ5100">
            <v>0</v>
          </cell>
          <cell r="AV5100">
            <v>0</v>
          </cell>
        </row>
        <row r="5101">
          <cell r="E5101" t="str">
            <v>D26000774</v>
          </cell>
          <cell r="AP5101">
            <v>0</v>
          </cell>
          <cell r="AQ5101">
            <v>0</v>
          </cell>
          <cell r="AV5101">
            <v>0</v>
          </cell>
        </row>
        <row r="5102">
          <cell r="E5102" t="str">
            <v>B26000805</v>
          </cell>
          <cell r="AP5102">
            <v>0</v>
          </cell>
          <cell r="AQ5102">
            <v>0</v>
          </cell>
          <cell r="AV5102">
            <v>0</v>
          </cell>
        </row>
        <row r="5103">
          <cell r="E5103" t="str">
            <v>B26000817</v>
          </cell>
          <cell r="AP5103">
            <v>0</v>
          </cell>
          <cell r="AQ5103">
            <v>0</v>
          </cell>
          <cell r="AV5103">
            <v>0</v>
          </cell>
        </row>
        <row r="5104">
          <cell r="E5104" t="str">
            <v>B26000921</v>
          </cell>
          <cell r="AP5104">
            <v>0</v>
          </cell>
          <cell r="AQ5104">
            <v>0</v>
          </cell>
          <cell r="AV5104">
            <v>0</v>
          </cell>
        </row>
        <row r="5105">
          <cell r="E5105" t="str">
            <v>D26001125</v>
          </cell>
          <cell r="AP5105">
            <v>0</v>
          </cell>
          <cell r="AQ5105">
            <v>0</v>
          </cell>
          <cell r="AV5105">
            <v>0</v>
          </cell>
        </row>
        <row r="5106">
          <cell r="E5106" t="str">
            <v>B26001300</v>
          </cell>
          <cell r="AP5106">
            <v>0</v>
          </cell>
          <cell r="AQ5106">
            <v>0</v>
          </cell>
          <cell r="AV5106">
            <v>0</v>
          </cell>
        </row>
        <row r="5107">
          <cell r="E5107" t="str">
            <v>B26001312</v>
          </cell>
          <cell r="AP5107">
            <v>0</v>
          </cell>
          <cell r="AQ5107">
            <v>0</v>
          </cell>
          <cell r="AV5107">
            <v>0</v>
          </cell>
        </row>
        <row r="5108">
          <cell r="E5108" t="str">
            <v>D26001536</v>
          </cell>
          <cell r="AP5108">
            <v>0</v>
          </cell>
          <cell r="AQ5108">
            <v>0</v>
          </cell>
          <cell r="AV5108">
            <v>0</v>
          </cell>
        </row>
        <row r="5109">
          <cell r="E5109" t="str">
            <v>D26001656</v>
          </cell>
          <cell r="AP5109">
            <v>0</v>
          </cell>
          <cell r="AQ5109">
            <v>0</v>
          </cell>
          <cell r="AV5109">
            <v>0</v>
          </cell>
        </row>
        <row r="5110">
          <cell r="E5110" t="str">
            <v>D26001657</v>
          </cell>
          <cell r="AP5110">
            <v>0</v>
          </cell>
          <cell r="AQ5110">
            <v>0</v>
          </cell>
          <cell r="AV5110">
            <v>0</v>
          </cell>
        </row>
        <row r="5111">
          <cell r="E5111" t="str">
            <v>D26001659</v>
          </cell>
          <cell r="AP5111">
            <v>0</v>
          </cell>
          <cell r="AQ5111">
            <v>0</v>
          </cell>
          <cell r="AV5111">
            <v>0</v>
          </cell>
        </row>
        <row r="5112">
          <cell r="E5112">
            <v>260010</v>
          </cell>
          <cell r="AP5112">
            <v>0</v>
          </cell>
          <cell r="AQ5112">
            <v>0</v>
          </cell>
          <cell r="AV5112">
            <v>0</v>
          </cell>
        </row>
        <row r="5113">
          <cell r="E5113" t="str">
            <v>B26001679</v>
          </cell>
          <cell r="AP5113">
            <v>0</v>
          </cell>
          <cell r="AQ5113">
            <v>0</v>
          </cell>
          <cell r="AV5113">
            <v>0</v>
          </cell>
        </row>
        <row r="5114">
          <cell r="E5114" t="str">
            <v>B26001769</v>
          </cell>
          <cell r="AP5114">
            <v>0</v>
          </cell>
          <cell r="AQ5114">
            <v>0</v>
          </cell>
          <cell r="AV5114">
            <v>0</v>
          </cell>
        </row>
        <row r="5115">
          <cell r="E5115" t="str">
            <v>B26001770</v>
          </cell>
          <cell r="AP5115">
            <v>0</v>
          </cell>
          <cell r="AQ5115">
            <v>0</v>
          </cell>
          <cell r="AV5115">
            <v>0</v>
          </cell>
        </row>
        <row r="5116">
          <cell r="E5116" t="str">
            <v>B26001776</v>
          </cell>
          <cell r="AP5116">
            <v>0</v>
          </cell>
          <cell r="AQ5116">
            <v>0</v>
          </cell>
          <cell r="AV5116">
            <v>0</v>
          </cell>
        </row>
        <row r="5117">
          <cell r="E5117" t="str">
            <v>B26001941</v>
          </cell>
          <cell r="AP5117">
            <v>0</v>
          </cell>
          <cell r="AQ5117">
            <v>0</v>
          </cell>
          <cell r="AV5117">
            <v>0</v>
          </cell>
        </row>
        <row r="5118">
          <cell r="E5118" t="str">
            <v>D26002075</v>
          </cell>
          <cell r="AP5118">
            <v>0</v>
          </cell>
          <cell r="AQ5118">
            <v>0</v>
          </cell>
          <cell r="AV5118">
            <v>0</v>
          </cell>
        </row>
        <row r="5119">
          <cell r="E5119" t="str">
            <v>D26002076</v>
          </cell>
          <cell r="AP5119">
            <v>0</v>
          </cell>
          <cell r="AQ5119">
            <v>0</v>
          </cell>
          <cell r="AV5119">
            <v>0</v>
          </cell>
        </row>
        <row r="5120">
          <cell r="E5120" t="str">
            <v>B25015944</v>
          </cell>
          <cell r="AP5120">
            <v>0</v>
          </cell>
          <cell r="AQ5120">
            <v>0</v>
          </cell>
          <cell r="AV5120">
            <v>600000</v>
          </cell>
        </row>
        <row r="5121">
          <cell r="E5121" t="str">
            <v>D25018649</v>
          </cell>
          <cell r="AP5121">
            <v>0</v>
          </cell>
          <cell r="AQ5121">
            <v>0</v>
          </cell>
          <cell r="AV5121">
            <v>4900000</v>
          </cell>
        </row>
        <row r="5122">
          <cell r="E5122" t="str">
            <v>D25018860</v>
          </cell>
          <cell r="AP5122">
            <v>0</v>
          </cell>
          <cell r="AQ5122">
            <v>0</v>
          </cell>
          <cell r="AV5122">
            <v>1050000</v>
          </cell>
        </row>
        <row r="5123">
          <cell r="E5123" t="str">
            <v>D25018944</v>
          </cell>
          <cell r="AP5123">
            <v>0</v>
          </cell>
          <cell r="AQ5123">
            <v>0</v>
          </cell>
          <cell r="AV5123">
            <v>102000000</v>
          </cell>
        </row>
        <row r="5124">
          <cell r="E5124" t="str">
            <v>B26000235</v>
          </cell>
          <cell r="AP5124">
            <v>0</v>
          </cell>
          <cell r="AQ5124">
            <v>0</v>
          </cell>
          <cell r="AV5124">
            <v>0</v>
          </cell>
        </row>
        <row r="5125">
          <cell r="E5125" t="str">
            <v>D26000347</v>
          </cell>
          <cell r="AP5125">
            <v>0</v>
          </cell>
          <cell r="AQ5125">
            <v>0</v>
          </cell>
          <cell r="AV5125">
            <v>0</v>
          </cell>
        </row>
        <row r="5126">
          <cell r="E5126" t="str">
            <v>B26000494</v>
          </cell>
          <cell r="AP5126">
            <v>0</v>
          </cell>
          <cell r="AQ5126">
            <v>0</v>
          </cell>
          <cell r="AV5126">
            <v>0</v>
          </cell>
        </row>
        <row r="5127">
          <cell r="E5127" t="str">
            <v>D26001795</v>
          </cell>
          <cell r="AP5127">
            <v>0</v>
          </cell>
          <cell r="AQ5127">
            <v>0</v>
          </cell>
          <cell r="AV5127">
            <v>0</v>
          </cell>
        </row>
        <row r="5128">
          <cell r="E5128" t="str">
            <v>Z26000004</v>
          </cell>
          <cell r="AP5128">
            <v>0</v>
          </cell>
          <cell r="AQ5128">
            <v>0</v>
          </cell>
          <cell r="AV5128">
            <v>0</v>
          </cell>
        </row>
        <row r="5129">
          <cell r="E5129" t="str">
            <v>Z26000047</v>
          </cell>
          <cell r="AP5129">
            <v>0</v>
          </cell>
          <cell r="AQ5129">
            <v>0</v>
          </cell>
          <cell r="AV5129">
            <v>0</v>
          </cell>
        </row>
        <row r="5130">
          <cell r="E5130" t="str">
            <v>Z26000216</v>
          </cell>
          <cell r="AP5130">
            <v>0</v>
          </cell>
          <cell r="AQ5130">
            <v>0</v>
          </cell>
          <cell r="AV5130">
            <v>0</v>
          </cell>
        </row>
        <row r="5131">
          <cell r="E5131" t="str">
            <v>Z26000304</v>
          </cell>
          <cell r="AP5131">
            <v>0</v>
          </cell>
          <cell r="AQ5131">
            <v>0</v>
          </cell>
          <cell r="AV5131">
            <v>0</v>
          </cell>
        </row>
        <row r="5132">
          <cell r="E5132" t="str">
            <v>Z26000305</v>
          </cell>
          <cell r="AP5132">
            <v>0</v>
          </cell>
          <cell r="AQ5132">
            <v>0</v>
          </cell>
          <cell r="AV5132">
            <v>4950000</v>
          </cell>
        </row>
        <row r="5133">
          <cell r="E5133" t="str">
            <v>Z26000322</v>
          </cell>
          <cell r="AP5133">
            <v>0</v>
          </cell>
          <cell r="AQ5133">
            <v>0</v>
          </cell>
          <cell r="AV5133">
            <v>0</v>
          </cell>
        </row>
        <row r="5134">
          <cell r="E5134" t="str">
            <v>Z26000345</v>
          </cell>
          <cell r="AP5134">
            <v>0</v>
          </cell>
          <cell r="AQ5134">
            <v>0</v>
          </cell>
          <cell r="AV5134">
            <v>66000000</v>
          </cell>
        </row>
        <row r="5135">
          <cell r="E5135" t="str">
            <v>Z26000352</v>
          </cell>
          <cell r="AP5135">
            <v>0</v>
          </cell>
          <cell r="AQ5135">
            <v>0</v>
          </cell>
          <cell r="AV5135">
            <v>66000000</v>
          </cell>
        </row>
        <row r="5136">
          <cell r="E5136" t="str">
            <v>B25015036</v>
          </cell>
          <cell r="AP5136">
            <v>0</v>
          </cell>
          <cell r="AQ5136">
            <v>0</v>
          </cell>
          <cell r="AV5136">
            <v>61295000</v>
          </cell>
        </row>
        <row r="5137">
          <cell r="E5137" t="str">
            <v>B25016263</v>
          </cell>
          <cell r="AP5137">
            <v>0</v>
          </cell>
          <cell r="AQ5137">
            <v>0</v>
          </cell>
          <cell r="AV5137">
            <v>9984000</v>
          </cell>
        </row>
        <row r="5138">
          <cell r="E5138" t="str">
            <v>D25018727</v>
          </cell>
          <cell r="AP5138">
            <v>0</v>
          </cell>
          <cell r="AQ5138">
            <v>0</v>
          </cell>
          <cell r="AV5138">
            <v>0</v>
          </cell>
        </row>
        <row r="5139">
          <cell r="E5139" t="str">
            <v>D25019314</v>
          </cell>
          <cell r="AP5139">
            <v>0</v>
          </cell>
          <cell r="AQ5139">
            <v>0</v>
          </cell>
          <cell r="AV5139">
            <v>0</v>
          </cell>
        </row>
        <row r="5140">
          <cell r="E5140" t="str">
            <v>B26000352</v>
          </cell>
          <cell r="AP5140">
            <v>0</v>
          </cell>
          <cell r="AQ5140">
            <v>0</v>
          </cell>
          <cell r="AV5140">
            <v>0</v>
          </cell>
        </row>
        <row r="5141">
          <cell r="E5141" t="str">
            <v>D26000420</v>
          </cell>
          <cell r="AP5141">
            <v>0</v>
          </cell>
          <cell r="AQ5141">
            <v>0</v>
          </cell>
          <cell r="AV5141">
            <v>0</v>
          </cell>
        </row>
        <row r="5142">
          <cell r="E5142" t="str">
            <v>D26000897</v>
          </cell>
          <cell r="AP5142">
            <v>0</v>
          </cell>
          <cell r="AQ5142">
            <v>0</v>
          </cell>
          <cell r="AV5142">
            <v>0</v>
          </cell>
        </row>
        <row r="5143">
          <cell r="E5143" t="str">
            <v>D26000972</v>
          </cell>
          <cell r="AP5143">
            <v>0</v>
          </cell>
          <cell r="AQ5143">
            <v>0</v>
          </cell>
          <cell r="AV5143">
            <v>0</v>
          </cell>
        </row>
        <row r="5144">
          <cell r="E5144" t="str">
            <v>D26000997</v>
          </cell>
          <cell r="AP5144">
            <v>0</v>
          </cell>
          <cell r="AQ5144">
            <v>0</v>
          </cell>
          <cell r="AV5144">
            <v>0</v>
          </cell>
        </row>
        <row r="5145">
          <cell r="E5145" t="str">
            <v>N26000008</v>
          </cell>
          <cell r="AP5145">
            <v>0</v>
          </cell>
          <cell r="AQ5145">
            <v>0</v>
          </cell>
          <cell r="AV5145">
            <v>0</v>
          </cell>
        </row>
        <row r="5146">
          <cell r="E5146" t="str">
            <v>B26001351</v>
          </cell>
          <cell r="AP5146">
            <v>0</v>
          </cell>
          <cell r="AQ5146">
            <v>0</v>
          </cell>
          <cell r="AV5146">
            <v>0</v>
          </cell>
        </row>
        <row r="5147">
          <cell r="E5147" t="str">
            <v>B26001352</v>
          </cell>
          <cell r="AP5147">
            <v>0</v>
          </cell>
          <cell r="AQ5147">
            <v>0</v>
          </cell>
          <cell r="AV5147">
            <v>9900000</v>
          </cell>
        </row>
        <row r="5148">
          <cell r="E5148" t="str">
            <v>B26001387</v>
          </cell>
          <cell r="AP5148">
            <v>0</v>
          </cell>
          <cell r="AQ5148">
            <v>0</v>
          </cell>
          <cell r="AV5148">
            <v>0</v>
          </cell>
        </row>
        <row r="5149">
          <cell r="E5149" t="str">
            <v>D26001456</v>
          </cell>
          <cell r="AP5149">
            <v>0</v>
          </cell>
          <cell r="AQ5149">
            <v>0</v>
          </cell>
          <cell r="AV5149">
            <v>0</v>
          </cell>
        </row>
        <row r="5150">
          <cell r="E5150" t="str">
            <v>D26001008</v>
          </cell>
          <cell r="AP5150">
            <v>0</v>
          </cell>
          <cell r="AQ5150">
            <v>0</v>
          </cell>
          <cell r="AV5150">
            <v>0</v>
          </cell>
        </row>
        <row r="5151">
          <cell r="E5151" t="str">
            <v>D26001441</v>
          </cell>
          <cell r="AP5151">
            <v>0</v>
          </cell>
          <cell r="AQ5151">
            <v>0</v>
          </cell>
          <cell r="AV5151">
            <v>0</v>
          </cell>
        </row>
        <row r="5152">
          <cell r="E5152" t="str">
            <v>D26001442</v>
          </cell>
          <cell r="AP5152">
            <v>0</v>
          </cell>
          <cell r="AQ5152">
            <v>0</v>
          </cell>
          <cell r="AV5152">
            <v>0</v>
          </cell>
        </row>
        <row r="5153">
          <cell r="E5153" t="str">
            <v>B25015874</v>
          </cell>
          <cell r="AP5153">
            <v>0</v>
          </cell>
          <cell r="AQ5153">
            <v>0</v>
          </cell>
          <cell r="AV5153">
            <v>0</v>
          </cell>
        </row>
        <row r="5154">
          <cell r="E5154" t="str">
            <v>D25018812</v>
          </cell>
          <cell r="AP5154">
            <v>0</v>
          </cell>
          <cell r="AQ5154">
            <v>0</v>
          </cell>
          <cell r="AV5154">
            <v>0</v>
          </cell>
        </row>
        <row r="5155">
          <cell r="E5155" t="str">
            <v>D25018857</v>
          </cell>
          <cell r="AP5155">
            <v>0</v>
          </cell>
          <cell r="AQ5155">
            <v>0</v>
          </cell>
          <cell r="AV5155">
            <v>0</v>
          </cell>
        </row>
        <row r="5156">
          <cell r="E5156" t="str">
            <v>B25016481</v>
          </cell>
          <cell r="AP5156">
            <v>0</v>
          </cell>
          <cell r="AQ5156">
            <v>0</v>
          </cell>
          <cell r="AV5156">
            <v>0</v>
          </cell>
        </row>
        <row r="5157">
          <cell r="E5157" t="str">
            <v>D25018898</v>
          </cell>
          <cell r="AP5157">
            <v>0</v>
          </cell>
          <cell r="AQ5157">
            <v>0</v>
          </cell>
          <cell r="AV5157">
            <v>0</v>
          </cell>
        </row>
        <row r="5158">
          <cell r="E5158" t="str">
            <v>D25018899</v>
          </cell>
          <cell r="AP5158">
            <v>0</v>
          </cell>
          <cell r="AQ5158">
            <v>0</v>
          </cell>
          <cell r="AV5158">
            <v>0</v>
          </cell>
        </row>
        <row r="5159">
          <cell r="E5159" t="str">
            <v>D25019102</v>
          </cell>
          <cell r="AP5159">
            <v>0</v>
          </cell>
          <cell r="AQ5159">
            <v>0</v>
          </cell>
          <cell r="AV5159">
            <v>0</v>
          </cell>
        </row>
        <row r="5160">
          <cell r="E5160" t="str">
            <v>B25016867</v>
          </cell>
          <cell r="AP5160">
            <v>0</v>
          </cell>
          <cell r="AQ5160">
            <v>0</v>
          </cell>
          <cell r="AV5160">
            <v>0</v>
          </cell>
        </row>
        <row r="5161">
          <cell r="E5161" t="str">
            <v>B25016939</v>
          </cell>
          <cell r="AP5161">
            <v>0</v>
          </cell>
          <cell r="AQ5161">
            <v>0</v>
          </cell>
          <cell r="AV5161">
            <v>0</v>
          </cell>
        </row>
        <row r="5162">
          <cell r="E5162" t="str">
            <v>B25017058</v>
          </cell>
          <cell r="AP5162">
            <v>0</v>
          </cell>
          <cell r="AQ5162">
            <v>0</v>
          </cell>
          <cell r="AV5162">
            <v>0</v>
          </cell>
        </row>
        <row r="5163">
          <cell r="E5163" t="str">
            <v>D25019659</v>
          </cell>
          <cell r="AP5163">
            <v>0</v>
          </cell>
          <cell r="AQ5163">
            <v>0</v>
          </cell>
          <cell r="AV5163">
            <v>0</v>
          </cell>
        </row>
        <row r="5164">
          <cell r="E5164" t="str">
            <v>D26000131</v>
          </cell>
          <cell r="AP5164">
            <v>0</v>
          </cell>
          <cell r="AQ5164">
            <v>0</v>
          </cell>
          <cell r="AV5164">
            <v>0</v>
          </cell>
        </row>
        <row r="5165">
          <cell r="E5165" t="str">
            <v>D26000206</v>
          </cell>
          <cell r="AP5165">
            <v>0</v>
          </cell>
          <cell r="AQ5165">
            <v>0</v>
          </cell>
          <cell r="AV5165">
            <v>0</v>
          </cell>
        </row>
        <row r="5166">
          <cell r="E5166" t="str">
            <v>D26000263</v>
          </cell>
          <cell r="AP5166">
            <v>0</v>
          </cell>
          <cell r="AQ5166">
            <v>0</v>
          </cell>
          <cell r="AV5166">
            <v>0</v>
          </cell>
        </row>
        <row r="5167">
          <cell r="E5167" t="str">
            <v>D26000283</v>
          </cell>
          <cell r="AP5167">
            <v>0</v>
          </cell>
          <cell r="AQ5167">
            <v>0</v>
          </cell>
          <cell r="AV5167">
            <v>0</v>
          </cell>
        </row>
        <row r="5168">
          <cell r="E5168" t="str">
            <v>D26000297</v>
          </cell>
          <cell r="AP5168">
            <v>0</v>
          </cell>
          <cell r="AQ5168">
            <v>0</v>
          </cell>
          <cell r="AV5168">
            <v>0</v>
          </cell>
        </row>
        <row r="5169">
          <cell r="E5169" t="str">
            <v>D26000394</v>
          </cell>
          <cell r="AP5169">
            <v>0</v>
          </cell>
          <cell r="AQ5169">
            <v>0</v>
          </cell>
          <cell r="AV5169">
            <v>0</v>
          </cell>
        </row>
        <row r="5170">
          <cell r="E5170" t="str">
            <v>D26000407</v>
          </cell>
          <cell r="AP5170">
            <v>0</v>
          </cell>
          <cell r="AQ5170">
            <v>0</v>
          </cell>
          <cell r="AV5170">
            <v>0</v>
          </cell>
        </row>
        <row r="5171">
          <cell r="E5171" t="str">
            <v>D26000450</v>
          </cell>
          <cell r="AP5171">
            <v>0</v>
          </cell>
          <cell r="AQ5171">
            <v>0</v>
          </cell>
          <cell r="AV5171">
            <v>0</v>
          </cell>
        </row>
        <row r="5172">
          <cell r="E5172" t="str">
            <v>B26000616</v>
          </cell>
          <cell r="AP5172">
            <v>0</v>
          </cell>
          <cell r="AQ5172">
            <v>0</v>
          </cell>
          <cell r="AV5172">
            <v>0</v>
          </cell>
        </row>
        <row r="5173">
          <cell r="E5173" t="str">
            <v>D26000636</v>
          </cell>
          <cell r="AP5173">
            <v>0</v>
          </cell>
          <cell r="AQ5173">
            <v>0</v>
          </cell>
          <cell r="AV5173">
            <v>0</v>
          </cell>
        </row>
        <row r="5174">
          <cell r="E5174" t="str">
            <v>D26000821</v>
          </cell>
          <cell r="AP5174">
            <v>0</v>
          </cell>
          <cell r="AQ5174">
            <v>0</v>
          </cell>
          <cell r="AV5174">
            <v>0</v>
          </cell>
        </row>
        <row r="5175">
          <cell r="E5175" t="str">
            <v>T26000041</v>
          </cell>
          <cell r="AP5175">
            <v>0</v>
          </cell>
          <cell r="AQ5175">
            <v>0</v>
          </cell>
          <cell r="AV5175">
            <v>0</v>
          </cell>
        </row>
        <row r="5176">
          <cell r="E5176" t="str">
            <v>B26000970</v>
          </cell>
          <cell r="AP5176">
            <v>0</v>
          </cell>
          <cell r="AQ5176">
            <v>0</v>
          </cell>
          <cell r="AV5176">
            <v>0</v>
          </cell>
        </row>
        <row r="5177">
          <cell r="E5177" t="str">
            <v>B26000998</v>
          </cell>
          <cell r="AP5177">
            <v>0</v>
          </cell>
          <cell r="AQ5177">
            <v>0</v>
          </cell>
          <cell r="AV5177">
            <v>0</v>
          </cell>
        </row>
        <row r="5178">
          <cell r="E5178" t="str">
            <v>B26001226</v>
          </cell>
          <cell r="AP5178">
            <v>0</v>
          </cell>
          <cell r="AQ5178">
            <v>0</v>
          </cell>
          <cell r="AV5178">
            <v>0</v>
          </cell>
        </row>
        <row r="5179">
          <cell r="E5179" t="str">
            <v>D26001330</v>
          </cell>
          <cell r="AP5179">
            <v>0</v>
          </cell>
          <cell r="AQ5179">
            <v>0</v>
          </cell>
          <cell r="AV5179">
            <v>0</v>
          </cell>
        </row>
        <row r="5180">
          <cell r="E5180" t="str">
            <v>B26001270</v>
          </cell>
          <cell r="AP5180">
            <v>0</v>
          </cell>
          <cell r="AQ5180">
            <v>0</v>
          </cell>
          <cell r="AV5180">
            <v>0</v>
          </cell>
        </row>
        <row r="5181">
          <cell r="E5181" t="str">
            <v>B26001405</v>
          </cell>
          <cell r="AP5181">
            <v>0</v>
          </cell>
          <cell r="AQ5181">
            <v>0</v>
          </cell>
          <cell r="AV5181">
            <v>0</v>
          </cell>
        </row>
        <row r="5182">
          <cell r="E5182" t="str">
            <v>D26001530</v>
          </cell>
          <cell r="AP5182">
            <v>0</v>
          </cell>
          <cell r="AQ5182">
            <v>0</v>
          </cell>
          <cell r="AV5182">
            <v>0</v>
          </cell>
        </row>
        <row r="5183">
          <cell r="E5183" t="str">
            <v>B26001696</v>
          </cell>
          <cell r="AP5183">
            <v>0</v>
          </cell>
          <cell r="AQ5183">
            <v>0</v>
          </cell>
          <cell r="AV5183">
            <v>0</v>
          </cell>
        </row>
        <row r="5184">
          <cell r="E5184" t="str">
            <v>D26001919</v>
          </cell>
          <cell r="AP5184">
            <v>0</v>
          </cell>
          <cell r="AQ5184">
            <v>0</v>
          </cell>
          <cell r="AV5184">
            <v>0</v>
          </cell>
        </row>
        <row r="5185">
          <cell r="E5185" t="str">
            <v>D26001921</v>
          </cell>
          <cell r="AP5185">
            <v>0</v>
          </cell>
          <cell r="AQ5185">
            <v>0</v>
          </cell>
          <cell r="AV5185">
            <v>0</v>
          </cell>
        </row>
        <row r="5186">
          <cell r="E5186" t="str">
            <v>D25017964</v>
          </cell>
          <cell r="AP5186">
            <v>0</v>
          </cell>
          <cell r="AQ5186">
            <v>0</v>
          </cell>
          <cell r="AV5186">
            <v>775450</v>
          </cell>
        </row>
        <row r="5187">
          <cell r="E5187" t="str">
            <v>B25015793</v>
          </cell>
          <cell r="AP5187">
            <v>0</v>
          </cell>
          <cell r="AQ5187">
            <v>0</v>
          </cell>
          <cell r="AV5187">
            <v>824550</v>
          </cell>
        </row>
        <row r="5188">
          <cell r="E5188" t="str">
            <v>B25015793</v>
          </cell>
          <cell r="AP5188">
            <v>0</v>
          </cell>
          <cell r="AQ5188">
            <v>0</v>
          </cell>
          <cell r="AV5188">
            <v>1000000</v>
          </cell>
        </row>
        <row r="5189">
          <cell r="E5189" t="str">
            <v>B25015793</v>
          </cell>
          <cell r="AP5189">
            <v>0</v>
          </cell>
          <cell r="AQ5189">
            <v>0</v>
          </cell>
          <cell r="AV5189">
            <v>1600000</v>
          </cell>
        </row>
        <row r="5190">
          <cell r="E5190" t="str">
            <v>D25018854</v>
          </cell>
          <cell r="AP5190">
            <v>0</v>
          </cell>
          <cell r="AQ5190">
            <v>0</v>
          </cell>
          <cell r="AV5190">
            <v>0</v>
          </cell>
        </row>
        <row r="5191">
          <cell r="E5191" t="str">
            <v>D25019145</v>
          </cell>
          <cell r="AP5191">
            <v>0</v>
          </cell>
          <cell r="AQ5191">
            <v>0</v>
          </cell>
          <cell r="AV5191">
            <v>0</v>
          </cell>
        </row>
        <row r="5192">
          <cell r="E5192" t="str">
            <v>D25019146</v>
          </cell>
          <cell r="AP5192">
            <v>0</v>
          </cell>
          <cell r="AQ5192">
            <v>0</v>
          </cell>
          <cell r="AV5192">
            <v>0</v>
          </cell>
        </row>
        <row r="5193">
          <cell r="E5193" t="str">
            <v>D25019147</v>
          </cell>
          <cell r="AP5193">
            <v>0</v>
          </cell>
          <cell r="AQ5193">
            <v>0</v>
          </cell>
          <cell r="AV5193">
            <v>0</v>
          </cell>
        </row>
        <row r="5194">
          <cell r="E5194" t="str">
            <v>B26000081</v>
          </cell>
          <cell r="AP5194">
            <v>0</v>
          </cell>
          <cell r="AQ5194">
            <v>0</v>
          </cell>
          <cell r="AV5194">
            <v>0</v>
          </cell>
        </row>
        <row r="5195">
          <cell r="E5195" t="str">
            <v>B26000082</v>
          </cell>
          <cell r="AP5195">
            <v>0</v>
          </cell>
          <cell r="AQ5195">
            <v>0</v>
          </cell>
          <cell r="AV5195">
            <v>0</v>
          </cell>
        </row>
        <row r="5196">
          <cell r="E5196" t="str">
            <v>B26000083</v>
          </cell>
          <cell r="AP5196">
            <v>0</v>
          </cell>
          <cell r="AQ5196">
            <v>0</v>
          </cell>
          <cell r="AV5196">
            <v>0</v>
          </cell>
        </row>
        <row r="5197">
          <cell r="E5197" t="str">
            <v>D26000675</v>
          </cell>
          <cell r="AP5197">
            <v>0</v>
          </cell>
          <cell r="AQ5197">
            <v>0</v>
          </cell>
          <cell r="AV5197">
            <v>0</v>
          </cell>
        </row>
        <row r="5198">
          <cell r="E5198" t="str">
            <v>D26001080</v>
          </cell>
          <cell r="AP5198">
            <v>0</v>
          </cell>
          <cell r="AQ5198">
            <v>0</v>
          </cell>
          <cell r="AV5198">
            <v>0</v>
          </cell>
        </row>
        <row r="5199">
          <cell r="E5199" t="str">
            <v>D26001081</v>
          </cell>
          <cell r="AP5199">
            <v>0</v>
          </cell>
          <cell r="AQ5199">
            <v>0</v>
          </cell>
          <cell r="AV5199">
            <v>0</v>
          </cell>
        </row>
        <row r="5200">
          <cell r="E5200" t="str">
            <v>D26001123</v>
          </cell>
          <cell r="AP5200">
            <v>0</v>
          </cell>
          <cell r="AQ5200">
            <v>0</v>
          </cell>
          <cell r="AV5200">
            <v>0</v>
          </cell>
        </row>
        <row r="5201">
          <cell r="E5201" t="str">
            <v>D25019432</v>
          </cell>
          <cell r="AP5201">
            <v>0</v>
          </cell>
          <cell r="AQ5201">
            <v>0</v>
          </cell>
          <cell r="AV5201">
            <v>0</v>
          </cell>
        </row>
        <row r="5202">
          <cell r="E5202" t="str">
            <v>D25019433</v>
          </cell>
          <cell r="AP5202">
            <v>0</v>
          </cell>
          <cell r="AQ5202">
            <v>0</v>
          </cell>
          <cell r="AV5202">
            <v>5000000</v>
          </cell>
        </row>
        <row r="5203">
          <cell r="E5203" t="str">
            <v>D25019434</v>
          </cell>
          <cell r="AP5203">
            <v>0</v>
          </cell>
          <cell r="AQ5203">
            <v>0</v>
          </cell>
          <cell r="AV5203">
            <v>8000000</v>
          </cell>
        </row>
        <row r="5204">
          <cell r="E5204" t="str">
            <v>D25019435</v>
          </cell>
          <cell r="AP5204">
            <v>0</v>
          </cell>
          <cell r="AQ5204">
            <v>0</v>
          </cell>
          <cell r="AV5204">
            <v>0</v>
          </cell>
        </row>
        <row r="5205">
          <cell r="E5205" t="str">
            <v>D25019436</v>
          </cell>
          <cell r="AP5205">
            <v>0</v>
          </cell>
          <cell r="AQ5205">
            <v>0</v>
          </cell>
          <cell r="AV5205">
            <v>0</v>
          </cell>
        </row>
        <row r="5206">
          <cell r="E5206" t="str">
            <v>D25019437</v>
          </cell>
          <cell r="AP5206">
            <v>0</v>
          </cell>
          <cell r="AQ5206">
            <v>0</v>
          </cell>
          <cell r="AV5206">
            <v>0</v>
          </cell>
        </row>
        <row r="5207">
          <cell r="E5207" t="str">
            <v>N25000086</v>
          </cell>
          <cell r="AP5207">
            <v>0</v>
          </cell>
          <cell r="AQ5207">
            <v>0</v>
          </cell>
          <cell r="AV5207">
            <v>0</v>
          </cell>
        </row>
        <row r="5208">
          <cell r="E5208" t="str">
            <v>D26001162</v>
          </cell>
          <cell r="AP5208">
            <v>0</v>
          </cell>
          <cell r="AQ5208">
            <v>0</v>
          </cell>
          <cell r="AV5208">
            <v>0</v>
          </cell>
        </row>
        <row r="5209">
          <cell r="E5209" t="str">
            <v>C26000102</v>
          </cell>
          <cell r="AP5209">
            <v>0</v>
          </cell>
          <cell r="AQ5209">
            <v>0</v>
          </cell>
          <cell r="AV5209">
            <v>430000</v>
          </cell>
        </row>
        <row r="5210">
          <cell r="E5210" t="str">
            <v>D25019441</v>
          </cell>
          <cell r="AP5210">
            <v>0</v>
          </cell>
          <cell r="AQ5210">
            <v>0</v>
          </cell>
          <cell r="AV5210">
            <v>0</v>
          </cell>
        </row>
        <row r="5211">
          <cell r="E5211" t="str">
            <v>D26001723</v>
          </cell>
          <cell r="AP5211">
            <v>0</v>
          </cell>
          <cell r="AQ5211">
            <v>0</v>
          </cell>
          <cell r="AV5211">
            <v>0</v>
          </cell>
        </row>
        <row r="5212">
          <cell r="E5212" t="str">
            <v>B26001157</v>
          </cell>
          <cell r="AP5212">
            <v>0</v>
          </cell>
          <cell r="AQ5212">
            <v>0</v>
          </cell>
          <cell r="AV5212">
            <v>0</v>
          </cell>
        </row>
        <row r="5213">
          <cell r="E5213" t="str">
            <v>T25001816</v>
          </cell>
          <cell r="AP5213">
            <v>0</v>
          </cell>
          <cell r="AQ5213">
            <v>0</v>
          </cell>
          <cell r="AV5213">
            <v>0</v>
          </cell>
        </row>
        <row r="5214">
          <cell r="E5214" t="str">
            <v>T25001874</v>
          </cell>
          <cell r="AP5214">
            <v>0</v>
          </cell>
          <cell r="AQ5214">
            <v>0</v>
          </cell>
          <cell r="AV5214">
            <v>0</v>
          </cell>
        </row>
        <row r="5215">
          <cell r="E5215" t="str">
            <v>D25019329</v>
          </cell>
          <cell r="AP5215">
            <v>0</v>
          </cell>
          <cell r="AQ5215">
            <v>0</v>
          </cell>
          <cell r="AV5215">
            <v>0</v>
          </cell>
        </row>
        <row r="5216">
          <cell r="E5216" t="str">
            <v>B25016559</v>
          </cell>
          <cell r="AP5216">
            <v>0</v>
          </cell>
          <cell r="AQ5216">
            <v>0</v>
          </cell>
          <cell r="AV5216">
            <v>15019400</v>
          </cell>
        </row>
        <row r="5217">
          <cell r="E5217" t="str">
            <v>B25016560</v>
          </cell>
          <cell r="AP5217">
            <v>0</v>
          </cell>
          <cell r="AQ5217">
            <v>0</v>
          </cell>
          <cell r="AV5217">
            <v>8100000</v>
          </cell>
        </row>
        <row r="5218">
          <cell r="E5218" t="str">
            <v>D25019022</v>
          </cell>
          <cell r="AP5218">
            <v>0</v>
          </cell>
          <cell r="AQ5218">
            <v>0</v>
          </cell>
          <cell r="AV5218">
            <v>6880600</v>
          </cell>
        </row>
        <row r="5219">
          <cell r="E5219" t="str">
            <v>D25019023</v>
          </cell>
          <cell r="AP5219">
            <v>0</v>
          </cell>
          <cell r="AQ5219">
            <v>0</v>
          </cell>
          <cell r="AV5219">
            <v>0</v>
          </cell>
        </row>
        <row r="5220">
          <cell r="E5220" t="str">
            <v>B25017023</v>
          </cell>
          <cell r="AP5220">
            <v>0</v>
          </cell>
          <cell r="AQ5220">
            <v>0</v>
          </cell>
          <cell r="AV5220">
            <v>0</v>
          </cell>
        </row>
        <row r="5221">
          <cell r="E5221" t="str">
            <v>B25017024</v>
          </cell>
          <cell r="AP5221">
            <v>0</v>
          </cell>
          <cell r="AQ5221">
            <v>0</v>
          </cell>
          <cell r="AV5221">
            <v>0</v>
          </cell>
        </row>
        <row r="5222">
          <cell r="E5222" t="str">
            <v>B25017025</v>
          </cell>
          <cell r="AP5222">
            <v>0</v>
          </cell>
          <cell r="AQ5222">
            <v>0</v>
          </cell>
          <cell r="AV5222">
            <v>0</v>
          </cell>
        </row>
        <row r="5223">
          <cell r="E5223" t="str">
            <v>B25017030</v>
          </cell>
          <cell r="AP5223">
            <v>0</v>
          </cell>
          <cell r="AQ5223">
            <v>0</v>
          </cell>
          <cell r="AV5223">
            <v>0</v>
          </cell>
        </row>
        <row r="5224">
          <cell r="E5224" t="str">
            <v>B26000120</v>
          </cell>
          <cell r="AP5224">
            <v>0</v>
          </cell>
          <cell r="AQ5224">
            <v>0</v>
          </cell>
          <cell r="AV5224">
            <v>0</v>
          </cell>
        </row>
        <row r="5225">
          <cell r="E5225" t="str">
            <v>D26000204</v>
          </cell>
          <cell r="AP5225">
            <v>0</v>
          </cell>
          <cell r="AQ5225">
            <v>0</v>
          </cell>
          <cell r="AV5225">
            <v>0</v>
          </cell>
        </row>
        <row r="5226">
          <cell r="E5226" t="str">
            <v>D26000205</v>
          </cell>
          <cell r="AP5226">
            <v>0</v>
          </cell>
          <cell r="AQ5226">
            <v>0</v>
          </cell>
          <cell r="AV5226">
            <v>0</v>
          </cell>
        </row>
        <row r="5227">
          <cell r="E5227" t="str">
            <v>D26000213</v>
          </cell>
          <cell r="AP5227">
            <v>0</v>
          </cell>
          <cell r="AQ5227">
            <v>0</v>
          </cell>
          <cell r="AV5227">
            <v>0</v>
          </cell>
        </row>
        <row r="5228">
          <cell r="E5228" t="str">
            <v>D26000598</v>
          </cell>
          <cell r="AP5228">
            <v>0</v>
          </cell>
          <cell r="AQ5228">
            <v>0</v>
          </cell>
          <cell r="AV5228">
            <v>0</v>
          </cell>
        </row>
        <row r="5229">
          <cell r="E5229" t="str">
            <v>D26000610</v>
          </cell>
          <cell r="AP5229">
            <v>0</v>
          </cell>
          <cell r="AQ5229">
            <v>0</v>
          </cell>
          <cell r="AV5229">
            <v>0</v>
          </cell>
        </row>
        <row r="5230">
          <cell r="E5230" t="str">
            <v>B26000874</v>
          </cell>
          <cell r="AP5230">
            <v>0</v>
          </cell>
          <cell r="AQ5230">
            <v>0</v>
          </cell>
          <cell r="AV5230">
            <v>0</v>
          </cell>
        </row>
        <row r="5231">
          <cell r="E5231" t="str">
            <v>D26000932</v>
          </cell>
          <cell r="AP5231">
            <v>0</v>
          </cell>
          <cell r="AQ5231">
            <v>0</v>
          </cell>
          <cell r="AV5231">
            <v>0</v>
          </cell>
        </row>
        <row r="5232">
          <cell r="E5232" t="str">
            <v>B26000954</v>
          </cell>
          <cell r="AP5232">
            <v>0</v>
          </cell>
          <cell r="AQ5232">
            <v>0</v>
          </cell>
          <cell r="AV5232">
            <v>0</v>
          </cell>
        </row>
        <row r="5233">
          <cell r="E5233" t="str">
            <v>B26000991</v>
          </cell>
          <cell r="AP5233">
            <v>0</v>
          </cell>
          <cell r="AQ5233">
            <v>0</v>
          </cell>
          <cell r="AV5233">
            <v>0</v>
          </cell>
        </row>
        <row r="5234">
          <cell r="E5234" t="str">
            <v>B26001002</v>
          </cell>
          <cell r="AP5234">
            <v>0</v>
          </cell>
          <cell r="AQ5234">
            <v>0</v>
          </cell>
          <cell r="AV5234">
            <v>0</v>
          </cell>
        </row>
        <row r="5235">
          <cell r="E5235" t="str">
            <v>D26001576</v>
          </cell>
          <cell r="AP5235">
            <v>0</v>
          </cell>
          <cell r="AQ5235">
            <v>0</v>
          </cell>
          <cell r="AV5235">
            <v>0</v>
          </cell>
        </row>
        <row r="5236">
          <cell r="E5236" t="str">
            <v>D26001577</v>
          </cell>
          <cell r="AP5236">
            <v>0</v>
          </cell>
          <cell r="AQ5236">
            <v>0</v>
          </cell>
          <cell r="AV5236">
            <v>0</v>
          </cell>
        </row>
        <row r="5237">
          <cell r="E5237" t="str">
            <v>D26001578</v>
          </cell>
          <cell r="AP5237">
            <v>0</v>
          </cell>
          <cell r="AQ5237">
            <v>0</v>
          </cell>
          <cell r="AV5237">
            <v>0</v>
          </cell>
        </row>
        <row r="5238">
          <cell r="E5238" t="str">
            <v>D25018241</v>
          </cell>
          <cell r="AP5238">
            <v>0</v>
          </cell>
          <cell r="AQ5238">
            <v>0</v>
          </cell>
          <cell r="AV5238">
            <v>0</v>
          </cell>
        </row>
        <row r="5239">
          <cell r="E5239" t="str">
            <v>T25001801</v>
          </cell>
          <cell r="AP5239">
            <v>0</v>
          </cell>
          <cell r="AQ5239">
            <v>0</v>
          </cell>
          <cell r="AV5239">
            <v>0</v>
          </cell>
        </row>
        <row r="5240">
          <cell r="E5240" t="str">
            <v>D25018357</v>
          </cell>
          <cell r="AP5240">
            <v>0</v>
          </cell>
          <cell r="AQ5240">
            <v>0</v>
          </cell>
          <cell r="AV5240">
            <v>0</v>
          </cell>
        </row>
        <row r="5241">
          <cell r="E5241" t="str">
            <v>D25018506</v>
          </cell>
          <cell r="AP5241">
            <v>0</v>
          </cell>
          <cell r="AQ5241">
            <v>0</v>
          </cell>
          <cell r="AV5241">
            <v>0</v>
          </cell>
        </row>
        <row r="5242">
          <cell r="E5242" t="str">
            <v>D25018510</v>
          </cell>
          <cell r="AP5242">
            <v>0</v>
          </cell>
          <cell r="AQ5242">
            <v>0</v>
          </cell>
          <cell r="AV5242">
            <v>0</v>
          </cell>
        </row>
        <row r="5243">
          <cell r="E5243" t="str">
            <v>D25018591</v>
          </cell>
          <cell r="AP5243">
            <v>0</v>
          </cell>
          <cell r="AQ5243">
            <v>0</v>
          </cell>
          <cell r="AV5243">
            <v>0</v>
          </cell>
        </row>
        <row r="5244">
          <cell r="E5244" t="str">
            <v>D25018731</v>
          </cell>
          <cell r="AP5244">
            <v>0</v>
          </cell>
          <cell r="AQ5244">
            <v>0</v>
          </cell>
          <cell r="AV5244">
            <v>0</v>
          </cell>
        </row>
        <row r="5245">
          <cell r="E5245" t="str">
            <v>D25018924</v>
          </cell>
          <cell r="AP5245">
            <v>0</v>
          </cell>
          <cell r="AQ5245">
            <v>0</v>
          </cell>
          <cell r="AV5245">
            <v>0</v>
          </cell>
        </row>
        <row r="5246">
          <cell r="E5246" t="str">
            <v>B25016525</v>
          </cell>
          <cell r="AP5246">
            <v>0</v>
          </cell>
          <cell r="AQ5246">
            <v>0</v>
          </cell>
          <cell r="AV5246">
            <v>0</v>
          </cell>
        </row>
        <row r="5247">
          <cell r="E5247" t="str">
            <v>B25016620</v>
          </cell>
          <cell r="AP5247">
            <v>0</v>
          </cell>
          <cell r="AQ5247">
            <v>0</v>
          </cell>
          <cell r="AV5247">
            <v>0</v>
          </cell>
        </row>
        <row r="5248">
          <cell r="E5248" t="str">
            <v>B25016759</v>
          </cell>
          <cell r="AP5248">
            <v>0</v>
          </cell>
          <cell r="AQ5248">
            <v>0</v>
          </cell>
          <cell r="AV5248">
            <v>0</v>
          </cell>
        </row>
        <row r="5249">
          <cell r="E5249" t="str">
            <v>D25019439</v>
          </cell>
          <cell r="AP5249">
            <v>0</v>
          </cell>
          <cell r="AQ5249">
            <v>0</v>
          </cell>
          <cell r="AV5249">
            <v>0</v>
          </cell>
        </row>
        <row r="5250">
          <cell r="E5250" t="str">
            <v>B25016915</v>
          </cell>
          <cell r="AP5250">
            <v>0</v>
          </cell>
          <cell r="AQ5250">
            <v>0</v>
          </cell>
          <cell r="AV5250">
            <v>0</v>
          </cell>
        </row>
        <row r="5251">
          <cell r="E5251" t="str">
            <v>B25016952</v>
          </cell>
          <cell r="AP5251">
            <v>0</v>
          </cell>
          <cell r="AQ5251">
            <v>0</v>
          </cell>
          <cell r="AV5251">
            <v>0</v>
          </cell>
        </row>
        <row r="5252">
          <cell r="E5252" t="str">
            <v>D25019470</v>
          </cell>
          <cell r="AP5252">
            <v>0</v>
          </cell>
          <cell r="AQ5252">
            <v>0</v>
          </cell>
          <cell r="AV5252">
            <v>0</v>
          </cell>
        </row>
        <row r="5253">
          <cell r="E5253" t="str">
            <v>D25019473</v>
          </cell>
          <cell r="AP5253">
            <v>0</v>
          </cell>
          <cell r="AQ5253">
            <v>0</v>
          </cell>
          <cell r="AV5253">
            <v>0</v>
          </cell>
        </row>
        <row r="5254">
          <cell r="E5254" t="str">
            <v>D25019553</v>
          </cell>
          <cell r="AP5254">
            <v>0</v>
          </cell>
          <cell r="AQ5254">
            <v>0</v>
          </cell>
          <cell r="AV5254">
            <v>0</v>
          </cell>
        </row>
        <row r="5255">
          <cell r="E5255" t="str">
            <v>D25019584</v>
          </cell>
          <cell r="AP5255">
            <v>0</v>
          </cell>
          <cell r="AQ5255">
            <v>0</v>
          </cell>
          <cell r="AV5255">
            <v>0</v>
          </cell>
        </row>
        <row r="5256">
          <cell r="E5256" t="str">
            <v>D25019681</v>
          </cell>
          <cell r="AP5256">
            <v>0</v>
          </cell>
          <cell r="AQ5256">
            <v>0</v>
          </cell>
          <cell r="AV5256">
            <v>0</v>
          </cell>
        </row>
        <row r="5257">
          <cell r="E5257" t="str">
            <v>B26000160</v>
          </cell>
          <cell r="AP5257">
            <v>0</v>
          </cell>
          <cell r="AQ5257">
            <v>0</v>
          </cell>
          <cell r="AV5257">
            <v>0</v>
          </cell>
        </row>
        <row r="5258">
          <cell r="E5258" t="str">
            <v>D26000049</v>
          </cell>
          <cell r="AP5258">
            <v>0</v>
          </cell>
          <cell r="AQ5258">
            <v>0</v>
          </cell>
          <cell r="AV5258">
            <v>0</v>
          </cell>
        </row>
        <row r="5259">
          <cell r="E5259" t="str">
            <v>D26000128</v>
          </cell>
          <cell r="AP5259">
            <v>0</v>
          </cell>
          <cell r="AQ5259">
            <v>0</v>
          </cell>
          <cell r="AV5259">
            <v>0</v>
          </cell>
        </row>
        <row r="5260">
          <cell r="E5260" t="str">
            <v>D26000313</v>
          </cell>
          <cell r="AP5260">
            <v>0</v>
          </cell>
          <cell r="AQ5260">
            <v>0</v>
          </cell>
          <cell r="AV5260">
            <v>0</v>
          </cell>
        </row>
        <row r="5261">
          <cell r="E5261" t="str">
            <v>D26000329</v>
          </cell>
          <cell r="AP5261">
            <v>0</v>
          </cell>
          <cell r="AQ5261">
            <v>0</v>
          </cell>
          <cell r="AV5261">
            <v>0</v>
          </cell>
        </row>
        <row r="5262">
          <cell r="E5262" t="str">
            <v>D26000360</v>
          </cell>
          <cell r="AP5262">
            <v>0</v>
          </cell>
          <cell r="AQ5262">
            <v>0</v>
          </cell>
          <cell r="AV5262">
            <v>0</v>
          </cell>
        </row>
        <row r="5263">
          <cell r="E5263" t="str">
            <v>D26000409</v>
          </cell>
          <cell r="AP5263">
            <v>0</v>
          </cell>
          <cell r="AQ5263">
            <v>0</v>
          </cell>
          <cell r="AV5263">
            <v>0</v>
          </cell>
        </row>
        <row r="5264">
          <cell r="E5264" t="str">
            <v>D26000453</v>
          </cell>
          <cell r="AP5264">
            <v>0</v>
          </cell>
          <cell r="AQ5264">
            <v>0</v>
          </cell>
          <cell r="AV5264">
            <v>0</v>
          </cell>
        </row>
        <row r="5265">
          <cell r="E5265" t="str">
            <v>B26000420</v>
          </cell>
          <cell r="AP5265">
            <v>0</v>
          </cell>
          <cell r="AQ5265">
            <v>0</v>
          </cell>
          <cell r="AV5265">
            <v>0</v>
          </cell>
        </row>
        <row r="5266">
          <cell r="E5266" t="str">
            <v>B26000458</v>
          </cell>
          <cell r="AP5266">
            <v>0</v>
          </cell>
          <cell r="AQ5266">
            <v>0</v>
          </cell>
          <cell r="AV5266">
            <v>0</v>
          </cell>
        </row>
        <row r="5267">
          <cell r="E5267" t="str">
            <v>B26000480</v>
          </cell>
          <cell r="AP5267">
            <v>0</v>
          </cell>
          <cell r="AQ5267">
            <v>0</v>
          </cell>
          <cell r="AV5267">
            <v>0</v>
          </cell>
        </row>
        <row r="5268">
          <cell r="E5268" t="str">
            <v>B26000481</v>
          </cell>
          <cell r="AP5268">
            <v>0</v>
          </cell>
          <cell r="AQ5268">
            <v>0</v>
          </cell>
          <cell r="AV5268">
            <v>0</v>
          </cell>
        </row>
        <row r="5269">
          <cell r="E5269" t="str">
            <v>B26000493</v>
          </cell>
          <cell r="AP5269">
            <v>0</v>
          </cell>
          <cell r="AQ5269">
            <v>0</v>
          </cell>
          <cell r="AV5269">
            <v>0</v>
          </cell>
        </row>
        <row r="5270">
          <cell r="E5270" t="str">
            <v>D26000483</v>
          </cell>
          <cell r="AP5270">
            <v>0</v>
          </cell>
          <cell r="AQ5270">
            <v>0</v>
          </cell>
          <cell r="AV5270">
            <v>0</v>
          </cell>
        </row>
        <row r="5271">
          <cell r="E5271" t="str">
            <v>D26000487</v>
          </cell>
          <cell r="AP5271">
            <v>0</v>
          </cell>
          <cell r="AQ5271">
            <v>0</v>
          </cell>
          <cell r="AV5271">
            <v>0</v>
          </cell>
        </row>
        <row r="5272">
          <cell r="E5272" t="str">
            <v>B26000629</v>
          </cell>
          <cell r="AP5272">
            <v>0</v>
          </cell>
          <cell r="AQ5272">
            <v>0</v>
          </cell>
          <cell r="AV5272">
            <v>0</v>
          </cell>
        </row>
        <row r="5273">
          <cell r="E5273" t="str">
            <v>B26000834</v>
          </cell>
          <cell r="AP5273">
            <v>0</v>
          </cell>
          <cell r="AQ5273">
            <v>0</v>
          </cell>
          <cell r="AV5273">
            <v>0</v>
          </cell>
        </row>
        <row r="5274">
          <cell r="E5274" t="str">
            <v>B26000898</v>
          </cell>
          <cell r="AP5274">
            <v>0</v>
          </cell>
          <cell r="AQ5274">
            <v>0</v>
          </cell>
          <cell r="AV5274">
            <v>0</v>
          </cell>
        </row>
        <row r="5275">
          <cell r="E5275" t="str">
            <v>D26001267</v>
          </cell>
          <cell r="AP5275">
            <v>0</v>
          </cell>
          <cell r="AQ5275">
            <v>0</v>
          </cell>
          <cell r="AV5275">
            <v>0</v>
          </cell>
        </row>
        <row r="5276">
          <cell r="E5276" t="str">
            <v>B26001257</v>
          </cell>
          <cell r="AP5276">
            <v>0</v>
          </cell>
          <cell r="AQ5276">
            <v>0</v>
          </cell>
          <cell r="AV5276">
            <v>0</v>
          </cell>
        </row>
        <row r="5277">
          <cell r="E5277" t="str">
            <v>D26001332</v>
          </cell>
          <cell r="AP5277">
            <v>0</v>
          </cell>
          <cell r="AQ5277">
            <v>0</v>
          </cell>
          <cell r="AV5277">
            <v>0</v>
          </cell>
        </row>
        <row r="5278">
          <cell r="E5278" t="str">
            <v>D26001391</v>
          </cell>
          <cell r="AP5278">
            <v>0</v>
          </cell>
          <cell r="AQ5278">
            <v>0</v>
          </cell>
          <cell r="AV5278">
            <v>0</v>
          </cell>
        </row>
        <row r="5279">
          <cell r="E5279" t="str">
            <v>B26001487</v>
          </cell>
          <cell r="AP5279">
            <v>0</v>
          </cell>
          <cell r="AQ5279">
            <v>8400000</v>
          </cell>
          <cell r="AV5279">
            <v>0</v>
          </cell>
        </row>
        <row r="5280">
          <cell r="E5280" t="str">
            <v>D26001598</v>
          </cell>
          <cell r="AP5280">
            <v>0</v>
          </cell>
          <cell r="AQ5280">
            <v>10773000</v>
          </cell>
          <cell r="AV5280">
            <v>0</v>
          </cell>
        </row>
        <row r="5281">
          <cell r="E5281" t="str">
            <v>D26001599</v>
          </cell>
          <cell r="AP5281">
            <v>0</v>
          </cell>
          <cell r="AQ5281">
            <v>13250000</v>
          </cell>
          <cell r="AV5281">
            <v>0</v>
          </cell>
        </row>
        <row r="5282">
          <cell r="E5282" t="str">
            <v>D26001697</v>
          </cell>
          <cell r="AP5282">
            <v>0</v>
          </cell>
          <cell r="AQ5282">
            <v>10575000</v>
          </cell>
          <cell r="AV5282">
            <v>0</v>
          </cell>
        </row>
        <row r="5283">
          <cell r="E5283" t="str">
            <v>B26001612</v>
          </cell>
          <cell r="AP5283">
            <v>0</v>
          </cell>
          <cell r="AQ5283">
            <v>10080000</v>
          </cell>
          <cell r="AV5283">
            <v>0</v>
          </cell>
        </row>
        <row r="5284">
          <cell r="E5284" t="str">
            <v>D26001821</v>
          </cell>
          <cell r="AP5284">
            <v>0</v>
          </cell>
          <cell r="AQ5284">
            <v>0</v>
          </cell>
          <cell r="AV5284">
            <v>0</v>
          </cell>
        </row>
        <row r="5285">
          <cell r="E5285" t="str">
            <v>D26001821</v>
          </cell>
          <cell r="AP5285">
            <v>0</v>
          </cell>
          <cell r="AQ5285">
            <v>16290000</v>
          </cell>
          <cell r="AV5285">
            <v>0</v>
          </cell>
        </row>
        <row r="5286">
          <cell r="E5286" t="str">
            <v>B26001911</v>
          </cell>
          <cell r="AP5286">
            <v>0</v>
          </cell>
          <cell r="AQ5286">
            <v>0</v>
          </cell>
          <cell r="AV5286">
            <v>0</v>
          </cell>
        </row>
        <row r="5287">
          <cell r="E5287" t="str">
            <v>D26002027</v>
          </cell>
          <cell r="AP5287">
            <v>0</v>
          </cell>
          <cell r="AQ5287">
            <v>0</v>
          </cell>
          <cell r="AV5287">
            <v>0</v>
          </cell>
        </row>
        <row r="5288">
          <cell r="E5288" t="str">
            <v>D26002092</v>
          </cell>
          <cell r="AP5288">
            <v>0</v>
          </cell>
          <cell r="AQ5288">
            <v>0</v>
          </cell>
          <cell r="AV5288">
            <v>0</v>
          </cell>
        </row>
        <row r="5289">
          <cell r="E5289" t="str">
            <v>B26000360</v>
          </cell>
          <cell r="AP5289">
            <v>0</v>
          </cell>
          <cell r="AQ5289">
            <v>0</v>
          </cell>
          <cell r="AV5289">
            <v>0</v>
          </cell>
        </row>
        <row r="5290">
          <cell r="E5290" t="str">
            <v>D26000441</v>
          </cell>
          <cell r="AP5290">
            <v>0</v>
          </cell>
          <cell r="AQ5290">
            <v>0</v>
          </cell>
          <cell r="AV5290">
            <v>0</v>
          </cell>
        </row>
        <row r="5291">
          <cell r="E5291" t="str">
            <v>T25001880</v>
          </cell>
          <cell r="AP5291">
            <v>0</v>
          </cell>
          <cell r="AQ5291">
            <v>0</v>
          </cell>
          <cell r="AV5291">
            <v>0</v>
          </cell>
        </row>
        <row r="5292">
          <cell r="E5292" t="str">
            <v>B26000964</v>
          </cell>
          <cell r="AP5292">
            <v>0</v>
          </cell>
          <cell r="AQ5292">
            <v>0</v>
          </cell>
          <cell r="AV5292">
            <v>0</v>
          </cell>
        </row>
        <row r="5293">
          <cell r="E5293" t="str">
            <v>B26000965</v>
          </cell>
          <cell r="AP5293">
            <v>0</v>
          </cell>
          <cell r="AQ5293">
            <v>0</v>
          </cell>
          <cell r="AV5293">
            <v>0</v>
          </cell>
        </row>
        <row r="5294">
          <cell r="E5294" t="str">
            <v>B26001570</v>
          </cell>
          <cell r="AP5294">
            <v>0</v>
          </cell>
          <cell r="AQ5294">
            <v>0</v>
          </cell>
          <cell r="AV5294">
            <v>5400000</v>
          </cell>
        </row>
        <row r="5295">
          <cell r="E5295" t="str">
            <v>B26001932</v>
          </cell>
          <cell r="AP5295">
            <v>0</v>
          </cell>
          <cell r="AQ5295">
            <v>0</v>
          </cell>
          <cell r="AV5295">
            <v>0</v>
          </cell>
        </row>
        <row r="5296">
          <cell r="E5296" t="str">
            <v>T26000145</v>
          </cell>
          <cell r="AP5296">
            <v>0</v>
          </cell>
          <cell r="AQ5296">
            <v>0</v>
          </cell>
          <cell r="AV5296">
            <v>0</v>
          </cell>
        </row>
        <row r="5297">
          <cell r="E5297" t="str">
            <v>B26001149</v>
          </cell>
          <cell r="AP5297">
            <v>0</v>
          </cell>
          <cell r="AQ5297">
            <v>0</v>
          </cell>
          <cell r="AV5297">
            <v>0</v>
          </cell>
        </row>
        <row r="5298">
          <cell r="E5298" t="str">
            <v>D26001262</v>
          </cell>
          <cell r="AP5298">
            <v>0</v>
          </cell>
          <cell r="AQ5298">
            <v>0</v>
          </cell>
          <cell r="AV5298">
            <v>0</v>
          </cell>
        </row>
        <row r="5299">
          <cell r="E5299" t="str">
            <v>D26001395</v>
          </cell>
          <cell r="AP5299">
            <v>0</v>
          </cell>
          <cell r="AQ5299">
            <v>0</v>
          </cell>
          <cell r="AV5299">
            <v>0</v>
          </cell>
        </row>
        <row r="5300">
          <cell r="E5300" t="str">
            <v>D26001803</v>
          </cell>
          <cell r="AP5300">
            <v>0</v>
          </cell>
          <cell r="AQ5300">
            <v>0</v>
          </cell>
          <cell r="AV5300">
            <v>0</v>
          </cell>
        </row>
        <row r="5301">
          <cell r="E5301" t="str">
            <v>D26001804</v>
          </cell>
          <cell r="AP5301">
            <v>0</v>
          </cell>
          <cell r="AQ5301">
            <v>0</v>
          </cell>
          <cell r="AV5301">
            <v>4387500</v>
          </cell>
        </row>
        <row r="5302">
          <cell r="E5302" t="str">
            <v>D26001979</v>
          </cell>
          <cell r="AP5302">
            <v>0</v>
          </cell>
          <cell r="AQ5302">
            <v>0</v>
          </cell>
          <cell r="AV5302">
            <v>0</v>
          </cell>
        </row>
        <row r="5303">
          <cell r="E5303" t="str">
            <v>B26001600</v>
          </cell>
          <cell r="AP5303">
            <v>0</v>
          </cell>
          <cell r="AQ5303">
            <v>0</v>
          </cell>
          <cell r="AV5303">
            <v>0</v>
          </cell>
        </row>
        <row r="5304">
          <cell r="E5304" t="str">
            <v>B26001601</v>
          </cell>
          <cell r="AP5304">
            <v>0</v>
          </cell>
          <cell r="AQ5304">
            <v>0</v>
          </cell>
          <cell r="AV5304">
            <v>0</v>
          </cell>
        </row>
        <row r="5305">
          <cell r="E5305" t="str">
            <v>B26000703</v>
          </cell>
          <cell r="AP5305">
            <v>0</v>
          </cell>
          <cell r="AQ5305">
            <v>0</v>
          </cell>
          <cell r="AV5305">
            <v>0</v>
          </cell>
        </row>
        <row r="5306">
          <cell r="E5306" t="str">
            <v>B26001737</v>
          </cell>
          <cell r="AP5306">
            <v>0</v>
          </cell>
          <cell r="AQ5306">
            <v>0</v>
          </cell>
          <cell r="AV5306">
            <v>2000000</v>
          </cell>
        </row>
        <row r="5307">
          <cell r="E5307" t="str">
            <v>B25012562</v>
          </cell>
          <cell r="AP5307">
            <v>0</v>
          </cell>
          <cell r="AQ5307">
            <v>0</v>
          </cell>
          <cell r="AV5307">
            <v>0</v>
          </cell>
        </row>
        <row r="5308">
          <cell r="E5308" t="str">
            <v>D25018138</v>
          </cell>
          <cell r="AP5308">
            <v>0</v>
          </cell>
          <cell r="AQ5308">
            <v>0</v>
          </cell>
          <cell r="AV5308">
            <v>0</v>
          </cell>
        </row>
        <row r="5309">
          <cell r="E5309" t="str">
            <v>D26000414</v>
          </cell>
          <cell r="AP5309">
            <v>0</v>
          </cell>
          <cell r="AQ5309">
            <v>0</v>
          </cell>
          <cell r="AV5309">
            <v>0</v>
          </cell>
        </row>
        <row r="5310">
          <cell r="E5310" t="str">
            <v>D26000734</v>
          </cell>
          <cell r="AP5310">
            <v>0</v>
          </cell>
          <cell r="AQ5310">
            <v>0</v>
          </cell>
          <cell r="AV5310">
            <v>0</v>
          </cell>
        </row>
        <row r="5311">
          <cell r="E5311" t="str">
            <v>D26000978</v>
          </cell>
          <cell r="AP5311">
            <v>0</v>
          </cell>
          <cell r="AQ5311">
            <v>0</v>
          </cell>
          <cell r="AV5311">
            <v>0</v>
          </cell>
        </row>
        <row r="5312">
          <cell r="E5312" t="str">
            <v>D26001284</v>
          </cell>
          <cell r="AP5312">
            <v>0</v>
          </cell>
          <cell r="AQ5312">
            <v>0</v>
          </cell>
          <cell r="AV5312">
            <v>0</v>
          </cell>
        </row>
        <row r="5313">
          <cell r="E5313" t="str">
            <v>B25012496</v>
          </cell>
          <cell r="AP5313">
            <v>0</v>
          </cell>
          <cell r="AQ5313">
            <v>0</v>
          </cell>
          <cell r="AV5313">
            <v>0</v>
          </cell>
        </row>
        <row r="5314">
          <cell r="E5314" t="str">
            <v>B25014117</v>
          </cell>
          <cell r="AP5314">
            <v>0</v>
          </cell>
          <cell r="AQ5314">
            <v>0</v>
          </cell>
          <cell r="AV5314">
            <v>6500000</v>
          </cell>
        </row>
        <row r="5315">
          <cell r="E5315" t="str">
            <v>B25015370</v>
          </cell>
          <cell r="AP5315">
            <v>0</v>
          </cell>
          <cell r="AQ5315">
            <v>0</v>
          </cell>
          <cell r="AV5315">
            <v>0</v>
          </cell>
        </row>
        <row r="5316">
          <cell r="E5316" t="str">
            <v>D25017825</v>
          </cell>
          <cell r="AP5316">
            <v>0</v>
          </cell>
          <cell r="AQ5316">
            <v>0</v>
          </cell>
          <cell r="AV5316">
            <v>0</v>
          </cell>
        </row>
        <row r="5317">
          <cell r="E5317" t="str">
            <v>B25015450</v>
          </cell>
          <cell r="AP5317">
            <v>0</v>
          </cell>
          <cell r="AQ5317">
            <v>0</v>
          </cell>
          <cell r="AV5317">
            <v>0</v>
          </cell>
        </row>
        <row r="5318">
          <cell r="E5318" t="str">
            <v>D25017977</v>
          </cell>
          <cell r="AP5318">
            <v>0</v>
          </cell>
          <cell r="AQ5318">
            <v>0</v>
          </cell>
          <cell r="AV5318">
            <v>5600000</v>
          </cell>
        </row>
        <row r="5319">
          <cell r="E5319" t="str">
            <v>D25018108</v>
          </cell>
          <cell r="AP5319">
            <v>0</v>
          </cell>
          <cell r="AQ5319">
            <v>0</v>
          </cell>
          <cell r="AV5319">
            <v>3600000</v>
          </cell>
        </row>
        <row r="5320">
          <cell r="E5320" t="str">
            <v>D25018601</v>
          </cell>
          <cell r="AP5320">
            <v>0</v>
          </cell>
          <cell r="AQ5320">
            <v>0</v>
          </cell>
          <cell r="AV5320">
            <v>0</v>
          </cell>
        </row>
        <row r="5321">
          <cell r="E5321" t="str">
            <v>B25016277</v>
          </cell>
          <cell r="AP5321">
            <v>0</v>
          </cell>
          <cell r="AQ5321">
            <v>0</v>
          </cell>
          <cell r="AV5321">
            <v>0</v>
          </cell>
        </row>
        <row r="5322">
          <cell r="E5322" t="str">
            <v>B25016377</v>
          </cell>
          <cell r="AP5322">
            <v>0</v>
          </cell>
          <cell r="AQ5322">
            <v>0</v>
          </cell>
          <cell r="AV5322">
            <v>0</v>
          </cell>
        </row>
        <row r="5323">
          <cell r="E5323" t="str">
            <v>D25018972</v>
          </cell>
          <cell r="AP5323">
            <v>0</v>
          </cell>
          <cell r="AQ5323">
            <v>0</v>
          </cell>
          <cell r="AV5323">
            <v>0</v>
          </cell>
        </row>
        <row r="5324">
          <cell r="E5324" t="str">
            <v>D25019208</v>
          </cell>
          <cell r="AP5324">
            <v>0</v>
          </cell>
          <cell r="AQ5324">
            <v>0</v>
          </cell>
          <cell r="AV5324">
            <v>0</v>
          </cell>
        </row>
        <row r="5325">
          <cell r="E5325" t="str">
            <v>B25016844</v>
          </cell>
          <cell r="AP5325">
            <v>0</v>
          </cell>
          <cell r="AQ5325">
            <v>0</v>
          </cell>
          <cell r="AV5325">
            <v>0</v>
          </cell>
        </row>
        <row r="5326">
          <cell r="E5326" t="str">
            <v>B25017048</v>
          </cell>
          <cell r="AP5326">
            <v>0</v>
          </cell>
          <cell r="AQ5326">
            <v>0</v>
          </cell>
          <cell r="AV5326">
            <v>0</v>
          </cell>
        </row>
        <row r="5327">
          <cell r="E5327" t="str">
            <v>B26000009</v>
          </cell>
          <cell r="AP5327">
            <v>0</v>
          </cell>
          <cell r="AQ5327">
            <v>0</v>
          </cell>
          <cell r="AV5327">
            <v>0</v>
          </cell>
        </row>
        <row r="5328">
          <cell r="E5328" t="str">
            <v>D26000119</v>
          </cell>
          <cell r="AP5328">
            <v>0</v>
          </cell>
          <cell r="AQ5328">
            <v>0</v>
          </cell>
          <cell r="AV5328">
            <v>0</v>
          </cell>
        </row>
        <row r="5329">
          <cell r="E5329" t="str">
            <v>B26000200</v>
          </cell>
          <cell r="AP5329">
            <v>0</v>
          </cell>
          <cell r="AQ5329">
            <v>0</v>
          </cell>
          <cell r="AV5329">
            <v>0</v>
          </cell>
        </row>
        <row r="5330">
          <cell r="E5330" t="str">
            <v>D26000281</v>
          </cell>
          <cell r="AP5330">
            <v>0</v>
          </cell>
          <cell r="AQ5330">
            <v>0</v>
          </cell>
          <cell r="AV5330">
            <v>0</v>
          </cell>
        </row>
        <row r="5331">
          <cell r="E5331" t="str">
            <v>D26000374</v>
          </cell>
          <cell r="AP5331">
            <v>0</v>
          </cell>
          <cell r="AQ5331">
            <v>0</v>
          </cell>
          <cell r="AV5331">
            <v>0</v>
          </cell>
        </row>
        <row r="5332">
          <cell r="E5332" t="str">
            <v>D26000759</v>
          </cell>
          <cell r="AP5332">
            <v>0</v>
          </cell>
          <cell r="AQ5332">
            <v>0</v>
          </cell>
          <cell r="AV5332">
            <v>0</v>
          </cell>
        </row>
        <row r="5333">
          <cell r="E5333" t="str">
            <v>D26000773</v>
          </cell>
          <cell r="AP5333">
            <v>0</v>
          </cell>
          <cell r="AQ5333">
            <v>0</v>
          </cell>
          <cell r="AV5333">
            <v>0</v>
          </cell>
        </row>
        <row r="5334">
          <cell r="E5334" t="str">
            <v>D26000980</v>
          </cell>
          <cell r="AP5334">
            <v>0</v>
          </cell>
          <cell r="AQ5334">
            <v>0</v>
          </cell>
          <cell r="AV5334">
            <v>0</v>
          </cell>
        </row>
        <row r="5335">
          <cell r="E5335" t="str">
            <v>B26001098</v>
          </cell>
          <cell r="AP5335">
            <v>0</v>
          </cell>
          <cell r="AQ5335">
            <v>0</v>
          </cell>
          <cell r="AV5335">
            <v>0</v>
          </cell>
        </row>
        <row r="5336">
          <cell r="E5336" t="str">
            <v>B26001931</v>
          </cell>
          <cell r="AP5336">
            <v>0</v>
          </cell>
          <cell r="AQ5336">
            <v>0</v>
          </cell>
          <cell r="AV5336">
            <v>0</v>
          </cell>
        </row>
        <row r="5337">
          <cell r="E5337" t="str">
            <v>D26002026</v>
          </cell>
          <cell r="AP5337">
            <v>0</v>
          </cell>
          <cell r="AQ5337">
            <v>0</v>
          </cell>
          <cell r="AV5337">
            <v>0</v>
          </cell>
        </row>
        <row r="5338">
          <cell r="E5338" t="str">
            <v>D26002064</v>
          </cell>
          <cell r="AP5338">
            <v>0</v>
          </cell>
          <cell r="AQ5338">
            <v>0</v>
          </cell>
          <cell r="AV5338">
            <v>0</v>
          </cell>
        </row>
        <row r="5339">
          <cell r="E5339" t="str">
            <v>D25015979</v>
          </cell>
          <cell r="AP5339">
            <v>0</v>
          </cell>
          <cell r="AQ5339">
            <v>0</v>
          </cell>
          <cell r="AV5339">
            <v>6000000</v>
          </cell>
        </row>
        <row r="5340">
          <cell r="E5340" t="str">
            <v>B26000375</v>
          </cell>
          <cell r="AP5340">
            <v>0</v>
          </cell>
          <cell r="AQ5340">
            <v>0</v>
          </cell>
          <cell r="AV5340">
            <v>0</v>
          </cell>
        </row>
        <row r="5341">
          <cell r="E5341" t="str">
            <v>B26000622</v>
          </cell>
          <cell r="AP5341">
            <v>0</v>
          </cell>
          <cell r="AQ5341">
            <v>0</v>
          </cell>
          <cell r="AV5341">
            <v>0</v>
          </cell>
        </row>
        <row r="5342">
          <cell r="E5342" t="str">
            <v>B26000775</v>
          </cell>
          <cell r="AP5342">
            <v>0</v>
          </cell>
          <cell r="AQ5342">
            <v>0</v>
          </cell>
          <cell r="AV5342">
            <v>0</v>
          </cell>
        </row>
        <row r="5343">
          <cell r="E5343" t="str">
            <v>B26001262</v>
          </cell>
          <cell r="AP5343">
            <v>0</v>
          </cell>
          <cell r="AQ5343">
            <v>0</v>
          </cell>
          <cell r="AV5343">
            <v>0</v>
          </cell>
        </row>
        <row r="5344">
          <cell r="E5344" t="str">
            <v>T26000105</v>
          </cell>
          <cell r="AP5344">
            <v>0</v>
          </cell>
          <cell r="AQ5344">
            <v>0</v>
          </cell>
          <cell r="AV5344">
            <v>0</v>
          </cell>
        </row>
        <row r="5345">
          <cell r="E5345" t="str">
            <v>D25016981</v>
          </cell>
          <cell r="AP5345">
            <v>0</v>
          </cell>
          <cell r="AQ5345">
            <v>0</v>
          </cell>
          <cell r="AV5345">
            <v>0</v>
          </cell>
        </row>
        <row r="5346">
          <cell r="E5346" t="str">
            <v>D25016983</v>
          </cell>
          <cell r="AP5346">
            <v>0</v>
          </cell>
          <cell r="AQ5346">
            <v>0</v>
          </cell>
          <cell r="AV5346">
            <v>0</v>
          </cell>
        </row>
        <row r="5347">
          <cell r="E5347" t="str">
            <v>D25017237</v>
          </cell>
          <cell r="AP5347">
            <v>0</v>
          </cell>
          <cell r="AQ5347">
            <v>0</v>
          </cell>
          <cell r="AV5347">
            <v>0</v>
          </cell>
        </row>
        <row r="5348">
          <cell r="E5348" t="str">
            <v>D25017247</v>
          </cell>
          <cell r="AP5348">
            <v>0</v>
          </cell>
          <cell r="AQ5348">
            <v>0</v>
          </cell>
          <cell r="AV5348">
            <v>0</v>
          </cell>
        </row>
        <row r="5349">
          <cell r="E5349" t="str">
            <v>B25015169</v>
          </cell>
          <cell r="AP5349">
            <v>0</v>
          </cell>
          <cell r="AQ5349">
            <v>0</v>
          </cell>
          <cell r="AV5349">
            <v>0</v>
          </cell>
        </row>
        <row r="5350">
          <cell r="E5350" t="str">
            <v>D25018067</v>
          </cell>
          <cell r="AP5350">
            <v>0</v>
          </cell>
          <cell r="AQ5350">
            <v>0</v>
          </cell>
          <cell r="AV5350">
            <v>0</v>
          </cell>
        </row>
        <row r="5351">
          <cell r="E5351" t="str">
            <v>D25018084</v>
          </cell>
          <cell r="AP5351">
            <v>0</v>
          </cell>
          <cell r="AQ5351">
            <v>0</v>
          </cell>
          <cell r="AV5351">
            <v>0</v>
          </cell>
        </row>
        <row r="5352">
          <cell r="E5352" t="str">
            <v>B25016237</v>
          </cell>
          <cell r="AP5352">
            <v>0</v>
          </cell>
          <cell r="AQ5352">
            <v>0</v>
          </cell>
          <cell r="AV5352">
            <v>0</v>
          </cell>
        </row>
        <row r="5353">
          <cell r="E5353" t="str">
            <v>D25019227</v>
          </cell>
          <cell r="AP5353">
            <v>0</v>
          </cell>
          <cell r="AQ5353">
            <v>0</v>
          </cell>
          <cell r="AV5353">
            <v>0</v>
          </cell>
        </row>
        <row r="5354">
          <cell r="E5354" t="str">
            <v>D25019279</v>
          </cell>
          <cell r="AP5354">
            <v>0</v>
          </cell>
          <cell r="AQ5354">
            <v>0</v>
          </cell>
          <cell r="AV5354">
            <v>0</v>
          </cell>
        </row>
        <row r="5355">
          <cell r="E5355" t="str">
            <v>D26001292</v>
          </cell>
          <cell r="AP5355">
            <v>0</v>
          </cell>
          <cell r="AQ5355">
            <v>0</v>
          </cell>
          <cell r="AV5355">
            <v>0</v>
          </cell>
        </row>
        <row r="5356">
          <cell r="E5356" t="str">
            <v>D26001420</v>
          </cell>
          <cell r="AP5356">
            <v>0</v>
          </cell>
          <cell r="AQ5356">
            <v>0</v>
          </cell>
          <cell r="AV5356">
            <v>0</v>
          </cell>
        </row>
        <row r="5357">
          <cell r="E5357" t="str">
            <v>D26001523</v>
          </cell>
          <cell r="AP5357">
            <v>0</v>
          </cell>
          <cell r="AQ5357">
            <v>0</v>
          </cell>
          <cell r="AV5357">
            <v>0</v>
          </cell>
        </row>
        <row r="5358">
          <cell r="E5358" t="str">
            <v>D26001981</v>
          </cell>
          <cell r="AP5358">
            <v>0</v>
          </cell>
          <cell r="AQ5358">
            <v>0</v>
          </cell>
          <cell r="AV5358">
            <v>0</v>
          </cell>
        </row>
        <row r="5359">
          <cell r="E5359" t="str">
            <v>D26002085</v>
          </cell>
          <cell r="AP5359">
            <v>0</v>
          </cell>
          <cell r="AQ5359">
            <v>0</v>
          </cell>
          <cell r="AV5359">
            <v>0</v>
          </cell>
        </row>
        <row r="5360">
          <cell r="E5360" t="str">
            <v>D25018655</v>
          </cell>
          <cell r="AP5360">
            <v>0</v>
          </cell>
          <cell r="AQ5360">
            <v>0</v>
          </cell>
          <cell r="AV5360">
            <v>0</v>
          </cell>
        </row>
        <row r="5361">
          <cell r="E5361" t="str">
            <v>B26000006</v>
          </cell>
          <cell r="AP5361">
            <v>0</v>
          </cell>
          <cell r="AQ5361">
            <v>0</v>
          </cell>
          <cell r="AV5361">
            <v>0</v>
          </cell>
        </row>
        <row r="5362">
          <cell r="E5362" t="str">
            <v>B26001702</v>
          </cell>
          <cell r="AP5362">
            <v>0</v>
          </cell>
          <cell r="AQ5362">
            <v>0</v>
          </cell>
          <cell r="AV5362">
            <v>3750000</v>
          </cell>
        </row>
        <row r="5363">
          <cell r="E5363" t="str">
            <v>B26001309</v>
          </cell>
          <cell r="AP5363">
            <v>0</v>
          </cell>
          <cell r="AQ5363">
            <v>0</v>
          </cell>
          <cell r="AV5363">
            <v>0</v>
          </cell>
        </row>
        <row r="5364">
          <cell r="E5364" t="str">
            <v>D26000429</v>
          </cell>
          <cell r="AP5364">
            <v>0</v>
          </cell>
          <cell r="AQ5364">
            <v>0</v>
          </cell>
          <cell r="AV5364">
            <v>0</v>
          </cell>
        </row>
        <row r="5365">
          <cell r="E5365" t="str">
            <v>B26001839</v>
          </cell>
          <cell r="AP5365">
            <v>0</v>
          </cell>
          <cell r="AQ5365">
            <v>0</v>
          </cell>
          <cell r="AV5365">
            <v>650000</v>
          </cell>
        </row>
        <row r="5366">
          <cell r="E5366" t="str">
            <v>B26001865</v>
          </cell>
          <cell r="AP5366">
            <v>0</v>
          </cell>
          <cell r="AQ5366">
            <v>0</v>
          </cell>
          <cell r="AV5366">
            <v>1220000</v>
          </cell>
        </row>
        <row r="5367">
          <cell r="E5367" t="str">
            <v>B25014885</v>
          </cell>
          <cell r="AP5367">
            <v>0</v>
          </cell>
          <cell r="AQ5367">
            <v>0</v>
          </cell>
          <cell r="AV5367">
            <v>7339825</v>
          </cell>
        </row>
        <row r="5368">
          <cell r="E5368" t="str">
            <v>B25014906</v>
          </cell>
          <cell r="AP5368">
            <v>0</v>
          </cell>
          <cell r="AQ5368">
            <v>0</v>
          </cell>
          <cell r="AV5368">
            <v>39050000</v>
          </cell>
        </row>
        <row r="5369">
          <cell r="E5369" t="str">
            <v>D25017502</v>
          </cell>
          <cell r="AP5369">
            <v>0</v>
          </cell>
          <cell r="AQ5369">
            <v>0</v>
          </cell>
          <cell r="AV5369">
            <v>32000000</v>
          </cell>
        </row>
        <row r="5370">
          <cell r="E5370" t="str">
            <v>B25015265</v>
          </cell>
          <cell r="AP5370">
            <v>0</v>
          </cell>
          <cell r="AQ5370">
            <v>0</v>
          </cell>
          <cell r="AV5370">
            <v>23310000</v>
          </cell>
        </row>
        <row r="5371">
          <cell r="E5371" t="str">
            <v>B25015320</v>
          </cell>
          <cell r="AP5371">
            <v>0</v>
          </cell>
          <cell r="AQ5371">
            <v>0</v>
          </cell>
          <cell r="AV5371">
            <v>97125000</v>
          </cell>
        </row>
        <row r="5372">
          <cell r="E5372" t="str">
            <v>D25017811</v>
          </cell>
          <cell r="AP5372">
            <v>0</v>
          </cell>
          <cell r="AQ5372">
            <v>0</v>
          </cell>
          <cell r="AV5372">
            <v>0</v>
          </cell>
        </row>
        <row r="5373">
          <cell r="E5373" t="str">
            <v>D25017841</v>
          </cell>
          <cell r="AP5373">
            <v>0</v>
          </cell>
          <cell r="AQ5373">
            <v>0</v>
          </cell>
          <cell r="AV5373">
            <v>0</v>
          </cell>
        </row>
        <row r="5374">
          <cell r="E5374" t="str">
            <v>B25015718</v>
          </cell>
          <cell r="AP5374">
            <v>0</v>
          </cell>
          <cell r="AQ5374">
            <v>0</v>
          </cell>
          <cell r="AV5374">
            <v>0</v>
          </cell>
        </row>
        <row r="5375">
          <cell r="E5375" t="str">
            <v>B25015859</v>
          </cell>
          <cell r="AP5375">
            <v>0</v>
          </cell>
          <cell r="AQ5375">
            <v>0</v>
          </cell>
          <cell r="AV5375">
            <v>1175175</v>
          </cell>
        </row>
        <row r="5376">
          <cell r="E5376" t="str">
            <v>D25018274</v>
          </cell>
          <cell r="AP5376">
            <v>0</v>
          </cell>
          <cell r="AQ5376">
            <v>0</v>
          </cell>
          <cell r="AV5376">
            <v>0</v>
          </cell>
        </row>
        <row r="5377">
          <cell r="E5377" t="str">
            <v>B25016836</v>
          </cell>
          <cell r="AP5377">
            <v>0</v>
          </cell>
          <cell r="AQ5377">
            <v>0</v>
          </cell>
          <cell r="AV5377">
            <v>0</v>
          </cell>
        </row>
        <row r="5378">
          <cell r="E5378" t="str">
            <v>B25016874</v>
          </cell>
          <cell r="AP5378">
            <v>0</v>
          </cell>
          <cell r="AQ5378">
            <v>0</v>
          </cell>
          <cell r="AV5378">
            <v>0</v>
          </cell>
        </row>
        <row r="5379">
          <cell r="E5379" t="str">
            <v>B26000337</v>
          </cell>
          <cell r="AP5379">
            <v>0</v>
          </cell>
          <cell r="AQ5379">
            <v>0</v>
          </cell>
          <cell r="AV5379">
            <v>0</v>
          </cell>
        </row>
        <row r="5380">
          <cell r="E5380" t="str">
            <v>D26000722</v>
          </cell>
          <cell r="AP5380">
            <v>0</v>
          </cell>
          <cell r="AQ5380">
            <v>0</v>
          </cell>
          <cell r="AV5380">
            <v>0</v>
          </cell>
        </row>
        <row r="5381">
          <cell r="E5381" t="str">
            <v>D26000854</v>
          </cell>
          <cell r="AP5381">
            <v>0</v>
          </cell>
          <cell r="AQ5381">
            <v>0</v>
          </cell>
          <cell r="AV5381">
            <v>0</v>
          </cell>
        </row>
        <row r="5382">
          <cell r="E5382" t="str">
            <v>B26001867</v>
          </cell>
          <cell r="AP5382">
            <v>0</v>
          </cell>
          <cell r="AQ5382">
            <v>0</v>
          </cell>
          <cell r="AV5382">
            <v>0</v>
          </cell>
        </row>
        <row r="5383">
          <cell r="E5383" t="str">
            <v>D26001994</v>
          </cell>
          <cell r="AP5383">
            <v>0</v>
          </cell>
          <cell r="AQ5383">
            <v>0</v>
          </cell>
          <cell r="AV5383">
            <v>0</v>
          </cell>
        </row>
        <row r="5384">
          <cell r="E5384" t="str">
            <v>D26000362</v>
          </cell>
          <cell r="AP5384">
            <v>0</v>
          </cell>
          <cell r="AQ5384">
            <v>0</v>
          </cell>
          <cell r="AV5384">
            <v>0</v>
          </cell>
        </row>
        <row r="5385">
          <cell r="E5385" t="str">
            <v>D26000822</v>
          </cell>
          <cell r="AP5385">
            <v>0</v>
          </cell>
          <cell r="AQ5385">
            <v>0</v>
          </cell>
          <cell r="AV5385">
            <v>0</v>
          </cell>
        </row>
        <row r="5386">
          <cell r="E5386" t="str">
            <v>B26001799</v>
          </cell>
          <cell r="AP5386">
            <v>0</v>
          </cell>
          <cell r="AQ5386">
            <v>0</v>
          </cell>
          <cell r="AV5386">
            <v>0</v>
          </cell>
        </row>
        <row r="5387">
          <cell r="E5387" t="str">
            <v>B26001800</v>
          </cell>
          <cell r="AP5387">
            <v>0</v>
          </cell>
          <cell r="AQ5387">
            <v>0</v>
          </cell>
          <cell r="AV5387">
            <v>0</v>
          </cell>
        </row>
        <row r="5388">
          <cell r="E5388" t="str">
            <v>B26001862</v>
          </cell>
          <cell r="AP5388">
            <v>0</v>
          </cell>
          <cell r="AQ5388">
            <v>0</v>
          </cell>
          <cell r="AV5388">
            <v>0</v>
          </cell>
        </row>
        <row r="5389">
          <cell r="E5389" t="str">
            <v>B25016188</v>
          </cell>
          <cell r="AP5389">
            <v>0</v>
          </cell>
          <cell r="AQ5389">
            <v>0</v>
          </cell>
          <cell r="AV5389">
            <v>8560000</v>
          </cell>
        </row>
        <row r="5390">
          <cell r="E5390" t="str">
            <v>B26000859</v>
          </cell>
          <cell r="AP5390">
            <v>0</v>
          </cell>
          <cell r="AQ5390">
            <v>0</v>
          </cell>
          <cell r="AV5390">
            <v>0</v>
          </cell>
        </row>
        <row r="5391">
          <cell r="E5391" t="str">
            <v>T25001868</v>
          </cell>
          <cell r="AP5391">
            <v>0</v>
          </cell>
          <cell r="AQ5391">
            <v>0</v>
          </cell>
          <cell r="AV5391">
            <v>0</v>
          </cell>
        </row>
        <row r="5392">
          <cell r="E5392" t="str">
            <v>D25018771</v>
          </cell>
          <cell r="AP5392">
            <v>0</v>
          </cell>
          <cell r="AQ5392">
            <v>0</v>
          </cell>
          <cell r="AV5392">
            <v>0</v>
          </cell>
        </row>
        <row r="5393">
          <cell r="E5393" t="str">
            <v>T26000066k</v>
          </cell>
          <cell r="AP5393">
            <v>0</v>
          </cell>
          <cell r="AQ5393">
            <v>0</v>
          </cell>
          <cell r="AV5393">
            <v>0</v>
          </cell>
        </row>
        <row r="5394">
          <cell r="E5394" t="str">
            <v>B26001273</v>
          </cell>
          <cell r="AP5394">
            <v>0</v>
          </cell>
          <cell r="AQ5394">
            <v>0</v>
          </cell>
          <cell r="AV5394">
            <v>0</v>
          </cell>
        </row>
        <row r="5395">
          <cell r="E5395" t="str">
            <v>B26001831</v>
          </cell>
          <cell r="AP5395">
            <v>0</v>
          </cell>
          <cell r="AQ5395">
            <v>0</v>
          </cell>
          <cell r="AV5395">
            <v>0</v>
          </cell>
        </row>
        <row r="5396">
          <cell r="E5396" t="str">
            <v>T25001818</v>
          </cell>
          <cell r="AP5396">
            <v>0</v>
          </cell>
          <cell r="AQ5396">
            <v>0</v>
          </cell>
          <cell r="AV5396">
            <v>0</v>
          </cell>
        </row>
        <row r="5397">
          <cell r="E5397" t="str">
            <v>D26001692</v>
          </cell>
          <cell r="AP5397">
            <v>0</v>
          </cell>
          <cell r="AQ5397">
            <v>0</v>
          </cell>
          <cell r="AV5397">
            <v>40000000</v>
          </cell>
        </row>
        <row r="5398">
          <cell r="E5398" t="str">
            <v>B26001944</v>
          </cell>
          <cell r="AP5398">
            <v>0</v>
          </cell>
          <cell r="AQ5398">
            <v>0</v>
          </cell>
          <cell r="AV5398">
            <v>0</v>
          </cell>
        </row>
        <row r="5399">
          <cell r="E5399" t="str">
            <v>B26000454</v>
          </cell>
          <cell r="AP5399">
            <v>0</v>
          </cell>
          <cell r="AQ5399">
            <v>0</v>
          </cell>
          <cell r="AV5399">
            <v>0</v>
          </cell>
        </row>
        <row r="5400">
          <cell r="E5400" t="str">
            <v>T25001515k</v>
          </cell>
          <cell r="AP5400">
            <v>0</v>
          </cell>
          <cell r="AQ5400">
            <v>0</v>
          </cell>
          <cell r="AV5400">
            <v>0</v>
          </cell>
        </row>
        <row r="5401">
          <cell r="E5401" t="str">
            <v>T25001519K</v>
          </cell>
          <cell r="AP5401">
            <v>0</v>
          </cell>
          <cell r="AQ5401">
            <v>0</v>
          </cell>
          <cell r="AV5401">
            <v>0</v>
          </cell>
        </row>
        <row r="5402">
          <cell r="E5402" t="str">
            <v>D26001011</v>
          </cell>
          <cell r="AP5402">
            <v>0</v>
          </cell>
          <cell r="AQ5402">
            <v>0</v>
          </cell>
          <cell r="AV5402">
            <v>9800000</v>
          </cell>
        </row>
        <row r="5403">
          <cell r="E5403" t="str">
            <v>B26001009</v>
          </cell>
          <cell r="AP5403">
            <v>0</v>
          </cell>
          <cell r="AQ5403">
            <v>0</v>
          </cell>
          <cell r="AV5403">
            <v>2880000</v>
          </cell>
        </row>
        <row r="5404">
          <cell r="E5404" t="str">
            <v>B26000739</v>
          </cell>
          <cell r="AP5404">
            <v>0</v>
          </cell>
          <cell r="AQ5404">
            <v>0</v>
          </cell>
          <cell r="AV5404">
            <v>0</v>
          </cell>
        </row>
        <row r="5405">
          <cell r="E5405" t="str">
            <v>B26001298</v>
          </cell>
          <cell r="AP5405">
            <v>0</v>
          </cell>
          <cell r="AQ5405">
            <v>0</v>
          </cell>
          <cell r="AV5405">
            <v>0</v>
          </cell>
        </row>
        <row r="5406">
          <cell r="E5406" t="str">
            <v>D26001646</v>
          </cell>
          <cell r="AP5406">
            <v>0</v>
          </cell>
          <cell r="AQ5406">
            <v>0</v>
          </cell>
          <cell r="AV5406">
            <v>0</v>
          </cell>
        </row>
        <row r="5407">
          <cell r="E5407" t="str">
            <v>B25013109</v>
          </cell>
          <cell r="AP5407">
            <v>0</v>
          </cell>
          <cell r="AQ5407">
            <v>0</v>
          </cell>
          <cell r="AV5407">
            <v>12735000</v>
          </cell>
        </row>
        <row r="5408">
          <cell r="E5408" t="str">
            <v>D25015675</v>
          </cell>
          <cell r="AP5408">
            <v>0</v>
          </cell>
          <cell r="AQ5408">
            <v>0</v>
          </cell>
          <cell r="AV5408">
            <v>0</v>
          </cell>
        </row>
        <row r="5409">
          <cell r="E5409" t="str">
            <v>B25014895</v>
          </cell>
          <cell r="AP5409">
            <v>0</v>
          </cell>
          <cell r="AQ5409">
            <v>0</v>
          </cell>
          <cell r="AV5409">
            <v>0</v>
          </cell>
        </row>
        <row r="5410">
          <cell r="E5410" t="str">
            <v>D25017233</v>
          </cell>
          <cell r="AP5410">
            <v>0</v>
          </cell>
          <cell r="AQ5410">
            <v>0</v>
          </cell>
          <cell r="AV5410">
            <v>0</v>
          </cell>
        </row>
        <row r="5411">
          <cell r="E5411" t="str">
            <v>B25015497</v>
          </cell>
          <cell r="AP5411">
            <v>0</v>
          </cell>
          <cell r="AQ5411">
            <v>0</v>
          </cell>
          <cell r="AV5411">
            <v>0</v>
          </cell>
        </row>
        <row r="5412">
          <cell r="E5412" t="str">
            <v>B25015498</v>
          </cell>
          <cell r="AP5412">
            <v>0</v>
          </cell>
          <cell r="AQ5412">
            <v>0</v>
          </cell>
          <cell r="AV5412">
            <v>0</v>
          </cell>
        </row>
        <row r="5413">
          <cell r="E5413" t="str">
            <v>B25015508</v>
          </cell>
          <cell r="AP5413">
            <v>0</v>
          </cell>
          <cell r="AQ5413">
            <v>0</v>
          </cell>
          <cell r="AV5413">
            <v>0</v>
          </cell>
        </row>
        <row r="5414">
          <cell r="E5414" t="str">
            <v>B25015667</v>
          </cell>
          <cell r="AP5414">
            <v>0</v>
          </cell>
          <cell r="AQ5414">
            <v>0</v>
          </cell>
          <cell r="AV5414">
            <v>0</v>
          </cell>
        </row>
        <row r="5415">
          <cell r="E5415" t="str">
            <v>B25015981</v>
          </cell>
          <cell r="AP5415">
            <v>0</v>
          </cell>
          <cell r="AQ5415">
            <v>0</v>
          </cell>
          <cell r="AV5415">
            <v>0</v>
          </cell>
        </row>
        <row r="5416">
          <cell r="E5416" t="str">
            <v>T25001821</v>
          </cell>
          <cell r="AP5416">
            <v>0</v>
          </cell>
          <cell r="AQ5416">
            <v>0</v>
          </cell>
          <cell r="AV5416">
            <v>0</v>
          </cell>
        </row>
        <row r="5417">
          <cell r="E5417" t="str">
            <v>D25018765</v>
          </cell>
          <cell r="AP5417">
            <v>0</v>
          </cell>
          <cell r="AQ5417">
            <v>0</v>
          </cell>
          <cell r="AV5417">
            <v>0</v>
          </cell>
        </row>
        <row r="5418">
          <cell r="E5418" t="str">
            <v>B25016753</v>
          </cell>
          <cell r="AP5418">
            <v>0</v>
          </cell>
          <cell r="AQ5418">
            <v>0</v>
          </cell>
          <cell r="AV5418">
            <v>0</v>
          </cell>
        </row>
        <row r="5419">
          <cell r="E5419" t="str">
            <v>T25001877</v>
          </cell>
          <cell r="AP5419">
            <v>0</v>
          </cell>
          <cell r="AQ5419">
            <v>0</v>
          </cell>
          <cell r="AV5419">
            <v>0</v>
          </cell>
        </row>
        <row r="5420">
          <cell r="E5420" t="str">
            <v>B25016907</v>
          </cell>
          <cell r="AP5420">
            <v>0</v>
          </cell>
          <cell r="AQ5420">
            <v>0</v>
          </cell>
          <cell r="AV5420">
            <v>0</v>
          </cell>
        </row>
        <row r="5421">
          <cell r="E5421" t="str">
            <v>B25016909</v>
          </cell>
          <cell r="AP5421">
            <v>0</v>
          </cell>
          <cell r="AQ5421">
            <v>0</v>
          </cell>
          <cell r="AV5421">
            <v>0</v>
          </cell>
        </row>
        <row r="5422">
          <cell r="E5422" t="str">
            <v>D26000033</v>
          </cell>
          <cell r="AP5422">
            <v>0</v>
          </cell>
          <cell r="AQ5422">
            <v>0</v>
          </cell>
          <cell r="AV5422">
            <v>0</v>
          </cell>
        </row>
        <row r="5423">
          <cell r="E5423" t="str">
            <v>D26000041</v>
          </cell>
          <cell r="AP5423">
            <v>0</v>
          </cell>
          <cell r="AQ5423">
            <v>0</v>
          </cell>
          <cell r="AV5423">
            <v>0</v>
          </cell>
        </row>
        <row r="5424">
          <cell r="E5424" t="str">
            <v>D26000042</v>
          </cell>
          <cell r="AP5424">
            <v>0</v>
          </cell>
          <cell r="AQ5424">
            <v>0</v>
          </cell>
          <cell r="AV5424">
            <v>0</v>
          </cell>
        </row>
        <row r="5425">
          <cell r="E5425" t="str">
            <v>B26000271</v>
          </cell>
          <cell r="AP5425">
            <v>0</v>
          </cell>
          <cell r="AQ5425">
            <v>0</v>
          </cell>
          <cell r="AV5425">
            <v>0</v>
          </cell>
        </row>
        <row r="5426">
          <cell r="E5426" t="str">
            <v>B26000335</v>
          </cell>
          <cell r="AP5426">
            <v>0</v>
          </cell>
          <cell r="AQ5426">
            <v>0</v>
          </cell>
          <cell r="AV5426">
            <v>0</v>
          </cell>
        </row>
        <row r="5427">
          <cell r="E5427" t="str">
            <v>D26000591</v>
          </cell>
          <cell r="AP5427">
            <v>0</v>
          </cell>
          <cell r="AQ5427">
            <v>0</v>
          </cell>
          <cell r="AV5427">
            <v>0</v>
          </cell>
        </row>
        <row r="5428">
          <cell r="E5428" t="str">
            <v>D26000816</v>
          </cell>
          <cell r="AP5428">
            <v>0</v>
          </cell>
          <cell r="AQ5428">
            <v>0</v>
          </cell>
          <cell r="AV5428">
            <v>0</v>
          </cell>
        </row>
        <row r="5429">
          <cell r="E5429" t="str">
            <v>D26000831</v>
          </cell>
          <cell r="AP5429">
            <v>0</v>
          </cell>
          <cell r="AQ5429">
            <v>0</v>
          </cell>
          <cell r="AV5429">
            <v>0</v>
          </cell>
        </row>
        <row r="5430">
          <cell r="E5430" t="str">
            <v>B26001161</v>
          </cell>
          <cell r="AP5430">
            <v>0</v>
          </cell>
          <cell r="AQ5430">
            <v>0</v>
          </cell>
          <cell r="AV5430">
            <v>0</v>
          </cell>
        </row>
        <row r="5431">
          <cell r="E5431" t="str">
            <v>D26001238</v>
          </cell>
          <cell r="AP5431">
            <v>0</v>
          </cell>
          <cell r="AQ5431">
            <v>0</v>
          </cell>
          <cell r="AV5431">
            <v>0</v>
          </cell>
        </row>
        <row r="5432">
          <cell r="E5432" t="str">
            <v>D26001378</v>
          </cell>
          <cell r="AP5432">
            <v>0</v>
          </cell>
          <cell r="AQ5432">
            <v>0</v>
          </cell>
          <cell r="AV5432">
            <v>0</v>
          </cell>
        </row>
        <row r="5433">
          <cell r="E5433" t="str">
            <v>D26001908</v>
          </cell>
          <cell r="AP5433">
            <v>0</v>
          </cell>
          <cell r="AQ5433">
            <v>0</v>
          </cell>
          <cell r="AV5433">
            <v>0</v>
          </cell>
        </row>
        <row r="5434">
          <cell r="E5434" t="str">
            <v>B26001950</v>
          </cell>
          <cell r="AP5434">
            <v>0</v>
          </cell>
          <cell r="AQ5434">
            <v>0</v>
          </cell>
          <cell r="AV5434">
            <v>0</v>
          </cell>
        </row>
        <row r="5435">
          <cell r="E5435" t="str">
            <v>D26002060</v>
          </cell>
          <cell r="AP5435">
            <v>0</v>
          </cell>
          <cell r="AQ5435">
            <v>0</v>
          </cell>
          <cell r="AV5435">
            <v>0</v>
          </cell>
        </row>
        <row r="5436">
          <cell r="E5436" t="str">
            <v>D25018155</v>
          </cell>
          <cell r="AP5436">
            <v>0</v>
          </cell>
          <cell r="AQ5436">
            <v>0</v>
          </cell>
          <cell r="AV5436">
            <v>0</v>
          </cell>
        </row>
        <row r="5437">
          <cell r="E5437" t="str">
            <v>B25015911</v>
          </cell>
          <cell r="AP5437">
            <v>0</v>
          </cell>
          <cell r="AQ5437">
            <v>0</v>
          </cell>
          <cell r="AV5437">
            <v>0</v>
          </cell>
        </row>
        <row r="5438">
          <cell r="E5438" t="str">
            <v>B25016190</v>
          </cell>
          <cell r="AP5438">
            <v>0</v>
          </cell>
          <cell r="AQ5438">
            <v>0</v>
          </cell>
          <cell r="AV5438">
            <v>0</v>
          </cell>
        </row>
        <row r="5439">
          <cell r="E5439" t="str">
            <v>D26000593</v>
          </cell>
          <cell r="AP5439">
            <v>0</v>
          </cell>
          <cell r="AQ5439">
            <v>0</v>
          </cell>
          <cell r="AV5439">
            <v>0</v>
          </cell>
        </row>
        <row r="5440">
          <cell r="E5440" t="str">
            <v>D26000732</v>
          </cell>
          <cell r="AP5440">
            <v>0</v>
          </cell>
          <cell r="AQ5440">
            <v>0</v>
          </cell>
          <cell r="AV5440">
            <v>0</v>
          </cell>
        </row>
        <row r="5441">
          <cell r="E5441" t="str">
            <v>B26000718</v>
          </cell>
          <cell r="AP5441">
            <v>0</v>
          </cell>
          <cell r="AQ5441">
            <v>0</v>
          </cell>
          <cell r="AV5441">
            <v>0</v>
          </cell>
        </row>
        <row r="5442">
          <cell r="E5442" t="str">
            <v>D26001206</v>
          </cell>
          <cell r="AP5442">
            <v>0</v>
          </cell>
          <cell r="AQ5442">
            <v>0</v>
          </cell>
          <cell r="AV5442">
            <v>0</v>
          </cell>
        </row>
        <row r="5443">
          <cell r="E5443" t="str">
            <v>B26001142</v>
          </cell>
          <cell r="AP5443">
            <v>0</v>
          </cell>
          <cell r="AQ5443">
            <v>0</v>
          </cell>
          <cell r="AV5443">
            <v>0</v>
          </cell>
        </row>
        <row r="5444">
          <cell r="E5444" t="str">
            <v>B26001158</v>
          </cell>
          <cell r="AP5444">
            <v>0</v>
          </cell>
          <cell r="AQ5444">
            <v>0</v>
          </cell>
          <cell r="AV5444">
            <v>0</v>
          </cell>
        </row>
        <row r="5445">
          <cell r="E5445" t="str">
            <v>D26001411</v>
          </cell>
          <cell r="AP5445">
            <v>0</v>
          </cell>
          <cell r="AQ5445">
            <v>0</v>
          </cell>
          <cell r="AV5445">
            <v>0</v>
          </cell>
        </row>
        <row r="5446">
          <cell r="E5446" t="str">
            <v>D26001470</v>
          </cell>
          <cell r="AP5446">
            <v>0</v>
          </cell>
          <cell r="AQ5446">
            <v>0</v>
          </cell>
          <cell r="AV5446">
            <v>0</v>
          </cell>
        </row>
        <row r="5447">
          <cell r="E5447" t="str">
            <v>D26000488</v>
          </cell>
          <cell r="AP5447">
            <v>0</v>
          </cell>
          <cell r="AQ5447">
            <v>0</v>
          </cell>
          <cell r="AV5447">
            <v>0</v>
          </cell>
        </row>
        <row r="5448">
          <cell r="E5448" t="str">
            <v>D26000489</v>
          </cell>
          <cell r="AP5448">
            <v>0</v>
          </cell>
          <cell r="AQ5448">
            <v>0</v>
          </cell>
          <cell r="AV5448">
            <v>0</v>
          </cell>
        </row>
        <row r="5449">
          <cell r="E5449" t="str">
            <v>D25018575</v>
          </cell>
          <cell r="AP5449">
            <v>0</v>
          </cell>
          <cell r="AQ5449">
            <v>0</v>
          </cell>
          <cell r="AV5449">
            <v>0</v>
          </cell>
        </row>
        <row r="5450">
          <cell r="E5450" t="str">
            <v>D25019428</v>
          </cell>
          <cell r="AP5450">
            <v>0</v>
          </cell>
          <cell r="AQ5450">
            <v>0</v>
          </cell>
          <cell r="AV5450">
            <v>0</v>
          </cell>
        </row>
        <row r="5451">
          <cell r="E5451" t="str">
            <v>B25016970</v>
          </cell>
          <cell r="AP5451">
            <v>0</v>
          </cell>
          <cell r="AQ5451">
            <v>0</v>
          </cell>
          <cell r="AV5451">
            <v>0</v>
          </cell>
        </row>
        <row r="5452">
          <cell r="E5452" t="str">
            <v>B26000386</v>
          </cell>
          <cell r="AP5452">
            <v>0</v>
          </cell>
          <cell r="AQ5452">
            <v>0</v>
          </cell>
          <cell r="AV5452">
            <v>0</v>
          </cell>
        </row>
        <row r="5453">
          <cell r="E5453" t="str">
            <v>B26000388</v>
          </cell>
          <cell r="AP5453">
            <v>0</v>
          </cell>
          <cell r="AQ5453">
            <v>0</v>
          </cell>
          <cell r="AV5453">
            <v>0</v>
          </cell>
        </row>
        <row r="5454">
          <cell r="E5454" t="str">
            <v>B26000443</v>
          </cell>
          <cell r="AP5454">
            <v>0</v>
          </cell>
          <cell r="AQ5454">
            <v>0</v>
          </cell>
          <cell r="AV5454">
            <v>0</v>
          </cell>
        </row>
        <row r="5455">
          <cell r="E5455" t="str">
            <v>B26000476</v>
          </cell>
          <cell r="AP5455">
            <v>0</v>
          </cell>
          <cell r="AQ5455">
            <v>0</v>
          </cell>
          <cell r="AV5455">
            <v>0</v>
          </cell>
        </row>
        <row r="5456">
          <cell r="E5456" t="str">
            <v>B26001014</v>
          </cell>
          <cell r="AP5456">
            <v>0</v>
          </cell>
          <cell r="AQ5456">
            <v>0</v>
          </cell>
          <cell r="AV5456">
            <v>0</v>
          </cell>
        </row>
        <row r="5457">
          <cell r="E5457" t="str">
            <v>B26001027</v>
          </cell>
          <cell r="AP5457">
            <v>0</v>
          </cell>
          <cell r="AQ5457">
            <v>0</v>
          </cell>
          <cell r="AV5457">
            <v>0</v>
          </cell>
        </row>
        <row r="5458">
          <cell r="E5458" t="str">
            <v>T26000101</v>
          </cell>
          <cell r="AP5458">
            <v>0</v>
          </cell>
          <cell r="AQ5458">
            <v>0</v>
          </cell>
          <cell r="AV5458">
            <v>0</v>
          </cell>
        </row>
        <row r="5459">
          <cell r="E5459" t="str">
            <v>B26001926</v>
          </cell>
          <cell r="AP5459">
            <v>0</v>
          </cell>
          <cell r="AQ5459">
            <v>0</v>
          </cell>
          <cell r="AV5459">
            <v>0</v>
          </cell>
        </row>
        <row r="5460">
          <cell r="E5460" t="str">
            <v>B26001927</v>
          </cell>
          <cell r="AP5460">
            <v>0</v>
          </cell>
          <cell r="AQ5460">
            <v>0</v>
          </cell>
          <cell r="AV5460">
            <v>0</v>
          </cell>
        </row>
        <row r="5461">
          <cell r="E5461" t="str">
            <v>B25014153</v>
          </cell>
          <cell r="AP5461">
            <v>0</v>
          </cell>
          <cell r="AQ5461">
            <v>0</v>
          </cell>
          <cell r="AV5461">
            <v>0</v>
          </cell>
        </row>
        <row r="5462">
          <cell r="E5462" t="str">
            <v>B25014241</v>
          </cell>
          <cell r="AP5462">
            <v>0</v>
          </cell>
          <cell r="AQ5462">
            <v>0</v>
          </cell>
          <cell r="AV5462">
            <v>0</v>
          </cell>
        </row>
        <row r="5463">
          <cell r="E5463" t="str">
            <v>B25014610</v>
          </cell>
          <cell r="AP5463">
            <v>0</v>
          </cell>
          <cell r="AQ5463">
            <v>0</v>
          </cell>
          <cell r="AV5463">
            <v>0</v>
          </cell>
        </row>
        <row r="5464">
          <cell r="E5464" t="str">
            <v>B25015061</v>
          </cell>
          <cell r="AP5464">
            <v>0</v>
          </cell>
          <cell r="AQ5464">
            <v>0</v>
          </cell>
          <cell r="AV5464">
            <v>0</v>
          </cell>
        </row>
        <row r="5465">
          <cell r="E5465" t="str">
            <v>B25015063</v>
          </cell>
          <cell r="AP5465">
            <v>0</v>
          </cell>
          <cell r="AQ5465">
            <v>0</v>
          </cell>
          <cell r="AV5465">
            <v>0</v>
          </cell>
        </row>
        <row r="5466">
          <cell r="E5466" t="str">
            <v>D25017643</v>
          </cell>
          <cell r="AP5466">
            <v>0</v>
          </cell>
          <cell r="AQ5466">
            <v>0</v>
          </cell>
          <cell r="AV5466">
            <v>0</v>
          </cell>
        </row>
        <row r="5467">
          <cell r="E5467" t="str">
            <v>B25015410</v>
          </cell>
          <cell r="AP5467">
            <v>0</v>
          </cell>
          <cell r="AQ5467">
            <v>0</v>
          </cell>
          <cell r="AV5467">
            <v>0</v>
          </cell>
        </row>
        <row r="5468">
          <cell r="E5468" t="str">
            <v>B25015462</v>
          </cell>
          <cell r="AP5468">
            <v>0</v>
          </cell>
          <cell r="AQ5468">
            <v>0</v>
          </cell>
          <cell r="AV5468">
            <v>0</v>
          </cell>
        </row>
        <row r="5469">
          <cell r="E5469" t="str">
            <v>D25018207</v>
          </cell>
          <cell r="AP5469">
            <v>0</v>
          </cell>
          <cell r="AQ5469">
            <v>0</v>
          </cell>
          <cell r="AV5469">
            <v>0</v>
          </cell>
        </row>
        <row r="5470">
          <cell r="E5470" t="str">
            <v>D25019018</v>
          </cell>
          <cell r="AP5470">
            <v>0</v>
          </cell>
          <cell r="AQ5470">
            <v>0</v>
          </cell>
          <cell r="AV5470">
            <v>0</v>
          </cell>
        </row>
        <row r="5471">
          <cell r="E5471" t="str">
            <v>D25019607</v>
          </cell>
          <cell r="AP5471">
            <v>0</v>
          </cell>
          <cell r="AQ5471">
            <v>0</v>
          </cell>
          <cell r="AV5471">
            <v>0</v>
          </cell>
        </row>
        <row r="5472">
          <cell r="E5472" t="str">
            <v>B26000124</v>
          </cell>
          <cell r="AP5472">
            <v>0</v>
          </cell>
          <cell r="AQ5472">
            <v>0</v>
          </cell>
          <cell r="AV5472">
            <v>0</v>
          </cell>
        </row>
        <row r="5473">
          <cell r="E5473" t="str">
            <v>B26000372</v>
          </cell>
          <cell r="AP5473">
            <v>0</v>
          </cell>
          <cell r="AQ5473">
            <v>0</v>
          </cell>
          <cell r="AV5473">
            <v>0</v>
          </cell>
        </row>
        <row r="5474">
          <cell r="E5474" t="str">
            <v>B26000495</v>
          </cell>
          <cell r="AP5474">
            <v>0</v>
          </cell>
          <cell r="AQ5474">
            <v>0</v>
          </cell>
          <cell r="AV5474">
            <v>0</v>
          </cell>
        </row>
        <row r="5475">
          <cell r="E5475" t="str">
            <v>B26001120</v>
          </cell>
          <cell r="AP5475">
            <v>0</v>
          </cell>
          <cell r="AQ5475">
            <v>0</v>
          </cell>
          <cell r="AV5475">
            <v>0</v>
          </cell>
        </row>
        <row r="5476">
          <cell r="E5476" t="str">
            <v>B26001210</v>
          </cell>
          <cell r="AP5476">
            <v>0</v>
          </cell>
          <cell r="AQ5476">
            <v>0</v>
          </cell>
          <cell r="AV5476">
            <v>0</v>
          </cell>
        </row>
        <row r="5477">
          <cell r="E5477" t="str">
            <v>B26001520</v>
          </cell>
          <cell r="AP5477">
            <v>0</v>
          </cell>
          <cell r="AQ5477">
            <v>0</v>
          </cell>
          <cell r="AV5477">
            <v>0</v>
          </cell>
        </row>
        <row r="5478">
          <cell r="E5478" t="str">
            <v>B26001579</v>
          </cell>
          <cell r="AP5478">
            <v>0</v>
          </cell>
          <cell r="AQ5478">
            <v>0</v>
          </cell>
          <cell r="AV5478">
            <v>0</v>
          </cell>
        </row>
        <row r="5479">
          <cell r="E5479" t="str">
            <v>D26002023</v>
          </cell>
          <cell r="AP5479">
            <v>0</v>
          </cell>
          <cell r="AQ5479">
            <v>0</v>
          </cell>
          <cell r="AV5479">
            <v>0</v>
          </cell>
        </row>
        <row r="5480">
          <cell r="E5480" t="str">
            <v>Z26000256</v>
          </cell>
          <cell r="AP5480">
            <v>0</v>
          </cell>
          <cell r="AQ5480">
            <v>0</v>
          </cell>
          <cell r="AV5480">
            <v>12300000</v>
          </cell>
        </row>
        <row r="5481">
          <cell r="E5481" t="str">
            <v>Z26000259</v>
          </cell>
          <cell r="AP5481">
            <v>0</v>
          </cell>
          <cell r="AQ5481">
            <v>0</v>
          </cell>
          <cell r="AV5481">
            <v>3375000</v>
          </cell>
        </row>
        <row r="5482">
          <cell r="E5482" t="str">
            <v>Z26000260</v>
          </cell>
          <cell r="AP5482">
            <v>0</v>
          </cell>
          <cell r="AQ5482">
            <v>0</v>
          </cell>
          <cell r="AV5482">
            <v>21000000</v>
          </cell>
        </row>
        <row r="5483">
          <cell r="E5483" t="str">
            <v>Z26000272</v>
          </cell>
          <cell r="AP5483">
            <v>0</v>
          </cell>
          <cell r="AQ5483">
            <v>0</v>
          </cell>
          <cell r="AV5483">
            <v>14000000</v>
          </cell>
        </row>
        <row r="5484">
          <cell r="E5484" t="str">
            <v>Z26000274</v>
          </cell>
          <cell r="AP5484">
            <v>0</v>
          </cell>
          <cell r="AQ5484">
            <v>0</v>
          </cell>
          <cell r="AV5484">
            <v>5400000</v>
          </cell>
        </row>
        <row r="5485">
          <cell r="E5485" t="str">
            <v>Z26000287</v>
          </cell>
          <cell r="AP5485">
            <v>0</v>
          </cell>
          <cell r="AQ5485">
            <v>0</v>
          </cell>
          <cell r="AV5485">
            <v>2820000</v>
          </cell>
        </row>
        <row r="5486">
          <cell r="E5486" t="str">
            <v>Z26000291</v>
          </cell>
          <cell r="AP5486">
            <v>0</v>
          </cell>
          <cell r="AQ5486">
            <v>0</v>
          </cell>
          <cell r="AV5486">
            <v>0</v>
          </cell>
        </row>
        <row r="5487">
          <cell r="E5487" t="str">
            <v>Z26000320</v>
          </cell>
          <cell r="AP5487">
            <v>0</v>
          </cell>
          <cell r="AQ5487">
            <v>0</v>
          </cell>
          <cell r="AV5487">
            <v>6000000</v>
          </cell>
        </row>
        <row r="5488">
          <cell r="E5488" t="str">
            <v>D25018261</v>
          </cell>
          <cell r="AP5488">
            <v>0</v>
          </cell>
          <cell r="AQ5488">
            <v>0</v>
          </cell>
          <cell r="AV5488">
            <v>0</v>
          </cell>
        </row>
        <row r="5489">
          <cell r="E5489" t="str">
            <v>B25015917</v>
          </cell>
          <cell r="AP5489">
            <v>0</v>
          </cell>
          <cell r="AQ5489">
            <v>0</v>
          </cell>
          <cell r="AV5489">
            <v>0</v>
          </cell>
        </row>
        <row r="5490">
          <cell r="E5490" t="str">
            <v>T25001814</v>
          </cell>
          <cell r="AP5490">
            <v>0</v>
          </cell>
          <cell r="AQ5490">
            <v>0</v>
          </cell>
          <cell r="AV5490">
            <v>0</v>
          </cell>
        </row>
        <row r="5491">
          <cell r="E5491" t="str">
            <v>B25016522</v>
          </cell>
          <cell r="AP5491">
            <v>0</v>
          </cell>
          <cell r="AQ5491">
            <v>0</v>
          </cell>
          <cell r="AV5491">
            <v>0</v>
          </cell>
        </row>
        <row r="5492">
          <cell r="E5492" t="str">
            <v>D25018976</v>
          </cell>
          <cell r="AP5492">
            <v>0</v>
          </cell>
          <cell r="AQ5492">
            <v>0</v>
          </cell>
          <cell r="AV5492">
            <v>0</v>
          </cell>
        </row>
        <row r="5493">
          <cell r="E5493" t="str">
            <v>D25018977</v>
          </cell>
          <cell r="AP5493">
            <v>0</v>
          </cell>
          <cell r="AQ5493">
            <v>0</v>
          </cell>
          <cell r="AV5493">
            <v>0</v>
          </cell>
        </row>
        <row r="5494">
          <cell r="E5494" t="str">
            <v>D25019447</v>
          </cell>
          <cell r="AP5494">
            <v>0</v>
          </cell>
          <cell r="AQ5494">
            <v>0</v>
          </cell>
          <cell r="AV5494">
            <v>0</v>
          </cell>
        </row>
        <row r="5495">
          <cell r="E5495" t="str">
            <v>D26000051</v>
          </cell>
          <cell r="AP5495">
            <v>0</v>
          </cell>
          <cell r="AQ5495">
            <v>0</v>
          </cell>
          <cell r="AV5495">
            <v>0</v>
          </cell>
        </row>
        <row r="5496">
          <cell r="E5496" t="str">
            <v>D26000052</v>
          </cell>
          <cell r="AP5496">
            <v>0</v>
          </cell>
          <cell r="AQ5496">
            <v>0</v>
          </cell>
          <cell r="AV5496">
            <v>0</v>
          </cell>
        </row>
        <row r="5497">
          <cell r="E5497" t="str">
            <v>D26000069</v>
          </cell>
          <cell r="AP5497">
            <v>0</v>
          </cell>
          <cell r="AQ5497">
            <v>0</v>
          </cell>
          <cell r="AV5497">
            <v>0</v>
          </cell>
        </row>
        <row r="5498">
          <cell r="E5498" t="str">
            <v>B26000725</v>
          </cell>
          <cell r="AP5498">
            <v>0</v>
          </cell>
          <cell r="AQ5498">
            <v>0</v>
          </cell>
          <cell r="AV5498">
            <v>0</v>
          </cell>
        </row>
        <row r="5499">
          <cell r="E5499" t="str">
            <v>B26000727</v>
          </cell>
          <cell r="AP5499">
            <v>0</v>
          </cell>
          <cell r="AQ5499">
            <v>0</v>
          </cell>
          <cell r="AV5499">
            <v>0</v>
          </cell>
        </row>
        <row r="5500">
          <cell r="E5500" t="str">
            <v>B26000891</v>
          </cell>
          <cell r="AP5500">
            <v>0</v>
          </cell>
          <cell r="AQ5500">
            <v>0</v>
          </cell>
          <cell r="AV5500">
            <v>0</v>
          </cell>
        </row>
        <row r="5501">
          <cell r="E5501" t="str">
            <v>B26000892</v>
          </cell>
          <cell r="AP5501">
            <v>0</v>
          </cell>
          <cell r="AQ5501">
            <v>0</v>
          </cell>
          <cell r="AV5501">
            <v>0</v>
          </cell>
        </row>
        <row r="5502">
          <cell r="E5502" t="str">
            <v>B26000893</v>
          </cell>
          <cell r="AP5502">
            <v>0</v>
          </cell>
          <cell r="AQ5502">
            <v>0</v>
          </cell>
          <cell r="AV5502">
            <v>0</v>
          </cell>
        </row>
        <row r="5503">
          <cell r="E5503" t="str">
            <v>B26000923</v>
          </cell>
          <cell r="AP5503">
            <v>0</v>
          </cell>
          <cell r="AQ5503">
            <v>0</v>
          </cell>
          <cell r="AV5503">
            <v>0</v>
          </cell>
        </row>
        <row r="5504">
          <cell r="E5504" t="str">
            <v>B26000945</v>
          </cell>
          <cell r="AP5504">
            <v>0</v>
          </cell>
          <cell r="AQ5504">
            <v>0</v>
          </cell>
          <cell r="AV5504">
            <v>0</v>
          </cell>
        </row>
        <row r="5505">
          <cell r="E5505" t="str">
            <v>B26001018</v>
          </cell>
          <cell r="AP5505">
            <v>0</v>
          </cell>
          <cell r="AQ5505">
            <v>0</v>
          </cell>
          <cell r="AV5505">
            <v>0</v>
          </cell>
        </row>
        <row r="5506">
          <cell r="E5506" t="str">
            <v>B26001594</v>
          </cell>
          <cell r="AP5506">
            <v>0</v>
          </cell>
          <cell r="AQ5506">
            <v>0</v>
          </cell>
          <cell r="AV5506">
            <v>0</v>
          </cell>
        </row>
        <row r="5507">
          <cell r="E5507" t="str">
            <v>B26001302</v>
          </cell>
          <cell r="AP5507">
            <v>0</v>
          </cell>
          <cell r="AQ5507">
            <v>0</v>
          </cell>
          <cell r="AV5507">
            <v>0</v>
          </cell>
        </row>
        <row r="5508">
          <cell r="E5508" t="str">
            <v>B25015947</v>
          </cell>
          <cell r="AP5508">
            <v>0</v>
          </cell>
          <cell r="AQ5508">
            <v>0</v>
          </cell>
          <cell r="AV5508">
            <v>48420000</v>
          </cell>
        </row>
        <row r="5509">
          <cell r="E5509" t="str">
            <v>B25016358</v>
          </cell>
          <cell r="AP5509">
            <v>0</v>
          </cell>
          <cell r="AQ5509">
            <v>0</v>
          </cell>
          <cell r="AV5509">
            <v>0</v>
          </cell>
        </row>
        <row r="5510">
          <cell r="E5510" t="str">
            <v>D25018892</v>
          </cell>
          <cell r="AP5510">
            <v>0</v>
          </cell>
          <cell r="AQ5510">
            <v>0</v>
          </cell>
          <cell r="AV5510">
            <v>0</v>
          </cell>
        </row>
        <row r="5511">
          <cell r="E5511" t="str">
            <v>D25019646</v>
          </cell>
          <cell r="AP5511">
            <v>0</v>
          </cell>
          <cell r="AQ5511">
            <v>0</v>
          </cell>
          <cell r="AV5511">
            <v>0</v>
          </cell>
        </row>
        <row r="5512">
          <cell r="E5512" t="str">
            <v>D26000087</v>
          </cell>
          <cell r="AP5512">
            <v>0</v>
          </cell>
          <cell r="AQ5512">
            <v>0</v>
          </cell>
          <cell r="AV5512">
            <v>0</v>
          </cell>
        </row>
        <row r="5513">
          <cell r="E5513" t="str">
            <v>D26000404</v>
          </cell>
          <cell r="AP5513">
            <v>0</v>
          </cell>
          <cell r="AQ5513">
            <v>0</v>
          </cell>
          <cell r="AV5513">
            <v>0</v>
          </cell>
        </row>
        <row r="5514">
          <cell r="E5514" t="str">
            <v>B26000928</v>
          </cell>
          <cell r="AP5514">
            <v>0</v>
          </cell>
          <cell r="AQ5514">
            <v>0</v>
          </cell>
          <cell r="AV5514">
            <v>0</v>
          </cell>
        </row>
        <row r="5515">
          <cell r="E5515" t="str">
            <v>D26001385</v>
          </cell>
          <cell r="AP5515">
            <v>0</v>
          </cell>
          <cell r="AQ5515">
            <v>0</v>
          </cell>
          <cell r="AV5515">
            <v>0</v>
          </cell>
        </row>
        <row r="5516">
          <cell r="E5516" t="str">
            <v>D26001436</v>
          </cell>
          <cell r="AP5516">
            <v>0</v>
          </cell>
          <cell r="AQ5516">
            <v>0</v>
          </cell>
          <cell r="AV5516">
            <v>0</v>
          </cell>
        </row>
        <row r="5517">
          <cell r="E5517" t="str">
            <v>D26001488</v>
          </cell>
          <cell r="AP5517">
            <v>0</v>
          </cell>
          <cell r="AQ5517">
            <v>0</v>
          </cell>
          <cell r="AV5517">
            <v>0</v>
          </cell>
        </row>
        <row r="5518">
          <cell r="E5518" t="str">
            <v>D26001503</v>
          </cell>
          <cell r="AP5518">
            <v>0</v>
          </cell>
          <cell r="AQ5518">
            <v>0</v>
          </cell>
          <cell r="AV5518">
            <v>0</v>
          </cell>
        </row>
        <row r="5519">
          <cell r="E5519" t="str">
            <v>D26001505</v>
          </cell>
          <cell r="AP5519">
            <v>0</v>
          </cell>
          <cell r="AQ5519">
            <v>0</v>
          </cell>
          <cell r="AV5519">
            <v>0</v>
          </cell>
        </row>
        <row r="5520">
          <cell r="E5520" t="str">
            <v>D26001527</v>
          </cell>
          <cell r="AP5520">
            <v>0</v>
          </cell>
          <cell r="AQ5520">
            <v>0</v>
          </cell>
          <cell r="AV5520">
            <v>0</v>
          </cell>
        </row>
        <row r="5521">
          <cell r="E5521" t="str">
            <v>D26001816</v>
          </cell>
          <cell r="AP5521">
            <v>0</v>
          </cell>
          <cell r="AQ5521">
            <v>0</v>
          </cell>
          <cell r="AV5521">
            <v>0</v>
          </cell>
        </row>
        <row r="5522">
          <cell r="E5522" t="str">
            <v>D26001831</v>
          </cell>
          <cell r="AP5522">
            <v>0</v>
          </cell>
          <cell r="AQ5522">
            <v>0</v>
          </cell>
          <cell r="AV5522">
            <v>0</v>
          </cell>
        </row>
        <row r="5523">
          <cell r="E5523" t="str">
            <v>D26001913</v>
          </cell>
          <cell r="AP5523">
            <v>0</v>
          </cell>
          <cell r="AQ5523">
            <v>0</v>
          </cell>
          <cell r="AV5523">
            <v>0</v>
          </cell>
        </row>
        <row r="5524">
          <cell r="E5524" t="str">
            <v>B26001886</v>
          </cell>
          <cell r="AP5524">
            <v>0</v>
          </cell>
          <cell r="AQ5524">
            <v>0</v>
          </cell>
          <cell r="AV5524">
            <v>0</v>
          </cell>
        </row>
        <row r="5525">
          <cell r="E5525" t="str">
            <v>D25018536</v>
          </cell>
          <cell r="AP5525">
            <v>0</v>
          </cell>
          <cell r="AQ5525">
            <v>0</v>
          </cell>
          <cell r="AV5525">
            <v>8200000</v>
          </cell>
        </row>
        <row r="5526">
          <cell r="E5526" t="str">
            <v>D25018614</v>
          </cell>
          <cell r="AP5526">
            <v>0</v>
          </cell>
          <cell r="AQ5526">
            <v>0</v>
          </cell>
          <cell r="AV5526">
            <v>2640000</v>
          </cell>
        </row>
        <row r="5527">
          <cell r="E5527" t="str">
            <v>B25016376</v>
          </cell>
          <cell r="AP5527">
            <v>0</v>
          </cell>
          <cell r="AQ5527">
            <v>0</v>
          </cell>
          <cell r="AV5527">
            <v>9500000</v>
          </cell>
        </row>
        <row r="5528">
          <cell r="E5528" t="str">
            <v>B25016743</v>
          </cell>
          <cell r="AP5528">
            <v>0</v>
          </cell>
          <cell r="AQ5528">
            <v>0</v>
          </cell>
          <cell r="AV5528">
            <v>0</v>
          </cell>
        </row>
        <row r="5529">
          <cell r="E5529" t="str">
            <v>B25017013</v>
          </cell>
          <cell r="AP5529">
            <v>0</v>
          </cell>
          <cell r="AQ5529">
            <v>0</v>
          </cell>
          <cell r="AV5529">
            <v>0</v>
          </cell>
        </row>
        <row r="5530">
          <cell r="E5530" t="str">
            <v>B25017043</v>
          </cell>
          <cell r="AP5530">
            <v>0</v>
          </cell>
          <cell r="AQ5530">
            <v>0</v>
          </cell>
          <cell r="AV5530">
            <v>0</v>
          </cell>
        </row>
        <row r="5531">
          <cell r="E5531" t="str">
            <v>D25019635</v>
          </cell>
          <cell r="AP5531">
            <v>0</v>
          </cell>
          <cell r="AQ5531">
            <v>0</v>
          </cell>
          <cell r="AV5531">
            <v>0</v>
          </cell>
        </row>
        <row r="5532">
          <cell r="E5532" t="str">
            <v>D26000172</v>
          </cell>
          <cell r="AP5532">
            <v>0</v>
          </cell>
          <cell r="AQ5532">
            <v>0</v>
          </cell>
          <cell r="AV5532">
            <v>0</v>
          </cell>
        </row>
        <row r="5533">
          <cell r="E5533" t="str">
            <v>D26000199</v>
          </cell>
          <cell r="AP5533">
            <v>0</v>
          </cell>
          <cell r="AQ5533">
            <v>0</v>
          </cell>
          <cell r="AV5533">
            <v>0</v>
          </cell>
        </row>
        <row r="5534">
          <cell r="E5534" t="str">
            <v>B26000195</v>
          </cell>
          <cell r="AP5534">
            <v>0</v>
          </cell>
          <cell r="AQ5534">
            <v>0</v>
          </cell>
          <cell r="AV5534">
            <v>0</v>
          </cell>
        </row>
        <row r="5535">
          <cell r="E5535" t="str">
            <v>D26000221</v>
          </cell>
          <cell r="AP5535">
            <v>0</v>
          </cell>
          <cell r="AQ5535">
            <v>0</v>
          </cell>
          <cell r="AV5535">
            <v>0</v>
          </cell>
        </row>
        <row r="5536">
          <cell r="E5536" t="str">
            <v>B26000519</v>
          </cell>
          <cell r="AP5536">
            <v>0</v>
          </cell>
          <cell r="AQ5536">
            <v>0</v>
          </cell>
          <cell r="AV5536">
            <v>0</v>
          </cell>
        </row>
        <row r="5537">
          <cell r="E5537" t="str">
            <v>B26000520</v>
          </cell>
          <cell r="AP5537">
            <v>0</v>
          </cell>
          <cell r="AQ5537">
            <v>0</v>
          </cell>
          <cell r="AV5537">
            <v>0</v>
          </cell>
        </row>
        <row r="5538">
          <cell r="E5538" t="str">
            <v>B26000822</v>
          </cell>
          <cell r="AP5538">
            <v>0</v>
          </cell>
          <cell r="AQ5538">
            <v>0</v>
          </cell>
          <cell r="AV5538">
            <v>0</v>
          </cell>
        </row>
        <row r="5539">
          <cell r="E5539" t="str">
            <v>B26000833</v>
          </cell>
          <cell r="AP5539">
            <v>0</v>
          </cell>
          <cell r="AQ5539">
            <v>0</v>
          </cell>
          <cell r="AV5539">
            <v>0</v>
          </cell>
        </row>
        <row r="5540">
          <cell r="E5540" t="str">
            <v>B26000880</v>
          </cell>
          <cell r="AP5540">
            <v>0</v>
          </cell>
          <cell r="AQ5540">
            <v>0</v>
          </cell>
          <cell r="AV5540">
            <v>0</v>
          </cell>
        </row>
        <row r="5541">
          <cell r="E5541" t="str">
            <v>D26000985</v>
          </cell>
          <cell r="AP5541">
            <v>0</v>
          </cell>
          <cell r="AQ5541">
            <v>0</v>
          </cell>
          <cell r="AV5541">
            <v>0</v>
          </cell>
        </row>
        <row r="5542">
          <cell r="E5542" t="str">
            <v>B26000990</v>
          </cell>
          <cell r="AP5542">
            <v>0</v>
          </cell>
          <cell r="AQ5542">
            <v>0</v>
          </cell>
          <cell r="AV5542">
            <v>0</v>
          </cell>
        </row>
        <row r="5543">
          <cell r="E5543" t="str">
            <v>D26001048</v>
          </cell>
          <cell r="AP5543">
            <v>0</v>
          </cell>
          <cell r="AQ5543">
            <v>0</v>
          </cell>
          <cell r="AV5543">
            <v>0</v>
          </cell>
        </row>
        <row r="5544">
          <cell r="E5544" t="str">
            <v>D26001208</v>
          </cell>
          <cell r="AP5544">
            <v>0</v>
          </cell>
          <cell r="AQ5544">
            <v>0</v>
          </cell>
          <cell r="AV5544">
            <v>0</v>
          </cell>
        </row>
        <row r="5545">
          <cell r="E5545" t="str">
            <v>D26001271</v>
          </cell>
          <cell r="AP5545">
            <v>0</v>
          </cell>
          <cell r="AQ5545">
            <v>0</v>
          </cell>
          <cell r="AV5545">
            <v>0</v>
          </cell>
        </row>
        <row r="5546">
          <cell r="E5546" t="str">
            <v>D26001278</v>
          </cell>
          <cell r="AP5546">
            <v>0</v>
          </cell>
          <cell r="AQ5546">
            <v>0</v>
          </cell>
          <cell r="AV5546">
            <v>0</v>
          </cell>
        </row>
        <row r="5547">
          <cell r="E5547" t="str">
            <v>B26001235</v>
          </cell>
          <cell r="AP5547">
            <v>0</v>
          </cell>
          <cell r="AQ5547">
            <v>0</v>
          </cell>
          <cell r="AV5547">
            <v>0</v>
          </cell>
        </row>
        <row r="5548">
          <cell r="E5548" t="str">
            <v>D26001374</v>
          </cell>
          <cell r="AP5548">
            <v>0</v>
          </cell>
          <cell r="AQ5548">
            <v>0</v>
          </cell>
          <cell r="AV5548">
            <v>0</v>
          </cell>
        </row>
        <row r="5549">
          <cell r="E5549" t="str">
            <v>B26001631</v>
          </cell>
          <cell r="AP5549">
            <v>0</v>
          </cell>
          <cell r="AQ5549">
            <v>0</v>
          </cell>
          <cell r="AV5549">
            <v>0</v>
          </cell>
        </row>
        <row r="5550">
          <cell r="E5550" t="str">
            <v>D26001788</v>
          </cell>
          <cell r="AP5550">
            <v>0</v>
          </cell>
          <cell r="AQ5550">
            <v>0</v>
          </cell>
          <cell r="AV5550">
            <v>0</v>
          </cell>
        </row>
        <row r="5551">
          <cell r="E5551" t="str">
            <v>B26001829</v>
          </cell>
          <cell r="AP5551">
            <v>0</v>
          </cell>
          <cell r="AQ5551">
            <v>0</v>
          </cell>
          <cell r="AV5551">
            <v>0</v>
          </cell>
        </row>
        <row r="5552">
          <cell r="E5552" t="str">
            <v>B26001836</v>
          </cell>
          <cell r="AP5552">
            <v>0</v>
          </cell>
          <cell r="AQ5552">
            <v>0</v>
          </cell>
          <cell r="AV5552">
            <v>0</v>
          </cell>
        </row>
        <row r="5553">
          <cell r="E5553" t="str">
            <v>B26001837</v>
          </cell>
          <cell r="AP5553">
            <v>0</v>
          </cell>
          <cell r="AQ5553">
            <v>0</v>
          </cell>
          <cell r="AV5553">
            <v>0</v>
          </cell>
        </row>
        <row r="5554">
          <cell r="E5554" t="str">
            <v>D26001944</v>
          </cell>
          <cell r="AP5554">
            <v>0</v>
          </cell>
          <cell r="AQ5554">
            <v>0</v>
          </cell>
          <cell r="AV5554">
            <v>0</v>
          </cell>
        </row>
        <row r="5555">
          <cell r="E5555" t="str">
            <v>B26001905</v>
          </cell>
          <cell r="AP5555">
            <v>0</v>
          </cell>
          <cell r="AQ5555">
            <v>0</v>
          </cell>
          <cell r="AV5555">
            <v>0</v>
          </cell>
        </row>
        <row r="5556">
          <cell r="E5556" t="str">
            <v>B25016192</v>
          </cell>
          <cell r="AP5556">
            <v>0</v>
          </cell>
          <cell r="AQ5556">
            <v>0</v>
          </cell>
          <cell r="AV5556">
            <v>0</v>
          </cell>
        </row>
        <row r="5557">
          <cell r="E5557" t="str">
            <v>T26000003</v>
          </cell>
          <cell r="AP5557">
            <v>0</v>
          </cell>
          <cell r="AQ5557">
            <v>0</v>
          </cell>
          <cell r="AV5557">
            <v>0</v>
          </cell>
        </row>
        <row r="5558">
          <cell r="E5558" t="str">
            <v>D25017244</v>
          </cell>
          <cell r="AP5558">
            <v>0</v>
          </cell>
          <cell r="AQ5558">
            <v>0</v>
          </cell>
          <cell r="AV5558">
            <v>0</v>
          </cell>
        </row>
        <row r="5559">
          <cell r="E5559" t="str">
            <v>B25015130</v>
          </cell>
          <cell r="AP5559">
            <v>0</v>
          </cell>
          <cell r="AQ5559">
            <v>0</v>
          </cell>
          <cell r="AV5559">
            <v>0</v>
          </cell>
        </row>
        <row r="5560">
          <cell r="E5560" t="str">
            <v>B25015305</v>
          </cell>
          <cell r="AP5560">
            <v>0</v>
          </cell>
          <cell r="AQ5560">
            <v>0</v>
          </cell>
          <cell r="AV5560">
            <v>0</v>
          </cell>
        </row>
        <row r="5561">
          <cell r="E5561" t="str">
            <v>D25018115</v>
          </cell>
          <cell r="AP5561">
            <v>0</v>
          </cell>
          <cell r="AQ5561">
            <v>0</v>
          </cell>
          <cell r="AV5561">
            <v>0</v>
          </cell>
        </row>
        <row r="5562">
          <cell r="E5562" t="str">
            <v>D25018171</v>
          </cell>
          <cell r="AP5562">
            <v>0</v>
          </cell>
          <cell r="AQ5562">
            <v>0</v>
          </cell>
          <cell r="AV5562">
            <v>0</v>
          </cell>
        </row>
        <row r="5563">
          <cell r="E5563" t="str">
            <v>D25018568</v>
          </cell>
          <cell r="AP5563">
            <v>0</v>
          </cell>
          <cell r="AQ5563">
            <v>0</v>
          </cell>
          <cell r="AV5563">
            <v>0</v>
          </cell>
        </row>
        <row r="5564">
          <cell r="E5564" t="str">
            <v>D25019184</v>
          </cell>
          <cell r="AP5564">
            <v>0</v>
          </cell>
          <cell r="AQ5564">
            <v>0</v>
          </cell>
          <cell r="AV5564">
            <v>0</v>
          </cell>
        </row>
        <row r="5565">
          <cell r="E5565" t="str">
            <v>D25019476</v>
          </cell>
          <cell r="AP5565">
            <v>0</v>
          </cell>
          <cell r="AQ5565">
            <v>0</v>
          </cell>
          <cell r="AV5565">
            <v>0</v>
          </cell>
        </row>
        <row r="5566">
          <cell r="E5566" t="str">
            <v>D25019477</v>
          </cell>
          <cell r="AP5566">
            <v>0</v>
          </cell>
          <cell r="AQ5566">
            <v>0</v>
          </cell>
          <cell r="AV5566">
            <v>0</v>
          </cell>
        </row>
        <row r="5567">
          <cell r="E5567" t="str">
            <v>B25017143</v>
          </cell>
          <cell r="AP5567">
            <v>0</v>
          </cell>
          <cell r="AQ5567">
            <v>0</v>
          </cell>
          <cell r="AV5567">
            <v>0</v>
          </cell>
        </row>
        <row r="5568">
          <cell r="E5568" t="str">
            <v>D26000064</v>
          </cell>
          <cell r="AP5568">
            <v>0</v>
          </cell>
          <cell r="AQ5568">
            <v>0</v>
          </cell>
          <cell r="AV5568">
            <v>0</v>
          </cell>
        </row>
        <row r="5569">
          <cell r="E5569" t="str">
            <v>D26000065</v>
          </cell>
          <cell r="AP5569">
            <v>0</v>
          </cell>
          <cell r="AQ5569">
            <v>0</v>
          </cell>
          <cell r="AV5569">
            <v>0</v>
          </cell>
        </row>
        <row r="5570">
          <cell r="E5570" t="str">
            <v>D26002003</v>
          </cell>
          <cell r="AP5570">
            <v>0</v>
          </cell>
          <cell r="AQ5570">
            <v>0</v>
          </cell>
          <cell r="AV5570">
            <v>0</v>
          </cell>
        </row>
        <row r="5571">
          <cell r="E5571" t="str">
            <v>D26002039</v>
          </cell>
          <cell r="AP5571">
            <v>0</v>
          </cell>
          <cell r="AQ5571">
            <v>0</v>
          </cell>
          <cell r="AV5571">
            <v>0</v>
          </cell>
        </row>
        <row r="5572">
          <cell r="E5572" t="str">
            <v>T25001776</v>
          </cell>
          <cell r="AP5572">
            <v>0</v>
          </cell>
          <cell r="AQ5572">
            <v>0</v>
          </cell>
          <cell r="AV5572">
            <v>0</v>
          </cell>
        </row>
        <row r="5573">
          <cell r="E5573" t="str">
            <v>D26001920</v>
          </cell>
          <cell r="AP5573">
            <v>0</v>
          </cell>
          <cell r="AQ5573">
            <v>0</v>
          </cell>
          <cell r="AV5573">
            <v>0</v>
          </cell>
        </row>
        <row r="5574">
          <cell r="E5574" t="str">
            <v>Z25003112</v>
          </cell>
          <cell r="AP5574">
            <v>0</v>
          </cell>
          <cell r="AQ5574">
            <v>0</v>
          </cell>
          <cell r="AV5574">
            <v>23250000</v>
          </cell>
        </row>
        <row r="5575">
          <cell r="E5575" t="str">
            <v>Z26000017</v>
          </cell>
          <cell r="AP5575">
            <v>0</v>
          </cell>
          <cell r="AQ5575">
            <v>0</v>
          </cell>
          <cell r="AV5575">
            <v>0</v>
          </cell>
        </row>
        <row r="5576">
          <cell r="E5576" t="str">
            <v>Z26000181</v>
          </cell>
          <cell r="AP5576">
            <v>0</v>
          </cell>
          <cell r="AQ5576">
            <v>0</v>
          </cell>
          <cell r="AV5576">
            <v>0</v>
          </cell>
        </row>
        <row r="5577">
          <cell r="E5577" t="str">
            <v>Z26000182</v>
          </cell>
          <cell r="AP5577">
            <v>0</v>
          </cell>
          <cell r="AQ5577">
            <v>0</v>
          </cell>
          <cell r="AV5577">
            <v>0</v>
          </cell>
        </row>
        <row r="5578">
          <cell r="E5578" t="str">
            <v>Z26000298</v>
          </cell>
          <cell r="AP5578">
            <v>0</v>
          </cell>
          <cell r="AQ5578">
            <v>0</v>
          </cell>
          <cell r="AV5578">
            <v>0</v>
          </cell>
        </row>
        <row r="5579">
          <cell r="E5579" t="str">
            <v>B26000379</v>
          </cell>
          <cell r="AP5579">
            <v>0</v>
          </cell>
          <cell r="AQ5579">
            <v>0</v>
          </cell>
          <cell r="AV5579">
            <v>0</v>
          </cell>
        </row>
        <row r="5580">
          <cell r="E5580" t="str">
            <v>B26000451</v>
          </cell>
          <cell r="AP5580">
            <v>0</v>
          </cell>
          <cell r="AQ5580">
            <v>0</v>
          </cell>
          <cell r="AV5580">
            <v>0</v>
          </cell>
        </row>
        <row r="5581">
          <cell r="E5581" t="str">
            <v>B26000456</v>
          </cell>
          <cell r="AP5581">
            <v>0</v>
          </cell>
          <cell r="AQ5581">
            <v>0</v>
          </cell>
          <cell r="AV5581">
            <v>0</v>
          </cell>
        </row>
        <row r="5582">
          <cell r="E5582" t="str">
            <v>B26000707</v>
          </cell>
          <cell r="AP5582">
            <v>0</v>
          </cell>
          <cell r="AQ5582">
            <v>0</v>
          </cell>
          <cell r="AV5582">
            <v>0</v>
          </cell>
        </row>
        <row r="5583">
          <cell r="E5583" t="str">
            <v>B26001462</v>
          </cell>
          <cell r="AP5583">
            <v>0</v>
          </cell>
          <cell r="AQ5583">
            <v>0</v>
          </cell>
          <cell r="AV5583">
            <v>0</v>
          </cell>
        </row>
        <row r="5584">
          <cell r="E5584" t="str">
            <v>D26001560</v>
          </cell>
          <cell r="AP5584">
            <v>0</v>
          </cell>
          <cell r="AQ5584">
            <v>0</v>
          </cell>
          <cell r="AV5584">
            <v>0</v>
          </cell>
        </row>
        <row r="5585">
          <cell r="E5585" t="str">
            <v>Z25003241</v>
          </cell>
          <cell r="AP5585">
            <v>0</v>
          </cell>
          <cell r="AQ5585">
            <v>0</v>
          </cell>
          <cell r="AV5585">
            <v>0</v>
          </cell>
        </row>
        <row r="5586">
          <cell r="E5586" t="str">
            <v>Z26000025</v>
          </cell>
          <cell r="AP5586">
            <v>0</v>
          </cell>
          <cell r="AQ5586">
            <v>0</v>
          </cell>
          <cell r="AV5586">
            <v>0</v>
          </cell>
        </row>
        <row r="5587">
          <cell r="E5587" t="str">
            <v>Z26000237</v>
          </cell>
          <cell r="AP5587">
            <v>0</v>
          </cell>
          <cell r="AQ5587">
            <v>0</v>
          </cell>
          <cell r="AV5587">
            <v>0</v>
          </cell>
        </row>
        <row r="5588">
          <cell r="E5588" t="str">
            <v>D25016736</v>
          </cell>
          <cell r="AP5588">
            <v>0</v>
          </cell>
          <cell r="AQ5588">
            <v>0</v>
          </cell>
          <cell r="AV5588">
            <v>0</v>
          </cell>
        </row>
        <row r="5589">
          <cell r="E5589" t="str">
            <v>D25016855</v>
          </cell>
          <cell r="AP5589">
            <v>0</v>
          </cell>
          <cell r="AQ5589">
            <v>0</v>
          </cell>
          <cell r="AV5589">
            <v>0</v>
          </cell>
        </row>
        <row r="5590">
          <cell r="E5590" t="str">
            <v>B25014592</v>
          </cell>
          <cell r="AP5590">
            <v>0</v>
          </cell>
          <cell r="AQ5590">
            <v>0</v>
          </cell>
          <cell r="AV5590">
            <v>0</v>
          </cell>
        </row>
        <row r="5591">
          <cell r="E5591" t="str">
            <v>D25016987</v>
          </cell>
          <cell r="AP5591">
            <v>0</v>
          </cell>
          <cell r="AQ5591">
            <v>0</v>
          </cell>
          <cell r="AV5591">
            <v>0</v>
          </cell>
        </row>
        <row r="5592">
          <cell r="E5592" t="str">
            <v>B25015156</v>
          </cell>
          <cell r="AP5592">
            <v>0</v>
          </cell>
          <cell r="AQ5592">
            <v>0</v>
          </cell>
          <cell r="AV5592">
            <v>0</v>
          </cell>
        </row>
        <row r="5593">
          <cell r="E5593" t="str">
            <v>D25017582</v>
          </cell>
          <cell r="AP5593">
            <v>0</v>
          </cell>
          <cell r="AQ5593">
            <v>0</v>
          </cell>
          <cell r="AV5593">
            <v>0</v>
          </cell>
        </row>
        <row r="5594">
          <cell r="E5594" t="str">
            <v>B25015225</v>
          </cell>
          <cell r="AP5594">
            <v>0</v>
          </cell>
          <cell r="AQ5594">
            <v>0</v>
          </cell>
          <cell r="AV5594">
            <v>0</v>
          </cell>
        </row>
        <row r="5595">
          <cell r="E5595" t="str">
            <v>D25017837</v>
          </cell>
          <cell r="AP5595">
            <v>0</v>
          </cell>
          <cell r="AQ5595">
            <v>0</v>
          </cell>
          <cell r="AV5595">
            <v>0</v>
          </cell>
        </row>
        <row r="5596">
          <cell r="E5596" t="str">
            <v>D25018210</v>
          </cell>
          <cell r="AP5596">
            <v>0</v>
          </cell>
          <cell r="AQ5596">
            <v>0</v>
          </cell>
          <cell r="AV5596">
            <v>0</v>
          </cell>
        </row>
        <row r="5597">
          <cell r="E5597" t="str">
            <v>B25016202</v>
          </cell>
          <cell r="AP5597">
            <v>0</v>
          </cell>
          <cell r="AQ5597">
            <v>0</v>
          </cell>
          <cell r="AV5597">
            <v>0</v>
          </cell>
        </row>
        <row r="5598">
          <cell r="E5598" t="str">
            <v>D25018685</v>
          </cell>
          <cell r="AP5598">
            <v>0</v>
          </cell>
          <cell r="AQ5598">
            <v>0</v>
          </cell>
          <cell r="AV5598">
            <v>0</v>
          </cell>
        </row>
        <row r="5599">
          <cell r="E5599" t="str">
            <v>D25018685</v>
          </cell>
          <cell r="AP5599">
            <v>0</v>
          </cell>
          <cell r="AQ5599">
            <v>0</v>
          </cell>
          <cell r="AV5599">
            <v>0</v>
          </cell>
        </row>
        <row r="5600">
          <cell r="E5600" t="str">
            <v>D25018685</v>
          </cell>
          <cell r="AP5600">
            <v>0</v>
          </cell>
          <cell r="AQ5600">
            <v>0</v>
          </cell>
          <cell r="AV5600">
            <v>0</v>
          </cell>
        </row>
        <row r="5601">
          <cell r="E5601" t="str">
            <v>D25018686</v>
          </cell>
          <cell r="AP5601">
            <v>0</v>
          </cell>
          <cell r="AQ5601">
            <v>0</v>
          </cell>
          <cell r="AV5601">
            <v>0</v>
          </cell>
        </row>
        <row r="5602">
          <cell r="E5602" t="str">
            <v>D25018979</v>
          </cell>
          <cell r="AP5602">
            <v>0</v>
          </cell>
          <cell r="AQ5602">
            <v>0</v>
          </cell>
          <cell r="AV5602">
            <v>0</v>
          </cell>
        </row>
        <row r="5603">
          <cell r="E5603" t="str">
            <v>B25016581</v>
          </cell>
          <cell r="AP5603">
            <v>0</v>
          </cell>
          <cell r="AQ5603">
            <v>0</v>
          </cell>
          <cell r="AV5603">
            <v>0</v>
          </cell>
        </row>
        <row r="5604">
          <cell r="E5604" t="str">
            <v>B25016605</v>
          </cell>
          <cell r="AP5604">
            <v>0</v>
          </cell>
          <cell r="AQ5604">
            <v>0</v>
          </cell>
          <cell r="AV5604">
            <v>0</v>
          </cell>
        </row>
        <row r="5605">
          <cell r="E5605" t="str">
            <v>D25019309</v>
          </cell>
          <cell r="AP5605">
            <v>0</v>
          </cell>
          <cell r="AQ5605">
            <v>0</v>
          </cell>
          <cell r="AV5605">
            <v>0</v>
          </cell>
        </row>
        <row r="5606">
          <cell r="E5606" t="str">
            <v>B25016921</v>
          </cell>
          <cell r="AP5606">
            <v>0</v>
          </cell>
          <cell r="AQ5606">
            <v>0</v>
          </cell>
          <cell r="AV5606">
            <v>0</v>
          </cell>
        </row>
        <row r="5607">
          <cell r="E5607" t="str">
            <v>B25016989</v>
          </cell>
          <cell r="AP5607">
            <v>0</v>
          </cell>
          <cell r="AQ5607">
            <v>0</v>
          </cell>
          <cell r="AV5607">
            <v>0</v>
          </cell>
        </row>
        <row r="5608">
          <cell r="E5608" t="str">
            <v>D25019644</v>
          </cell>
          <cell r="AP5608">
            <v>0</v>
          </cell>
          <cell r="AQ5608">
            <v>0</v>
          </cell>
          <cell r="AV5608">
            <v>0</v>
          </cell>
        </row>
        <row r="5609">
          <cell r="E5609" t="str">
            <v>B26000063</v>
          </cell>
          <cell r="AP5609">
            <v>0</v>
          </cell>
          <cell r="AQ5609">
            <v>0</v>
          </cell>
          <cell r="AV5609">
            <v>0</v>
          </cell>
        </row>
        <row r="5610">
          <cell r="E5610" t="str">
            <v>B26000309</v>
          </cell>
          <cell r="AP5610">
            <v>0</v>
          </cell>
          <cell r="AQ5610">
            <v>0</v>
          </cell>
          <cell r="AV5610">
            <v>0</v>
          </cell>
        </row>
        <row r="5611">
          <cell r="E5611" t="str">
            <v>B26000320</v>
          </cell>
          <cell r="AP5611">
            <v>0</v>
          </cell>
          <cell r="AQ5611">
            <v>0</v>
          </cell>
          <cell r="AV5611">
            <v>0</v>
          </cell>
        </row>
        <row r="5612">
          <cell r="E5612" t="str">
            <v>B26000492</v>
          </cell>
          <cell r="AP5612">
            <v>0</v>
          </cell>
          <cell r="AQ5612">
            <v>0</v>
          </cell>
          <cell r="AV5612">
            <v>0</v>
          </cell>
        </row>
        <row r="5613">
          <cell r="E5613" t="str">
            <v>B26000604</v>
          </cell>
          <cell r="AP5613">
            <v>0</v>
          </cell>
          <cell r="AQ5613">
            <v>0</v>
          </cell>
          <cell r="AV5613">
            <v>0</v>
          </cell>
        </row>
        <row r="5614">
          <cell r="E5614" t="str">
            <v>B26000732</v>
          </cell>
          <cell r="AP5614">
            <v>0</v>
          </cell>
          <cell r="AQ5614">
            <v>0</v>
          </cell>
          <cell r="AV5614">
            <v>0</v>
          </cell>
        </row>
        <row r="5615">
          <cell r="E5615" t="str">
            <v>B26001066</v>
          </cell>
          <cell r="AP5615">
            <v>0</v>
          </cell>
          <cell r="AQ5615">
            <v>0</v>
          </cell>
          <cell r="AV5615">
            <v>0</v>
          </cell>
        </row>
        <row r="5616">
          <cell r="E5616" t="str">
            <v>B26001148</v>
          </cell>
          <cell r="AP5616">
            <v>0</v>
          </cell>
          <cell r="AQ5616">
            <v>0</v>
          </cell>
          <cell r="AV5616">
            <v>0</v>
          </cell>
        </row>
        <row r="5617">
          <cell r="E5617" t="str">
            <v>B26001443</v>
          </cell>
          <cell r="AP5617">
            <v>0</v>
          </cell>
          <cell r="AQ5617">
            <v>0</v>
          </cell>
          <cell r="AV5617">
            <v>0</v>
          </cell>
        </row>
        <row r="5618">
          <cell r="E5618" t="str">
            <v>B26001448</v>
          </cell>
          <cell r="AP5618">
            <v>0</v>
          </cell>
          <cell r="AQ5618">
            <v>0</v>
          </cell>
          <cell r="AV5618">
            <v>0</v>
          </cell>
        </row>
        <row r="5619">
          <cell r="E5619" t="str">
            <v>B26001465</v>
          </cell>
          <cell r="AP5619">
            <v>0</v>
          </cell>
          <cell r="AQ5619">
            <v>0</v>
          </cell>
          <cell r="AV5619">
            <v>132000000</v>
          </cell>
        </row>
        <row r="5620">
          <cell r="E5620" t="str">
            <v>B26001750</v>
          </cell>
          <cell r="AP5620">
            <v>0</v>
          </cell>
          <cell r="AQ5620">
            <v>0</v>
          </cell>
          <cell r="AV5620">
            <v>0</v>
          </cell>
        </row>
        <row r="5621">
          <cell r="E5621" t="str">
            <v>D26002090</v>
          </cell>
          <cell r="AP5621">
            <v>0</v>
          </cell>
          <cell r="AQ5621">
            <v>0</v>
          </cell>
          <cell r="AV5621">
            <v>0</v>
          </cell>
        </row>
        <row r="5622">
          <cell r="E5622" t="str">
            <v>D26000278</v>
          </cell>
          <cell r="AP5622">
            <v>0</v>
          </cell>
          <cell r="AQ5622">
            <v>0</v>
          </cell>
          <cell r="AV5622">
            <v>0</v>
          </cell>
        </row>
        <row r="5623">
          <cell r="E5623" t="str">
            <v>D26000279</v>
          </cell>
          <cell r="AP5623">
            <v>0</v>
          </cell>
          <cell r="AQ5623">
            <v>0</v>
          </cell>
          <cell r="AV5623">
            <v>0</v>
          </cell>
        </row>
        <row r="5624">
          <cell r="E5624" t="str">
            <v>D26000894</v>
          </cell>
          <cell r="AP5624">
            <v>0</v>
          </cell>
          <cell r="AQ5624">
            <v>0</v>
          </cell>
          <cell r="AV5624">
            <v>0</v>
          </cell>
        </row>
        <row r="5625">
          <cell r="E5625" t="str">
            <v>B26001850</v>
          </cell>
          <cell r="AP5625">
            <v>0</v>
          </cell>
          <cell r="AQ5625">
            <v>0</v>
          </cell>
          <cell r="AV5625">
            <v>0</v>
          </cell>
        </row>
        <row r="5626">
          <cell r="E5626" t="str">
            <v>D26001986</v>
          </cell>
          <cell r="AP5626">
            <v>0</v>
          </cell>
          <cell r="AQ5626">
            <v>0</v>
          </cell>
          <cell r="AV5626">
            <v>0</v>
          </cell>
        </row>
        <row r="5627">
          <cell r="E5627" t="str">
            <v>D26001666</v>
          </cell>
          <cell r="AP5627">
            <v>0</v>
          </cell>
          <cell r="AQ5627">
            <v>0</v>
          </cell>
          <cell r="AV5627">
            <v>0</v>
          </cell>
        </row>
        <row r="5628">
          <cell r="E5628" t="str">
            <v>B26001949</v>
          </cell>
          <cell r="AP5628">
            <v>0</v>
          </cell>
          <cell r="AQ5628">
            <v>0</v>
          </cell>
          <cell r="AV5628">
            <v>0</v>
          </cell>
        </row>
        <row r="5629">
          <cell r="E5629" t="str">
            <v>D26002086</v>
          </cell>
          <cell r="AP5629">
            <v>0</v>
          </cell>
          <cell r="AQ5629">
            <v>0</v>
          </cell>
          <cell r="AV5629">
            <v>0</v>
          </cell>
        </row>
        <row r="5630">
          <cell r="E5630" t="str">
            <v>R25000016</v>
          </cell>
          <cell r="AP5630">
            <v>0</v>
          </cell>
          <cell r="AQ5630">
            <v>0</v>
          </cell>
          <cell r="AV5630">
            <v>0</v>
          </cell>
        </row>
        <row r="5631">
          <cell r="E5631" t="str">
            <v>T25001692</v>
          </cell>
          <cell r="AP5631">
            <v>0</v>
          </cell>
          <cell r="AQ5631">
            <v>0</v>
          </cell>
          <cell r="AV5631">
            <v>2000000</v>
          </cell>
        </row>
        <row r="5632">
          <cell r="E5632" t="str">
            <v>B26000594</v>
          </cell>
          <cell r="AP5632">
            <v>0</v>
          </cell>
          <cell r="AQ5632">
            <v>0</v>
          </cell>
          <cell r="AV5632">
            <v>0</v>
          </cell>
        </row>
        <row r="5633">
          <cell r="E5633" t="str">
            <v>B26000595</v>
          </cell>
          <cell r="AP5633">
            <v>0</v>
          </cell>
          <cell r="AQ5633">
            <v>0</v>
          </cell>
          <cell r="AV5633">
            <v>0</v>
          </cell>
        </row>
        <row r="5634">
          <cell r="E5634" t="str">
            <v>D26000651</v>
          </cell>
          <cell r="AP5634">
            <v>0</v>
          </cell>
          <cell r="AQ5634">
            <v>0</v>
          </cell>
          <cell r="AV5634">
            <v>0</v>
          </cell>
        </row>
        <row r="5635">
          <cell r="E5635" t="str">
            <v>T25001865</v>
          </cell>
          <cell r="AP5635">
            <v>0</v>
          </cell>
          <cell r="AQ5635">
            <v>0</v>
          </cell>
          <cell r="AV5635">
            <v>0</v>
          </cell>
        </row>
        <row r="5636">
          <cell r="E5636" t="str">
            <v>T25001353</v>
          </cell>
          <cell r="AP5636">
            <v>0</v>
          </cell>
          <cell r="AQ5636">
            <v>0</v>
          </cell>
          <cell r="AV5636">
            <v>0</v>
          </cell>
        </row>
        <row r="5637">
          <cell r="E5637" t="str">
            <v>D26000819</v>
          </cell>
          <cell r="AP5637">
            <v>0</v>
          </cell>
          <cell r="AQ5637">
            <v>0</v>
          </cell>
          <cell r="AV5637">
            <v>2250000</v>
          </cell>
        </row>
        <row r="5638">
          <cell r="E5638" t="str">
            <v>D26001152</v>
          </cell>
          <cell r="AP5638">
            <v>0</v>
          </cell>
          <cell r="AQ5638">
            <v>0</v>
          </cell>
          <cell r="AV5638">
            <v>1710000</v>
          </cell>
        </row>
        <row r="5639">
          <cell r="E5639" t="str">
            <v>D26001634</v>
          </cell>
          <cell r="AP5639">
            <v>0</v>
          </cell>
          <cell r="AQ5639">
            <v>0</v>
          </cell>
          <cell r="AV5639">
            <v>20850000</v>
          </cell>
        </row>
        <row r="5640">
          <cell r="E5640" t="str">
            <v>T25001625</v>
          </cell>
          <cell r="AP5640">
            <v>0</v>
          </cell>
          <cell r="AQ5640">
            <v>0</v>
          </cell>
          <cell r="AV5640">
            <v>0</v>
          </cell>
        </row>
        <row r="5641">
          <cell r="E5641" t="str">
            <v>D25019383</v>
          </cell>
          <cell r="AP5641">
            <v>0</v>
          </cell>
          <cell r="AQ5641">
            <v>0</v>
          </cell>
          <cell r="AV5641">
            <v>0</v>
          </cell>
        </row>
        <row r="5642">
          <cell r="E5642" t="str">
            <v>T26000088k</v>
          </cell>
          <cell r="AP5642">
            <v>0</v>
          </cell>
          <cell r="AQ5642">
            <v>0</v>
          </cell>
          <cell r="AV5642">
            <v>0</v>
          </cell>
        </row>
        <row r="5643">
          <cell r="E5643" t="str">
            <v>B26001517</v>
          </cell>
          <cell r="AP5643">
            <v>0</v>
          </cell>
          <cell r="AQ5643">
            <v>0</v>
          </cell>
          <cell r="AV5643">
            <v>0</v>
          </cell>
        </row>
        <row r="5644">
          <cell r="E5644" t="str">
            <v>D26001837</v>
          </cell>
          <cell r="AP5644">
            <v>0</v>
          </cell>
          <cell r="AQ5644">
            <v>0</v>
          </cell>
          <cell r="AV5644">
            <v>10400000</v>
          </cell>
        </row>
        <row r="5645">
          <cell r="E5645" t="str">
            <v>D25018177</v>
          </cell>
          <cell r="AP5645">
            <v>0</v>
          </cell>
          <cell r="AQ5645">
            <v>0</v>
          </cell>
          <cell r="AV5645">
            <v>1840000</v>
          </cell>
        </row>
        <row r="5646">
          <cell r="E5646" t="str">
            <v>D25018834</v>
          </cell>
          <cell r="AP5646">
            <v>0</v>
          </cell>
          <cell r="AQ5646">
            <v>0</v>
          </cell>
          <cell r="AV5646">
            <v>0</v>
          </cell>
        </row>
        <row r="5647">
          <cell r="E5647" t="str">
            <v>D26000282</v>
          </cell>
          <cell r="AP5647">
            <v>0</v>
          </cell>
          <cell r="AQ5647">
            <v>0</v>
          </cell>
          <cell r="AV5647">
            <v>0</v>
          </cell>
        </row>
        <row r="5648">
          <cell r="E5648" t="str">
            <v>B26001778</v>
          </cell>
          <cell r="AP5648">
            <v>0</v>
          </cell>
          <cell r="AQ5648">
            <v>0</v>
          </cell>
          <cell r="AV5648">
            <v>2340000</v>
          </cell>
        </row>
        <row r="5649">
          <cell r="E5649" t="str">
            <v>B26001783</v>
          </cell>
          <cell r="AP5649">
            <v>0</v>
          </cell>
          <cell r="AQ5649">
            <v>0</v>
          </cell>
          <cell r="AV5649">
            <v>1040000</v>
          </cell>
        </row>
        <row r="5650">
          <cell r="E5650" t="str">
            <v>B26000043</v>
          </cell>
          <cell r="AP5650">
            <v>0</v>
          </cell>
          <cell r="AQ5650">
            <v>0</v>
          </cell>
          <cell r="AV5650">
            <v>0</v>
          </cell>
        </row>
        <row r="5651">
          <cell r="E5651" t="str">
            <v>B26000045</v>
          </cell>
          <cell r="AP5651">
            <v>0</v>
          </cell>
          <cell r="AQ5651">
            <v>0</v>
          </cell>
          <cell r="AV5651">
            <v>0</v>
          </cell>
        </row>
        <row r="5652">
          <cell r="E5652" t="str">
            <v>C26000008</v>
          </cell>
          <cell r="AP5652">
            <v>0</v>
          </cell>
          <cell r="AQ5652">
            <v>0</v>
          </cell>
          <cell r="AV5652">
            <v>0</v>
          </cell>
        </row>
        <row r="5653">
          <cell r="E5653" t="str">
            <v>B26000446</v>
          </cell>
          <cell r="AP5653">
            <v>0</v>
          </cell>
          <cell r="AQ5653">
            <v>0</v>
          </cell>
          <cell r="AV5653">
            <v>0</v>
          </cell>
        </row>
        <row r="5654">
          <cell r="E5654" t="str">
            <v>D26000516</v>
          </cell>
          <cell r="AP5654">
            <v>0</v>
          </cell>
          <cell r="AQ5654">
            <v>0</v>
          </cell>
          <cell r="AV5654">
            <v>0</v>
          </cell>
        </row>
        <row r="5655">
          <cell r="E5655" t="str">
            <v>B26000246</v>
          </cell>
          <cell r="AP5655">
            <v>0</v>
          </cell>
          <cell r="AQ5655">
            <v>0</v>
          </cell>
          <cell r="AV5655">
            <v>0</v>
          </cell>
        </row>
        <row r="5656">
          <cell r="E5656" t="str">
            <v>B26000247</v>
          </cell>
          <cell r="AP5656">
            <v>0</v>
          </cell>
          <cell r="AQ5656">
            <v>0</v>
          </cell>
          <cell r="AV5656">
            <v>0</v>
          </cell>
        </row>
        <row r="5657">
          <cell r="E5657" t="str">
            <v>D26001546</v>
          </cell>
          <cell r="AP5657">
            <v>0</v>
          </cell>
          <cell r="AQ5657">
            <v>0</v>
          </cell>
          <cell r="AV5657">
            <v>0</v>
          </cell>
        </row>
        <row r="5658">
          <cell r="E5658" t="str">
            <v>B25014156</v>
          </cell>
          <cell r="AP5658">
            <v>0</v>
          </cell>
          <cell r="AQ5658">
            <v>0</v>
          </cell>
          <cell r="AV5658">
            <v>0</v>
          </cell>
        </row>
        <row r="5659">
          <cell r="E5659" t="str">
            <v>D25018044</v>
          </cell>
          <cell r="AP5659">
            <v>0</v>
          </cell>
          <cell r="AQ5659">
            <v>0</v>
          </cell>
          <cell r="AV5659">
            <v>0</v>
          </cell>
        </row>
        <row r="5660">
          <cell r="E5660" t="str">
            <v>B25015992</v>
          </cell>
          <cell r="AP5660">
            <v>0</v>
          </cell>
          <cell r="AQ5660">
            <v>0</v>
          </cell>
          <cell r="AV5660">
            <v>0</v>
          </cell>
        </row>
        <row r="5661">
          <cell r="E5661" t="str">
            <v>B25016085</v>
          </cell>
          <cell r="AP5661">
            <v>0</v>
          </cell>
          <cell r="AQ5661">
            <v>0</v>
          </cell>
          <cell r="AV5661">
            <v>0</v>
          </cell>
        </row>
        <row r="5662">
          <cell r="E5662" t="str">
            <v>D25018873</v>
          </cell>
          <cell r="AP5662">
            <v>0</v>
          </cell>
          <cell r="AQ5662">
            <v>0</v>
          </cell>
          <cell r="AV5662">
            <v>0</v>
          </cell>
        </row>
        <row r="5663">
          <cell r="E5663" t="str">
            <v>D25018889</v>
          </cell>
          <cell r="AP5663">
            <v>0</v>
          </cell>
          <cell r="AQ5663">
            <v>0</v>
          </cell>
          <cell r="AV5663">
            <v>0</v>
          </cell>
        </row>
        <row r="5664">
          <cell r="E5664" t="str">
            <v>D25019527</v>
          </cell>
          <cell r="AP5664">
            <v>0</v>
          </cell>
          <cell r="AQ5664">
            <v>0</v>
          </cell>
          <cell r="AV5664">
            <v>0</v>
          </cell>
        </row>
        <row r="5665">
          <cell r="E5665" t="str">
            <v>D25019528</v>
          </cell>
          <cell r="AP5665">
            <v>0</v>
          </cell>
          <cell r="AQ5665">
            <v>0</v>
          </cell>
          <cell r="AV5665">
            <v>0</v>
          </cell>
        </row>
        <row r="5666">
          <cell r="E5666" t="str">
            <v>D25019529</v>
          </cell>
          <cell r="AP5666">
            <v>0</v>
          </cell>
          <cell r="AQ5666">
            <v>0</v>
          </cell>
          <cell r="AV5666">
            <v>0</v>
          </cell>
        </row>
        <row r="5667">
          <cell r="E5667" t="str">
            <v>B26001458</v>
          </cell>
          <cell r="AP5667">
            <v>0</v>
          </cell>
          <cell r="AQ5667">
            <v>0</v>
          </cell>
          <cell r="AV5667">
            <v>19400000</v>
          </cell>
        </row>
        <row r="5668">
          <cell r="E5668" t="str">
            <v>B25015024</v>
          </cell>
          <cell r="AP5668">
            <v>0</v>
          </cell>
          <cell r="AQ5668">
            <v>0</v>
          </cell>
          <cell r="AV5668">
            <v>37550000</v>
          </cell>
        </row>
        <row r="5669">
          <cell r="E5669">
            <v>250197</v>
          </cell>
          <cell r="AP5669">
            <v>0</v>
          </cell>
          <cell r="AQ5669">
            <v>0</v>
          </cell>
          <cell r="AV5669">
            <v>0</v>
          </cell>
        </row>
        <row r="5670">
          <cell r="E5670">
            <v>250198</v>
          </cell>
          <cell r="AP5670">
            <v>0</v>
          </cell>
          <cell r="AQ5670">
            <v>0</v>
          </cell>
          <cell r="AV5670">
            <v>0</v>
          </cell>
        </row>
        <row r="5671">
          <cell r="E5671" t="str">
            <v>D25018478</v>
          </cell>
          <cell r="AP5671">
            <v>0</v>
          </cell>
          <cell r="AQ5671">
            <v>0</v>
          </cell>
          <cell r="AV5671">
            <v>96000000</v>
          </cell>
        </row>
        <row r="5672">
          <cell r="E5672" t="str">
            <v>D26000491</v>
          </cell>
          <cell r="AP5672">
            <v>0</v>
          </cell>
          <cell r="AQ5672">
            <v>0</v>
          </cell>
          <cell r="AV5672">
            <v>0</v>
          </cell>
        </row>
        <row r="5673">
          <cell r="E5673" t="str">
            <v>D26000947</v>
          </cell>
          <cell r="AP5673">
            <v>0</v>
          </cell>
          <cell r="AQ5673">
            <v>0</v>
          </cell>
          <cell r="AV5673">
            <v>0</v>
          </cell>
        </row>
        <row r="5674">
          <cell r="E5674" t="str">
            <v>D26000987</v>
          </cell>
          <cell r="AP5674">
            <v>0</v>
          </cell>
          <cell r="AQ5674">
            <v>0</v>
          </cell>
          <cell r="AV5674">
            <v>0</v>
          </cell>
        </row>
        <row r="5675">
          <cell r="E5675" t="str">
            <v>D26001963</v>
          </cell>
          <cell r="AP5675">
            <v>0</v>
          </cell>
          <cell r="AQ5675">
            <v>0</v>
          </cell>
          <cell r="AV5675">
            <v>0</v>
          </cell>
        </row>
        <row r="5676">
          <cell r="E5676" t="str">
            <v>B26001280</v>
          </cell>
          <cell r="AP5676">
            <v>0</v>
          </cell>
          <cell r="AQ5676">
            <v>0</v>
          </cell>
          <cell r="AV5676">
            <v>0</v>
          </cell>
        </row>
        <row r="5677">
          <cell r="E5677" t="str">
            <v>B26000884</v>
          </cell>
          <cell r="AP5677">
            <v>0</v>
          </cell>
          <cell r="AQ5677">
            <v>0</v>
          </cell>
          <cell r="AV5677">
            <v>0</v>
          </cell>
        </row>
        <row r="5678">
          <cell r="E5678" t="str">
            <v>B26001284</v>
          </cell>
          <cell r="AP5678">
            <v>0</v>
          </cell>
          <cell r="AQ5678">
            <v>0</v>
          </cell>
          <cell r="AV5678">
            <v>0</v>
          </cell>
        </row>
        <row r="5679">
          <cell r="E5679" t="str">
            <v>B26000116</v>
          </cell>
          <cell r="AP5679">
            <v>0</v>
          </cell>
          <cell r="AQ5679">
            <v>0</v>
          </cell>
          <cell r="AV5679">
            <v>1665000</v>
          </cell>
        </row>
        <row r="5680">
          <cell r="E5680" t="str">
            <v>B26000168</v>
          </cell>
          <cell r="AP5680">
            <v>0</v>
          </cell>
          <cell r="AQ5680">
            <v>0</v>
          </cell>
          <cell r="AV5680">
            <v>0</v>
          </cell>
        </row>
        <row r="5681">
          <cell r="E5681" t="str">
            <v>B26000499</v>
          </cell>
          <cell r="AP5681">
            <v>0</v>
          </cell>
          <cell r="AQ5681">
            <v>0</v>
          </cell>
          <cell r="AV5681">
            <v>0</v>
          </cell>
        </row>
        <row r="5682">
          <cell r="E5682" t="str">
            <v>B26000500</v>
          </cell>
          <cell r="AP5682">
            <v>0</v>
          </cell>
          <cell r="AQ5682">
            <v>0</v>
          </cell>
          <cell r="AV5682">
            <v>0</v>
          </cell>
        </row>
        <row r="5683">
          <cell r="E5683" t="str">
            <v>B26000507</v>
          </cell>
          <cell r="AP5683">
            <v>0</v>
          </cell>
          <cell r="AQ5683">
            <v>0</v>
          </cell>
          <cell r="AV5683">
            <v>0</v>
          </cell>
        </row>
        <row r="5684">
          <cell r="E5684" t="str">
            <v>B26000890</v>
          </cell>
          <cell r="AP5684">
            <v>0</v>
          </cell>
          <cell r="AQ5684">
            <v>0</v>
          </cell>
          <cell r="AV5684">
            <v>0</v>
          </cell>
        </row>
        <row r="5685">
          <cell r="E5685" t="str">
            <v>D26001435</v>
          </cell>
          <cell r="AP5685">
            <v>0</v>
          </cell>
          <cell r="AQ5685">
            <v>0</v>
          </cell>
          <cell r="AV5685">
            <v>0</v>
          </cell>
        </row>
        <row r="5686">
          <cell r="E5686" t="str">
            <v>D26001660</v>
          </cell>
          <cell r="AP5686">
            <v>0</v>
          </cell>
          <cell r="AQ5686">
            <v>0</v>
          </cell>
          <cell r="AV5686">
            <v>0</v>
          </cell>
        </row>
        <row r="5687">
          <cell r="E5687" t="str">
            <v>B26001842</v>
          </cell>
          <cell r="AP5687">
            <v>0</v>
          </cell>
          <cell r="AQ5687">
            <v>0</v>
          </cell>
          <cell r="AV5687">
            <v>0</v>
          </cell>
        </row>
        <row r="5688">
          <cell r="E5688" t="str">
            <v>D26000785</v>
          </cell>
          <cell r="AP5688">
            <v>0</v>
          </cell>
          <cell r="AQ5688">
            <v>0</v>
          </cell>
          <cell r="AV5688">
            <v>0</v>
          </cell>
        </row>
        <row r="5689">
          <cell r="E5689" t="str">
            <v>B25014926</v>
          </cell>
          <cell r="AP5689">
            <v>0</v>
          </cell>
          <cell r="AQ5689">
            <v>0</v>
          </cell>
          <cell r="AV5689">
            <v>0</v>
          </cell>
        </row>
        <row r="5690">
          <cell r="E5690" t="str">
            <v>B25015763</v>
          </cell>
          <cell r="AP5690">
            <v>0</v>
          </cell>
          <cell r="AQ5690">
            <v>0</v>
          </cell>
          <cell r="AV5690">
            <v>0</v>
          </cell>
        </row>
        <row r="5691">
          <cell r="E5691" t="str">
            <v>B25015927</v>
          </cell>
          <cell r="AP5691">
            <v>0</v>
          </cell>
          <cell r="AQ5691">
            <v>0</v>
          </cell>
          <cell r="AV5691">
            <v>0</v>
          </cell>
        </row>
        <row r="5692">
          <cell r="E5692" t="str">
            <v>D25018368</v>
          </cell>
          <cell r="AP5692">
            <v>0</v>
          </cell>
          <cell r="AQ5692">
            <v>0</v>
          </cell>
          <cell r="AV5692">
            <v>0</v>
          </cell>
        </row>
        <row r="5693">
          <cell r="E5693" t="str">
            <v>D25019001</v>
          </cell>
          <cell r="AP5693">
            <v>0</v>
          </cell>
          <cell r="AQ5693">
            <v>0</v>
          </cell>
          <cell r="AV5693">
            <v>0</v>
          </cell>
        </row>
        <row r="5694">
          <cell r="E5694" t="str">
            <v>D25019019</v>
          </cell>
          <cell r="AP5694">
            <v>0</v>
          </cell>
          <cell r="AQ5694">
            <v>0</v>
          </cell>
          <cell r="AV5694">
            <v>0</v>
          </cell>
        </row>
        <row r="5695">
          <cell r="E5695" t="str">
            <v>D25019440</v>
          </cell>
          <cell r="AP5695">
            <v>0</v>
          </cell>
          <cell r="AQ5695">
            <v>0</v>
          </cell>
          <cell r="AV5695">
            <v>0</v>
          </cell>
        </row>
        <row r="5696">
          <cell r="E5696" t="str">
            <v>B25016982</v>
          </cell>
          <cell r="AP5696">
            <v>0</v>
          </cell>
          <cell r="AQ5696">
            <v>0</v>
          </cell>
          <cell r="AV5696">
            <v>0</v>
          </cell>
        </row>
        <row r="5697">
          <cell r="E5697" t="str">
            <v>D25019587</v>
          </cell>
          <cell r="AP5697">
            <v>0</v>
          </cell>
          <cell r="AQ5697">
            <v>0</v>
          </cell>
          <cell r="AV5697">
            <v>0</v>
          </cell>
        </row>
        <row r="5698">
          <cell r="E5698" t="str">
            <v>B26000022</v>
          </cell>
          <cell r="AP5698">
            <v>0</v>
          </cell>
          <cell r="AQ5698">
            <v>0</v>
          </cell>
          <cell r="AV5698">
            <v>0</v>
          </cell>
        </row>
        <row r="5699">
          <cell r="E5699" t="str">
            <v>D26000091</v>
          </cell>
          <cell r="AP5699">
            <v>0</v>
          </cell>
          <cell r="AQ5699">
            <v>0</v>
          </cell>
          <cell r="AV5699">
            <v>0</v>
          </cell>
        </row>
        <row r="5700">
          <cell r="E5700" t="str">
            <v>B26000175</v>
          </cell>
          <cell r="AP5700">
            <v>0</v>
          </cell>
          <cell r="AQ5700">
            <v>0</v>
          </cell>
          <cell r="AV5700">
            <v>0</v>
          </cell>
        </row>
        <row r="5701">
          <cell r="E5701" t="str">
            <v>D26000626</v>
          </cell>
          <cell r="AP5701">
            <v>0</v>
          </cell>
          <cell r="AQ5701">
            <v>0</v>
          </cell>
          <cell r="AV5701">
            <v>0</v>
          </cell>
        </row>
        <row r="5702">
          <cell r="E5702" t="str">
            <v>D26001467</v>
          </cell>
          <cell r="AP5702">
            <v>0</v>
          </cell>
          <cell r="AQ5702">
            <v>0</v>
          </cell>
          <cell r="AV5702">
            <v>0</v>
          </cell>
        </row>
        <row r="5703">
          <cell r="E5703" t="str">
            <v>B26001668</v>
          </cell>
          <cell r="AP5703">
            <v>0</v>
          </cell>
          <cell r="AQ5703">
            <v>0</v>
          </cell>
          <cell r="AV5703">
            <v>0</v>
          </cell>
        </row>
        <row r="5704">
          <cell r="E5704" t="str">
            <v>B26001796</v>
          </cell>
          <cell r="AP5704">
            <v>0</v>
          </cell>
          <cell r="AQ5704">
            <v>0</v>
          </cell>
          <cell r="AV5704">
            <v>0</v>
          </cell>
        </row>
        <row r="5705">
          <cell r="E5705" t="str">
            <v>Z25003133</v>
          </cell>
          <cell r="AP5705">
            <v>0</v>
          </cell>
          <cell r="AQ5705">
            <v>0</v>
          </cell>
          <cell r="AV5705">
            <v>0</v>
          </cell>
        </row>
        <row r="5706">
          <cell r="E5706" t="str">
            <v>Z25003175</v>
          </cell>
          <cell r="AP5706">
            <v>0</v>
          </cell>
          <cell r="AQ5706">
            <v>0</v>
          </cell>
          <cell r="AV5706">
            <v>0</v>
          </cell>
        </row>
        <row r="5707">
          <cell r="E5707" t="str">
            <v>Z25003313</v>
          </cell>
          <cell r="AP5707">
            <v>0</v>
          </cell>
          <cell r="AQ5707">
            <v>0</v>
          </cell>
          <cell r="AV5707">
            <v>0</v>
          </cell>
        </row>
        <row r="5708">
          <cell r="E5708" t="str">
            <v>Z26000010</v>
          </cell>
          <cell r="AP5708">
            <v>0</v>
          </cell>
          <cell r="AQ5708">
            <v>0</v>
          </cell>
          <cell r="AV5708">
            <v>0</v>
          </cell>
        </row>
        <row r="5709">
          <cell r="E5709" t="str">
            <v>Z26000013</v>
          </cell>
          <cell r="AP5709">
            <v>0</v>
          </cell>
          <cell r="AQ5709">
            <v>0</v>
          </cell>
          <cell r="AV5709">
            <v>0</v>
          </cell>
        </row>
        <row r="5710">
          <cell r="E5710" t="str">
            <v>Z26000149</v>
          </cell>
          <cell r="AP5710">
            <v>0</v>
          </cell>
          <cell r="AQ5710">
            <v>0</v>
          </cell>
          <cell r="AV5710">
            <v>0</v>
          </cell>
        </row>
        <row r="5711">
          <cell r="E5711" t="str">
            <v>Z26000172</v>
          </cell>
          <cell r="AP5711">
            <v>0</v>
          </cell>
          <cell r="AQ5711">
            <v>0</v>
          </cell>
          <cell r="AV5711">
            <v>0</v>
          </cell>
        </row>
        <row r="5712">
          <cell r="E5712" t="str">
            <v>Z26000186</v>
          </cell>
          <cell r="AP5712">
            <v>0</v>
          </cell>
          <cell r="AQ5712">
            <v>0</v>
          </cell>
          <cell r="AV5712">
            <v>0</v>
          </cell>
        </row>
        <row r="5713">
          <cell r="E5713" t="str">
            <v>Z26000189</v>
          </cell>
          <cell r="AP5713">
            <v>0</v>
          </cell>
          <cell r="AQ5713">
            <v>0</v>
          </cell>
          <cell r="AV5713">
            <v>0</v>
          </cell>
        </row>
        <row r="5714">
          <cell r="E5714" t="str">
            <v>Z26000201</v>
          </cell>
          <cell r="AP5714">
            <v>0</v>
          </cell>
          <cell r="AQ5714">
            <v>0</v>
          </cell>
          <cell r="AV5714">
            <v>0</v>
          </cell>
        </row>
        <row r="5715">
          <cell r="E5715" t="str">
            <v>Z26000307</v>
          </cell>
          <cell r="AP5715">
            <v>0</v>
          </cell>
          <cell r="AQ5715">
            <v>0</v>
          </cell>
          <cell r="AV5715">
            <v>0</v>
          </cell>
        </row>
        <row r="5716">
          <cell r="E5716" t="str">
            <v>Z26000309</v>
          </cell>
          <cell r="AP5716">
            <v>0</v>
          </cell>
          <cell r="AQ5716">
            <v>0</v>
          </cell>
          <cell r="AV5716">
            <v>0</v>
          </cell>
        </row>
        <row r="5717">
          <cell r="E5717" t="str">
            <v>Z26000337</v>
          </cell>
          <cell r="AP5717">
            <v>0</v>
          </cell>
          <cell r="AQ5717">
            <v>0</v>
          </cell>
          <cell r="AV5717">
            <v>0</v>
          </cell>
        </row>
        <row r="5718">
          <cell r="E5718" t="str">
            <v>D26000891</v>
          </cell>
          <cell r="AP5718">
            <v>0</v>
          </cell>
          <cell r="AQ5718">
            <v>0</v>
          </cell>
          <cell r="AV5718">
            <v>0</v>
          </cell>
        </row>
        <row r="5719">
          <cell r="E5719" t="str">
            <v>D26000892</v>
          </cell>
          <cell r="AP5719">
            <v>0</v>
          </cell>
          <cell r="AQ5719">
            <v>0</v>
          </cell>
          <cell r="AV5719">
            <v>0</v>
          </cell>
        </row>
        <row r="5720">
          <cell r="E5720" t="str">
            <v>D26000893</v>
          </cell>
          <cell r="AP5720">
            <v>0</v>
          </cell>
          <cell r="AQ5720">
            <v>0</v>
          </cell>
          <cell r="AV5720">
            <v>0</v>
          </cell>
        </row>
        <row r="5721">
          <cell r="E5721" t="str">
            <v>D25017659</v>
          </cell>
          <cell r="AP5721">
            <v>0</v>
          </cell>
          <cell r="AQ5721">
            <v>0</v>
          </cell>
          <cell r="AV5721">
            <v>0</v>
          </cell>
        </row>
        <row r="5722">
          <cell r="E5722" t="str">
            <v>D25018842</v>
          </cell>
          <cell r="AP5722">
            <v>0</v>
          </cell>
          <cell r="AQ5722">
            <v>0</v>
          </cell>
          <cell r="AV5722">
            <v>0</v>
          </cell>
        </row>
        <row r="5723">
          <cell r="E5723" t="str">
            <v>B25015526</v>
          </cell>
          <cell r="AP5723">
            <v>0</v>
          </cell>
          <cell r="AQ5723">
            <v>0</v>
          </cell>
          <cell r="AV5723">
            <v>0</v>
          </cell>
        </row>
        <row r="5724">
          <cell r="E5724" t="str">
            <v>D25019103</v>
          </cell>
          <cell r="AP5724">
            <v>0</v>
          </cell>
          <cell r="AQ5724">
            <v>0</v>
          </cell>
          <cell r="AV5724">
            <v>0</v>
          </cell>
        </row>
        <row r="5725">
          <cell r="E5725" t="str">
            <v>B26000114</v>
          </cell>
          <cell r="AP5725">
            <v>0</v>
          </cell>
          <cell r="AQ5725">
            <v>0</v>
          </cell>
          <cell r="AV5725">
            <v>0</v>
          </cell>
        </row>
        <row r="5726">
          <cell r="E5726" t="str">
            <v>D26000123</v>
          </cell>
          <cell r="AP5726">
            <v>0</v>
          </cell>
          <cell r="AQ5726">
            <v>0</v>
          </cell>
          <cell r="AV5726">
            <v>0</v>
          </cell>
        </row>
        <row r="5727">
          <cell r="E5727" t="str">
            <v>B26001621</v>
          </cell>
          <cell r="AP5727">
            <v>0</v>
          </cell>
          <cell r="AQ5727">
            <v>0</v>
          </cell>
          <cell r="AV5727">
            <v>0</v>
          </cell>
        </row>
        <row r="5728">
          <cell r="E5728" t="str">
            <v>B26001622</v>
          </cell>
          <cell r="AP5728">
            <v>0</v>
          </cell>
          <cell r="AQ5728">
            <v>0</v>
          </cell>
          <cell r="AV5728">
            <v>0</v>
          </cell>
        </row>
        <row r="5729">
          <cell r="E5729" t="str">
            <v>B26001666</v>
          </cell>
          <cell r="AP5729">
            <v>0</v>
          </cell>
          <cell r="AQ5729">
            <v>0</v>
          </cell>
          <cell r="AV5729">
            <v>0</v>
          </cell>
        </row>
        <row r="5730">
          <cell r="E5730" t="str">
            <v>B25016981</v>
          </cell>
          <cell r="AP5730">
            <v>0</v>
          </cell>
          <cell r="AQ5730">
            <v>0</v>
          </cell>
          <cell r="AV5730">
            <v>0</v>
          </cell>
        </row>
        <row r="5731">
          <cell r="E5731" t="str">
            <v>B25016983</v>
          </cell>
          <cell r="AP5731">
            <v>0</v>
          </cell>
          <cell r="AQ5731">
            <v>0</v>
          </cell>
          <cell r="AV5731">
            <v>4525000</v>
          </cell>
        </row>
        <row r="5732">
          <cell r="E5732" t="str">
            <v>B26000189</v>
          </cell>
          <cell r="AP5732">
            <v>0</v>
          </cell>
          <cell r="AQ5732">
            <v>0</v>
          </cell>
          <cell r="AV5732">
            <v>475000</v>
          </cell>
        </row>
        <row r="5733">
          <cell r="E5733" t="str">
            <v>T26000019</v>
          </cell>
          <cell r="AP5733">
            <v>0</v>
          </cell>
          <cell r="AQ5733">
            <v>0</v>
          </cell>
          <cell r="AV5733">
            <v>0</v>
          </cell>
        </row>
        <row r="5734">
          <cell r="E5734" t="str">
            <v>D26000364</v>
          </cell>
          <cell r="AP5734">
            <v>0</v>
          </cell>
          <cell r="AQ5734">
            <v>0</v>
          </cell>
          <cell r="AV5734">
            <v>0</v>
          </cell>
        </row>
        <row r="5735">
          <cell r="E5735" t="str">
            <v>B26001172</v>
          </cell>
          <cell r="AP5735">
            <v>0</v>
          </cell>
          <cell r="AQ5735">
            <v>0</v>
          </cell>
          <cell r="AV5735">
            <v>0</v>
          </cell>
        </row>
        <row r="5736">
          <cell r="E5736" t="str">
            <v>B26001176</v>
          </cell>
          <cell r="AP5736">
            <v>0</v>
          </cell>
          <cell r="AQ5736">
            <v>0</v>
          </cell>
          <cell r="AV5736">
            <v>0</v>
          </cell>
        </row>
        <row r="5737">
          <cell r="E5737" t="str">
            <v>B26001460</v>
          </cell>
          <cell r="AP5737">
            <v>0</v>
          </cell>
          <cell r="AQ5737">
            <v>0</v>
          </cell>
          <cell r="AV5737">
            <v>0</v>
          </cell>
        </row>
        <row r="5738">
          <cell r="E5738" t="str">
            <v>D26001601</v>
          </cell>
          <cell r="AP5738">
            <v>0</v>
          </cell>
          <cell r="AQ5738">
            <v>0</v>
          </cell>
          <cell r="AV5738">
            <v>0</v>
          </cell>
        </row>
        <row r="5739">
          <cell r="E5739" t="str">
            <v>D26001602</v>
          </cell>
          <cell r="AP5739">
            <v>0</v>
          </cell>
          <cell r="AQ5739">
            <v>0</v>
          </cell>
          <cell r="AV5739">
            <v>0</v>
          </cell>
        </row>
        <row r="5740">
          <cell r="E5740" t="str">
            <v>D25018476</v>
          </cell>
          <cell r="AP5740">
            <v>0</v>
          </cell>
          <cell r="AQ5740">
            <v>0</v>
          </cell>
          <cell r="AV5740">
            <v>0</v>
          </cell>
        </row>
        <row r="5741">
          <cell r="E5741" t="str">
            <v>D25018846</v>
          </cell>
          <cell r="AP5741">
            <v>0</v>
          </cell>
          <cell r="AQ5741">
            <v>0</v>
          </cell>
          <cell r="AV5741">
            <v>0</v>
          </cell>
        </row>
        <row r="5742">
          <cell r="E5742" t="str">
            <v>D25019341</v>
          </cell>
          <cell r="AP5742">
            <v>0</v>
          </cell>
          <cell r="AQ5742">
            <v>0</v>
          </cell>
          <cell r="AV5742">
            <v>0</v>
          </cell>
        </row>
        <row r="5743">
          <cell r="E5743" t="str">
            <v>B26000385</v>
          </cell>
          <cell r="AP5743">
            <v>0</v>
          </cell>
          <cell r="AQ5743">
            <v>0</v>
          </cell>
          <cell r="AV5743">
            <v>0</v>
          </cell>
        </row>
        <row r="5744">
          <cell r="E5744" t="str">
            <v>D26000832</v>
          </cell>
          <cell r="AP5744">
            <v>0</v>
          </cell>
          <cell r="AQ5744">
            <v>0</v>
          </cell>
          <cell r="AV5744">
            <v>0</v>
          </cell>
        </row>
        <row r="5745">
          <cell r="E5745" t="str">
            <v>T26000146</v>
          </cell>
          <cell r="AP5745">
            <v>0</v>
          </cell>
          <cell r="AQ5745">
            <v>0</v>
          </cell>
          <cell r="AV5745">
            <v>0</v>
          </cell>
        </row>
        <row r="5746">
          <cell r="E5746" t="str">
            <v>D26000057</v>
          </cell>
          <cell r="AP5746">
            <v>0</v>
          </cell>
          <cell r="AQ5746">
            <v>0</v>
          </cell>
          <cell r="AV5746">
            <v>0</v>
          </cell>
        </row>
        <row r="5747">
          <cell r="E5747" t="str">
            <v>D26001564</v>
          </cell>
          <cell r="AP5747">
            <v>0</v>
          </cell>
          <cell r="AQ5747">
            <v>0</v>
          </cell>
          <cell r="AV5747">
            <v>0</v>
          </cell>
        </row>
        <row r="5748">
          <cell r="E5748" t="str">
            <v>D25013787</v>
          </cell>
          <cell r="AP5748">
            <v>0</v>
          </cell>
          <cell r="AQ5748">
            <v>0</v>
          </cell>
          <cell r="AV5748">
            <v>0</v>
          </cell>
        </row>
        <row r="5749">
          <cell r="E5749" t="str">
            <v>B25013655</v>
          </cell>
          <cell r="AP5749">
            <v>0</v>
          </cell>
          <cell r="AQ5749">
            <v>0</v>
          </cell>
          <cell r="AV5749">
            <v>0</v>
          </cell>
        </row>
        <row r="5750">
          <cell r="E5750" t="str">
            <v>B25014606</v>
          </cell>
          <cell r="AP5750">
            <v>0</v>
          </cell>
          <cell r="AQ5750">
            <v>0</v>
          </cell>
          <cell r="AV5750">
            <v>0</v>
          </cell>
        </row>
        <row r="5751">
          <cell r="E5751" t="str">
            <v>B25014698</v>
          </cell>
          <cell r="AP5751">
            <v>0</v>
          </cell>
          <cell r="AQ5751">
            <v>0</v>
          </cell>
          <cell r="AV5751">
            <v>0</v>
          </cell>
        </row>
        <row r="5752">
          <cell r="E5752" t="str">
            <v>D25017436</v>
          </cell>
          <cell r="AP5752">
            <v>0</v>
          </cell>
          <cell r="AQ5752">
            <v>0</v>
          </cell>
          <cell r="AV5752">
            <v>0</v>
          </cell>
        </row>
        <row r="5753">
          <cell r="E5753" t="str">
            <v>B25015576</v>
          </cell>
          <cell r="AP5753">
            <v>0</v>
          </cell>
          <cell r="AQ5753">
            <v>0</v>
          </cell>
          <cell r="AV5753">
            <v>0</v>
          </cell>
        </row>
        <row r="5754">
          <cell r="E5754" t="str">
            <v>D25018180</v>
          </cell>
          <cell r="AP5754">
            <v>0</v>
          </cell>
          <cell r="AQ5754">
            <v>0</v>
          </cell>
          <cell r="AV5754">
            <v>0</v>
          </cell>
        </row>
        <row r="5755">
          <cell r="E5755" t="str">
            <v>B25016094</v>
          </cell>
          <cell r="AP5755">
            <v>0</v>
          </cell>
          <cell r="AQ5755">
            <v>0</v>
          </cell>
          <cell r="AV5755">
            <v>0</v>
          </cell>
        </row>
        <row r="5756">
          <cell r="E5756" t="str">
            <v>B26000433</v>
          </cell>
          <cell r="AP5756">
            <v>0</v>
          </cell>
          <cell r="AQ5756">
            <v>0</v>
          </cell>
          <cell r="AV5756">
            <v>0</v>
          </cell>
        </row>
        <row r="5757">
          <cell r="E5757" t="str">
            <v>B26000689</v>
          </cell>
          <cell r="AP5757">
            <v>0</v>
          </cell>
          <cell r="AQ5757">
            <v>0</v>
          </cell>
          <cell r="AV5757">
            <v>0</v>
          </cell>
        </row>
        <row r="5758">
          <cell r="E5758" t="str">
            <v>B26000818</v>
          </cell>
          <cell r="AP5758">
            <v>0</v>
          </cell>
          <cell r="AQ5758">
            <v>0</v>
          </cell>
          <cell r="AV5758">
            <v>0</v>
          </cell>
        </row>
        <row r="5759">
          <cell r="E5759" t="str">
            <v>B26000934</v>
          </cell>
          <cell r="AP5759">
            <v>0</v>
          </cell>
          <cell r="AQ5759">
            <v>0</v>
          </cell>
          <cell r="AV5759">
            <v>0</v>
          </cell>
        </row>
        <row r="5760">
          <cell r="E5760" t="str">
            <v>B26001429</v>
          </cell>
          <cell r="AP5760">
            <v>0</v>
          </cell>
          <cell r="AQ5760">
            <v>0</v>
          </cell>
          <cell r="AV5760">
            <v>0</v>
          </cell>
        </row>
        <row r="5761">
          <cell r="E5761" t="str">
            <v>B26001660</v>
          </cell>
          <cell r="AP5761">
            <v>0</v>
          </cell>
          <cell r="AQ5761">
            <v>0</v>
          </cell>
          <cell r="AV5761">
            <v>0</v>
          </cell>
        </row>
        <row r="5762">
          <cell r="E5762" t="str">
            <v>D25018239</v>
          </cell>
          <cell r="AP5762">
            <v>0</v>
          </cell>
          <cell r="AQ5762">
            <v>0</v>
          </cell>
          <cell r="AV5762">
            <v>0</v>
          </cell>
        </row>
        <row r="5763">
          <cell r="E5763" t="str">
            <v>D25019128</v>
          </cell>
          <cell r="AP5763">
            <v>0</v>
          </cell>
          <cell r="AQ5763">
            <v>0</v>
          </cell>
          <cell r="AV5763">
            <v>0</v>
          </cell>
        </row>
        <row r="5764">
          <cell r="E5764" t="str">
            <v>D25019142</v>
          </cell>
          <cell r="AP5764">
            <v>0</v>
          </cell>
          <cell r="AQ5764">
            <v>0</v>
          </cell>
          <cell r="AV5764">
            <v>0</v>
          </cell>
        </row>
        <row r="5765">
          <cell r="E5765" t="str">
            <v>D25019143</v>
          </cell>
          <cell r="AP5765">
            <v>0</v>
          </cell>
          <cell r="AQ5765">
            <v>0</v>
          </cell>
          <cell r="AV5765">
            <v>0</v>
          </cell>
        </row>
        <row r="5766">
          <cell r="E5766" t="str">
            <v>B25016823</v>
          </cell>
          <cell r="AP5766">
            <v>0</v>
          </cell>
          <cell r="AQ5766">
            <v>0</v>
          </cell>
          <cell r="AV5766">
            <v>0</v>
          </cell>
        </row>
        <row r="5767">
          <cell r="E5767" t="str">
            <v>B25016925</v>
          </cell>
          <cell r="AP5767">
            <v>0</v>
          </cell>
          <cell r="AQ5767">
            <v>0</v>
          </cell>
          <cell r="AV5767">
            <v>0</v>
          </cell>
        </row>
        <row r="5768">
          <cell r="E5768" t="str">
            <v>D26000268</v>
          </cell>
          <cell r="AP5768">
            <v>0</v>
          </cell>
          <cell r="AQ5768">
            <v>0</v>
          </cell>
          <cell r="AV5768">
            <v>0</v>
          </cell>
        </row>
        <row r="5769">
          <cell r="E5769" t="str">
            <v>D26000275</v>
          </cell>
          <cell r="AP5769">
            <v>0</v>
          </cell>
          <cell r="AQ5769">
            <v>0</v>
          </cell>
          <cell r="AV5769">
            <v>0</v>
          </cell>
        </row>
        <row r="5770">
          <cell r="E5770" t="str">
            <v>D26000355</v>
          </cell>
          <cell r="AP5770">
            <v>0</v>
          </cell>
          <cell r="AQ5770">
            <v>0</v>
          </cell>
          <cell r="AV5770">
            <v>0</v>
          </cell>
        </row>
        <row r="5771">
          <cell r="E5771" t="str">
            <v>D26000788</v>
          </cell>
          <cell r="AP5771">
            <v>0</v>
          </cell>
          <cell r="AQ5771">
            <v>0</v>
          </cell>
          <cell r="AV5771">
            <v>0</v>
          </cell>
        </row>
        <row r="5772">
          <cell r="E5772" t="str">
            <v>D26001044</v>
          </cell>
          <cell r="AP5772">
            <v>0</v>
          </cell>
          <cell r="AQ5772">
            <v>0</v>
          </cell>
          <cell r="AV5772">
            <v>0</v>
          </cell>
        </row>
        <row r="5773">
          <cell r="E5773" t="str">
            <v>D26001231</v>
          </cell>
          <cell r="AP5773">
            <v>0</v>
          </cell>
          <cell r="AQ5773">
            <v>0</v>
          </cell>
          <cell r="AV5773">
            <v>0</v>
          </cell>
        </row>
        <row r="5774">
          <cell r="E5774" t="str">
            <v>D26001274</v>
          </cell>
          <cell r="AP5774">
            <v>0</v>
          </cell>
          <cell r="AQ5774">
            <v>0</v>
          </cell>
          <cell r="AV5774">
            <v>0</v>
          </cell>
        </row>
        <row r="5775">
          <cell r="E5775" t="str">
            <v>D26001280</v>
          </cell>
          <cell r="AP5775">
            <v>0</v>
          </cell>
          <cell r="AQ5775">
            <v>0</v>
          </cell>
          <cell r="AV5775">
            <v>0</v>
          </cell>
        </row>
        <row r="5776">
          <cell r="E5776" t="str">
            <v>B26001232</v>
          </cell>
          <cell r="AP5776">
            <v>0</v>
          </cell>
          <cell r="AQ5776">
            <v>0</v>
          </cell>
          <cell r="AV5776">
            <v>0</v>
          </cell>
        </row>
        <row r="5777">
          <cell r="E5777" t="str">
            <v>D26001779</v>
          </cell>
          <cell r="AP5777">
            <v>0</v>
          </cell>
          <cell r="AQ5777">
            <v>0</v>
          </cell>
          <cell r="AV5777">
            <v>0</v>
          </cell>
        </row>
        <row r="5778">
          <cell r="E5778" t="str">
            <v>D26001782</v>
          </cell>
          <cell r="AP5778">
            <v>0</v>
          </cell>
          <cell r="AQ5778">
            <v>0</v>
          </cell>
          <cell r="AV5778">
            <v>0</v>
          </cell>
        </row>
        <row r="5779">
          <cell r="E5779" t="str">
            <v>B26001945</v>
          </cell>
          <cell r="AP5779">
            <v>0</v>
          </cell>
          <cell r="AQ5779">
            <v>0</v>
          </cell>
          <cell r="AV5779">
            <v>0</v>
          </cell>
        </row>
        <row r="5780">
          <cell r="E5780" t="str">
            <v>B25016320</v>
          </cell>
          <cell r="AP5780">
            <v>0</v>
          </cell>
          <cell r="AQ5780">
            <v>0</v>
          </cell>
          <cell r="AV5780">
            <v>0</v>
          </cell>
        </row>
        <row r="5781">
          <cell r="E5781" t="str">
            <v>B26001603</v>
          </cell>
          <cell r="AP5781">
            <v>0</v>
          </cell>
          <cell r="AQ5781">
            <v>0</v>
          </cell>
          <cell r="AV5781">
            <v>1978000</v>
          </cell>
        </row>
        <row r="5782">
          <cell r="E5782" t="str">
            <v>B26001436</v>
          </cell>
          <cell r="AP5782">
            <v>0</v>
          </cell>
          <cell r="AQ5782">
            <v>0</v>
          </cell>
          <cell r="AV5782">
            <v>0</v>
          </cell>
        </row>
        <row r="5783">
          <cell r="E5783" t="str">
            <v>D25018732</v>
          </cell>
          <cell r="AP5783">
            <v>0</v>
          </cell>
          <cell r="AQ5783">
            <v>0</v>
          </cell>
          <cell r="AV5783">
            <v>1062500</v>
          </cell>
        </row>
        <row r="5784">
          <cell r="E5784" t="str">
            <v>B26000254</v>
          </cell>
          <cell r="AP5784">
            <v>0</v>
          </cell>
          <cell r="AQ5784">
            <v>0</v>
          </cell>
          <cell r="AV5784">
            <v>1800000</v>
          </cell>
        </row>
        <row r="5785">
          <cell r="E5785" t="str">
            <v>B26000255</v>
          </cell>
          <cell r="AP5785">
            <v>0</v>
          </cell>
          <cell r="AQ5785">
            <v>0</v>
          </cell>
          <cell r="AV5785">
            <v>680000</v>
          </cell>
        </row>
        <row r="5786">
          <cell r="E5786" t="str">
            <v>T26000046</v>
          </cell>
          <cell r="AP5786">
            <v>0</v>
          </cell>
          <cell r="AQ5786">
            <v>0</v>
          </cell>
          <cell r="AV5786">
            <v>0</v>
          </cell>
        </row>
        <row r="5787">
          <cell r="E5787" t="str">
            <v>D26001104</v>
          </cell>
          <cell r="AP5787">
            <v>0</v>
          </cell>
          <cell r="AQ5787">
            <v>0</v>
          </cell>
          <cell r="AV5787">
            <v>0</v>
          </cell>
        </row>
        <row r="5788">
          <cell r="E5788" t="str">
            <v>D26001105</v>
          </cell>
          <cell r="AP5788">
            <v>0</v>
          </cell>
          <cell r="AQ5788">
            <v>0</v>
          </cell>
          <cell r="AV5788">
            <v>0</v>
          </cell>
        </row>
        <row r="5789">
          <cell r="E5789" t="str">
            <v>D25019640</v>
          </cell>
          <cell r="AP5789">
            <v>0</v>
          </cell>
          <cell r="AQ5789">
            <v>0</v>
          </cell>
          <cell r="AV5789">
            <v>0</v>
          </cell>
        </row>
        <row r="5790">
          <cell r="E5790" t="str">
            <v>D25019720</v>
          </cell>
          <cell r="AP5790">
            <v>0</v>
          </cell>
          <cell r="AQ5790">
            <v>0</v>
          </cell>
          <cell r="AV5790">
            <v>0</v>
          </cell>
        </row>
        <row r="5791">
          <cell r="E5791" t="str">
            <v>T25001900</v>
          </cell>
          <cell r="AP5791">
            <v>0</v>
          </cell>
          <cell r="AQ5791">
            <v>0</v>
          </cell>
          <cell r="AV5791">
            <v>0</v>
          </cell>
        </row>
        <row r="5792">
          <cell r="E5792" t="str">
            <v>T25001901</v>
          </cell>
          <cell r="AP5792">
            <v>0</v>
          </cell>
          <cell r="AQ5792">
            <v>0</v>
          </cell>
          <cell r="AV5792">
            <v>0</v>
          </cell>
        </row>
        <row r="5793">
          <cell r="E5793" t="str">
            <v>D26000325</v>
          </cell>
          <cell r="AP5793">
            <v>0</v>
          </cell>
          <cell r="AQ5793">
            <v>0</v>
          </cell>
          <cell r="AV5793">
            <v>0</v>
          </cell>
        </row>
        <row r="5794">
          <cell r="E5794" t="str">
            <v>D26000877</v>
          </cell>
          <cell r="AP5794">
            <v>0</v>
          </cell>
          <cell r="AQ5794">
            <v>0</v>
          </cell>
          <cell r="AV5794">
            <v>0</v>
          </cell>
        </row>
        <row r="5795">
          <cell r="E5795" t="str">
            <v>B26000163</v>
          </cell>
          <cell r="AP5795">
            <v>0</v>
          </cell>
          <cell r="AQ5795">
            <v>0</v>
          </cell>
          <cell r="AV5795">
            <v>0</v>
          </cell>
        </row>
        <row r="5796">
          <cell r="E5796" t="str">
            <v>B26000164</v>
          </cell>
          <cell r="AP5796">
            <v>0</v>
          </cell>
          <cell r="AQ5796">
            <v>0</v>
          </cell>
          <cell r="AV5796">
            <v>0</v>
          </cell>
        </row>
        <row r="5797">
          <cell r="E5797" t="str">
            <v>B26001386</v>
          </cell>
          <cell r="AP5797">
            <v>0</v>
          </cell>
          <cell r="AQ5797">
            <v>0</v>
          </cell>
          <cell r="AV5797">
            <v>0</v>
          </cell>
        </row>
        <row r="5798">
          <cell r="E5798" t="str">
            <v>B25016817</v>
          </cell>
          <cell r="AP5798">
            <v>0</v>
          </cell>
          <cell r="AQ5798">
            <v>0</v>
          </cell>
          <cell r="AV5798">
            <v>0</v>
          </cell>
        </row>
        <row r="5799">
          <cell r="E5799" t="str">
            <v>B25016821</v>
          </cell>
          <cell r="AP5799">
            <v>0</v>
          </cell>
          <cell r="AQ5799">
            <v>0</v>
          </cell>
          <cell r="AV5799">
            <v>0</v>
          </cell>
        </row>
        <row r="5800">
          <cell r="E5800" t="str">
            <v>B25016835</v>
          </cell>
          <cell r="AP5800">
            <v>0</v>
          </cell>
          <cell r="AQ5800">
            <v>0</v>
          </cell>
          <cell r="AV5800">
            <v>0</v>
          </cell>
        </row>
        <row r="5801">
          <cell r="E5801" t="str">
            <v>N25000087</v>
          </cell>
          <cell r="AP5801">
            <v>0</v>
          </cell>
          <cell r="AQ5801">
            <v>0</v>
          </cell>
          <cell r="AV5801">
            <v>0</v>
          </cell>
        </row>
        <row r="5802">
          <cell r="E5802" t="str">
            <v>D25019685</v>
          </cell>
          <cell r="AP5802">
            <v>0</v>
          </cell>
          <cell r="AQ5802">
            <v>0</v>
          </cell>
          <cell r="AV5802">
            <v>0</v>
          </cell>
        </row>
        <row r="5803">
          <cell r="E5803" t="str">
            <v>B26000305</v>
          </cell>
          <cell r="AP5803">
            <v>0</v>
          </cell>
          <cell r="AQ5803">
            <v>0</v>
          </cell>
          <cell r="AV5803">
            <v>0</v>
          </cell>
        </row>
        <row r="5804">
          <cell r="E5804" t="str">
            <v>D26000342</v>
          </cell>
          <cell r="AP5804">
            <v>0</v>
          </cell>
          <cell r="AQ5804">
            <v>0</v>
          </cell>
          <cell r="AV5804">
            <v>0</v>
          </cell>
        </row>
        <row r="5805">
          <cell r="E5805" t="str">
            <v>B26001263</v>
          </cell>
          <cell r="AP5805">
            <v>0</v>
          </cell>
          <cell r="AQ5805">
            <v>0</v>
          </cell>
          <cell r="AV5805">
            <v>0</v>
          </cell>
        </row>
        <row r="5806">
          <cell r="E5806" t="str">
            <v>B25010943</v>
          </cell>
          <cell r="AP5806">
            <v>0</v>
          </cell>
          <cell r="AQ5806">
            <v>0</v>
          </cell>
          <cell r="AV5806">
            <v>0</v>
          </cell>
        </row>
        <row r="5807">
          <cell r="E5807" t="str">
            <v>D25017776</v>
          </cell>
          <cell r="AP5807">
            <v>0</v>
          </cell>
          <cell r="AQ5807">
            <v>0</v>
          </cell>
          <cell r="AV5807">
            <v>3750000</v>
          </cell>
        </row>
        <row r="5808">
          <cell r="E5808" t="str">
            <v>D25018243</v>
          </cell>
          <cell r="AP5808">
            <v>0</v>
          </cell>
          <cell r="AQ5808">
            <v>0</v>
          </cell>
          <cell r="AV5808">
            <v>3250000</v>
          </cell>
        </row>
        <row r="5809">
          <cell r="E5809" t="str">
            <v>D25018571</v>
          </cell>
          <cell r="AP5809">
            <v>0</v>
          </cell>
          <cell r="AQ5809">
            <v>0</v>
          </cell>
          <cell r="AV5809">
            <v>0</v>
          </cell>
        </row>
        <row r="5810">
          <cell r="E5810" t="str">
            <v>B25016168</v>
          </cell>
          <cell r="AP5810">
            <v>0</v>
          </cell>
          <cell r="AQ5810">
            <v>0</v>
          </cell>
          <cell r="AV5810">
            <v>0</v>
          </cell>
        </row>
        <row r="5811">
          <cell r="E5811" t="str">
            <v>T25001842</v>
          </cell>
          <cell r="AP5811">
            <v>0</v>
          </cell>
          <cell r="AQ5811">
            <v>0</v>
          </cell>
          <cell r="AV5811">
            <v>0</v>
          </cell>
        </row>
        <row r="5812">
          <cell r="E5812" t="str">
            <v>D25018833</v>
          </cell>
          <cell r="AP5812">
            <v>0</v>
          </cell>
          <cell r="AQ5812">
            <v>0</v>
          </cell>
          <cell r="AV5812">
            <v>0</v>
          </cell>
        </row>
        <row r="5813">
          <cell r="E5813" t="str">
            <v>D25019627</v>
          </cell>
          <cell r="AP5813">
            <v>0</v>
          </cell>
          <cell r="AQ5813">
            <v>0</v>
          </cell>
          <cell r="AV5813">
            <v>0</v>
          </cell>
        </row>
        <row r="5814">
          <cell r="E5814" t="str">
            <v>D25019118</v>
          </cell>
          <cell r="AP5814">
            <v>0</v>
          </cell>
          <cell r="AQ5814">
            <v>0</v>
          </cell>
          <cell r="AV5814">
            <v>5800000</v>
          </cell>
        </row>
        <row r="5815">
          <cell r="E5815" t="str">
            <v>D25019140</v>
          </cell>
          <cell r="AP5815">
            <v>0</v>
          </cell>
          <cell r="AQ5815">
            <v>0</v>
          </cell>
          <cell r="AV5815">
            <v>250000</v>
          </cell>
        </row>
        <row r="5816">
          <cell r="E5816" t="str">
            <v>D26000402</v>
          </cell>
          <cell r="AP5816">
            <v>0</v>
          </cell>
          <cell r="AQ5816">
            <v>0</v>
          </cell>
          <cell r="AV5816">
            <v>0</v>
          </cell>
        </row>
        <row r="5817">
          <cell r="E5817" t="str">
            <v>D26000403</v>
          </cell>
          <cell r="AP5817">
            <v>0</v>
          </cell>
          <cell r="AQ5817">
            <v>0</v>
          </cell>
          <cell r="AV5817">
            <v>0</v>
          </cell>
        </row>
        <row r="5818">
          <cell r="E5818" t="str">
            <v>D25018300</v>
          </cell>
          <cell r="AP5818">
            <v>500</v>
          </cell>
          <cell r="AQ5818">
            <v>0</v>
          </cell>
          <cell r="AV5818">
            <v>6357000</v>
          </cell>
        </row>
        <row r="5819">
          <cell r="E5819" t="str">
            <v>B25016008</v>
          </cell>
          <cell r="AP5819">
            <v>0</v>
          </cell>
          <cell r="AQ5819">
            <v>0</v>
          </cell>
          <cell r="AV5819">
            <v>0</v>
          </cell>
        </row>
        <row r="5820">
          <cell r="E5820" t="str">
            <v>B26000092</v>
          </cell>
          <cell r="AP5820">
            <v>0</v>
          </cell>
          <cell r="AQ5820">
            <v>0</v>
          </cell>
          <cell r="AV5820">
            <v>0</v>
          </cell>
        </row>
        <row r="5821">
          <cell r="E5821" t="str">
            <v>B26000272</v>
          </cell>
          <cell r="AP5821">
            <v>0</v>
          </cell>
          <cell r="AQ5821">
            <v>0</v>
          </cell>
          <cell r="AV5821">
            <v>0</v>
          </cell>
        </row>
        <row r="5822">
          <cell r="E5822" t="str">
            <v>B26000607</v>
          </cell>
          <cell r="AP5822">
            <v>0</v>
          </cell>
          <cell r="AQ5822">
            <v>0</v>
          </cell>
          <cell r="AV5822">
            <v>0</v>
          </cell>
        </row>
        <row r="5823">
          <cell r="E5823" t="str">
            <v>T26000038</v>
          </cell>
          <cell r="AP5823">
            <v>0</v>
          </cell>
          <cell r="AQ5823">
            <v>0</v>
          </cell>
          <cell r="AV5823">
            <v>0</v>
          </cell>
        </row>
        <row r="5824">
          <cell r="E5824" t="str">
            <v>D26001347</v>
          </cell>
          <cell r="AP5824">
            <v>0</v>
          </cell>
          <cell r="AQ5824">
            <v>0</v>
          </cell>
          <cell r="AV5824">
            <v>0</v>
          </cell>
        </row>
        <row r="5825">
          <cell r="E5825" t="str">
            <v>Z26000263</v>
          </cell>
          <cell r="AP5825">
            <v>0</v>
          </cell>
          <cell r="AQ5825">
            <v>0</v>
          </cell>
          <cell r="AV5825">
            <v>0</v>
          </cell>
        </row>
        <row r="5826">
          <cell r="E5826" t="str">
            <v>Z26000265</v>
          </cell>
          <cell r="AP5826">
            <v>0</v>
          </cell>
          <cell r="AQ5826">
            <v>0</v>
          </cell>
          <cell r="AV5826">
            <v>0</v>
          </cell>
        </row>
        <row r="5827">
          <cell r="E5827" t="str">
            <v>Z26000343</v>
          </cell>
          <cell r="AP5827">
            <v>0</v>
          </cell>
          <cell r="AQ5827">
            <v>0</v>
          </cell>
          <cell r="AV5827">
            <v>138280000</v>
          </cell>
        </row>
        <row r="5828">
          <cell r="E5828" t="str">
            <v>T25001586</v>
          </cell>
          <cell r="AP5828">
            <v>0</v>
          </cell>
          <cell r="AQ5828">
            <v>0</v>
          </cell>
          <cell r="AV5828">
            <v>0</v>
          </cell>
        </row>
        <row r="5829">
          <cell r="E5829" t="str">
            <v>D25016178</v>
          </cell>
          <cell r="AP5829">
            <v>0</v>
          </cell>
          <cell r="AQ5829">
            <v>0</v>
          </cell>
          <cell r="AV5829">
            <v>30000000</v>
          </cell>
        </row>
        <row r="5830">
          <cell r="E5830" t="str">
            <v>D25018900</v>
          </cell>
          <cell r="AP5830">
            <v>0</v>
          </cell>
          <cell r="AQ5830">
            <v>0</v>
          </cell>
          <cell r="AV5830">
            <v>0</v>
          </cell>
        </row>
        <row r="5831">
          <cell r="E5831" t="str">
            <v>D25018997</v>
          </cell>
          <cell r="AP5831">
            <v>0</v>
          </cell>
          <cell r="AQ5831">
            <v>0</v>
          </cell>
          <cell r="AV5831">
            <v>0</v>
          </cell>
        </row>
        <row r="5832">
          <cell r="E5832" t="str">
            <v>D25018998</v>
          </cell>
          <cell r="AP5832">
            <v>0</v>
          </cell>
          <cell r="AQ5832">
            <v>0</v>
          </cell>
          <cell r="AV5832">
            <v>0</v>
          </cell>
        </row>
        <row r="5833">
          <cell r="E5833" t="str">
            <v>D25019266</v>
          </cell>
          <cell r="AP5833">
            <v>0</v>
          </cell>
          <cell r="AQ5833">
            <v>0</v>
          </cell>
          <cell r="AV5833">
            <v>0</v>
          </cell>
        </row>
        <row r="5834">
          <cell r="E5834" t="str">
            <v>D26001677</v>
          </cell>
          <cell r="AP5834">
            <v>0</v>
          </cell>
          <cell r="AQ5834">
            <v>0</v>
          </cell>
          <cell r="AV5834">
            <v>5287500</v>
          </cell>
        </row>
        <row r="5835">
          <cell r="E5835" t="str">
            <v>D26001678</v>
          </cell>
          <cell r="AP5835">
            <v>0</v>
          </cell>
          <cell r="AQ5835">
            <v>0</v>
          </cell>
          <cell r="AV5835">
            <v>0</v>
          </cell>
        </row>
        <row r="5836">
          <cell r="E5836" t="str">
            <v>D26001679</v>
          </cell>
          <cell r="AP5836">
            <v>0</v>
          </cell>
          <cell r="AQ5836">
            <v>0</v>
          </cell>
          <cell r="AV5836">
            <v>0</v>
          </cell>
        </row>
        <row r="5837">
          <cell r="E5837" t="str">
            <v>D26001680</v>
          </cell>
          <cell r="AP5837">
            <v>0</v>
          </cell>
          <cell r="AQ5837">
            <v>0</v>
          </cell>
          <cell r="AV5837">
            <v>0</v>
          </cell>
        </row>
        <row r="5838">
          <cell r="E5838" t="str">
            <v>T26000108</v>
          </cell>
          <cell r="AP5838">
            <v>0</v>
          </cell>
          <cell r="AQ5838">
            <v>0</v>
          </cell>
          <cell r="AV5838">
            <v>0</v>
          </cell>
        </row>
        <row r="5839">
          <cell r="E5839" t="str">
            <v>B26001615</v>
          </cell>
          <cell r="AP5839">
            <v>0</v>
          </cell>
          <cell r="AQ5839">
            <v>0</v>
          </cell>
          <cell r="AV5839">
            <v>11450000</v>
          </cell>
        </row>
        <row r="5840">
          <cell r="E5840" t="str">
            <v>D26000273</v>
          </cell>
          <cell r="AP5840">
            <v>0</v>
          </cell>
          <cell r="AQ5840">
            <v>0</v>
          </cell>
          <cell r="AV5840">
            <v>0</v>
          </cell>
        </row>
        <row r="5841">
          <cell r="E5841" t="str">
            <v>B26000330</v>
          </cell>
          <cell r="AP5841">
            <v>0</v>
          </cell>
          <cell r="AQ5841">
            <v>0</v>
          </cell>
          <cell r="AV5841">
            <v>0</v>
          </cell>
        </row>
        <row r="5842">
          <cell r="E5842" t="str">
            <v>B26000475</v>
          </cell>
          <cell r="AP5842">
            <v>0</v>
          </cell>
          <cell r="AQ5842">
            <v>0</v>
          </cell>
          <cell r="AV5842">
            <v>0</v>
          </cell>
        </row>
        <row r="5843">
          <cell r="E5843" t="str">
            <v>D26001658</v>
          </cell>
          <cell r="AP5843">
            <v>0</v>
          </cell>
          <cell r="AQ5843">
            <v>0</v>
          </cell>
          <cell r="AV5843">
            <v>0</v>
          </cell>
        </row>
        <row r="5844">
          <cell r="E5844" t="str">
            <v>D25013475</v>
          </cell>
          <cell r="AP5844">
            <v>0</v>
          </cell>
          <cell r="AQ5844">
            <v>0</v>
          </cell>
          <cell r="AV5844">
            <v>0</v>
          </cell>
        </row>
        <row r="5845">
          <cell r="E5845" t="str">
            <v>B25012121</v>
          </cell>
          <cell r="AP5845">
            <v>0</v>
          </cell>
          <cell r="AQ5845">
            <v>0</v>
          </cell>
          <cell r="AV5845">
            <v>0</v>
          </cell>
        </row>
        <row r="5846">
          <cell r="E5846" t="str">
            <v>B25016643</v>
          </cell>
          <cell r="AP5846">
            <v>0</v>
          </cell>
          <cell r="AQ5846">
            <v>0</v>
          </cell>
          <cell r="AV5846">
            <v>0</v>
          </cell>
        </row>
        <row r="5847">
          <cell r="E5847" t="str">
            <v>D25019413</v>
          </cell>
          <cell r="AP5847">
            <v>0</v>
          </cell>
          <cell r="AQ5847">
            <v>0</v>
          </cell>
          <cell r="AV5847">
            <v>0</v>
          </cell>
        </row>
        <row r="5848">
          <cell r="E5848" t="str">
            <v>D25019414</v>
          </cell>
          <cell r="AP5848">
            <v>0</v>
          </cell>
          <cell r="AQ5848">
            <v>0</v>
          </cell>
          <cell r="AV5848">
            <v>0</v>
          </cell>
        </row>
        <row r="5849">
          <cell r="E5849" t="str">
            <v>D25019415</v>
          </cell>
          <cell r="AP5849">
            <v>0</v>
          </cell>
          <cell r="AQ5849">
            <v>0</v>
          </cell>
          <cell r="AV5849">
            <v>0</v>
          </cell>
        </row>
        <row r="5850">
          <cell r="E5850" t="str">
            <v>B26000258</v>
          </cell>
          <cell r="AP5850">
            <v>0</v>
          </cell>
          <cell r="AQ5850">
            <v>0</v>
          </cell>
          <cell r="AV5850">
            <v>0</v>
          </cell>
        </row>
        <row r="5851">
          <cell r="E5851" t="str">
            <v>B26000259</v>
          </cell>
          <cell r="AP5851">
            <v>0</v>
          </cell>
          <cell r="AQ5851">
            <v>0</v>
          </cell>
          <cell r="AV5851">
            <v>0</v>
          </cell>
        </row>
        <row r="5852">
          <cell r="E5852" t="str">
            <v>D26000417</v>
          </cell>
          <cell r="AP5852">
            <v>0</v>
          </cell>
          <cell r="AQ5852">
            <v>0</v>
          </cell>
          <cell r="AV5852">
            <v>0</v>
          </cell>
        </row>
        <row r="5853">
          <cell r="E5853" t="str">
            <v>D26000895</v>
          </cell>
          <cell r="AP5853">
            <v>0</v>
          </cell>
          <cell r="AQ5853">
            <v>0</v>
          </cell>
          <cell r="AV5853">
            <v>0</v>
          </cell>
        </row>
        <row r="5854">
          <cell r="E5854" t="str">
            <v>B26001318</v>
          </cell>
          <cell r="AP5854">
            <v>0</v>
          </cell>
          <cell r="AQ5854">
            <v>0</v>
          </cell>
          <cell r="AV5854">
            <v>0</v>
          </cell>
        </row>
        <row r="5855">
          <cell r="E5855" t="str">
            <v>B26001322</v>
          </cell>
          <cell r="AP5855">
            <v>0</v>
          </cell>
          <cell r="AQ5855">
            <v>0</v>
          </cell>
          <cell r="AV5855">
            <v>0</v>
          </cell>
        </row>
        <row r="5856">
          <cell r="E5856" t="str">
            <v>B25015291</v>
          </cell>
          <cell r="AP5856">
            <v>0</v>
          </cell>
          <cell r="AQ5856">
            <v>0</v>
          </cell>
          <cell r="AV5856">
            <v>0</v>
          </cell>
        </row>
        <row r="5857">
          <cell r="E5857" t="str">
            <v>D25018254</v>
          </cell>
          <cell r="AP5857">
            <v>0</v>
          </cell>
          <cell r="AQ5857">
            <v>0</v>
          </cell>
          <cell r="AV5857">
            <v>0</v>
          </cell>
        </row>
        <row r="5858">
          <cell r="E5858" t="str">
            <v>D25019042</v>
          </cell>
          <cell r="AP5858">
            <v>0</v>
          </cell>
          <cell r="AQ5858">
            <v>0</v>
          </cell>
          <cell r="AV5858">
            <v>0</v>
          </cell>
        </row>
        <row r="5859">
          <cell r="E5859" t="str">
            <v>D25019668</v>
          </cell>
          <cell r="AP5859">
            <v>0</v>
          </cell>
          <cell r="AQ5859">
            <v>0</v>
          </cell>
          <cell r="AV5859">
            <v>0</v>
          </cell>
        </row>
        <row r="5860">
          <cell r="E5860" t="str">
            <v>B26000242</v>
          </cell>
          <cell r="AP5860">
            <v>0</v>
          </cell>
          <cell r="AQ5860">
            <v>0</v>
          </cell>
          <cell r="AV5860">
            <v>0</v>
          </cell>
        </row>
        <row r="5861">
          <cell r="E5861" t="str">
            <v>B26000243</v>
          </cell>
          <cell r="AP5861">
            <v>0</v>
          </cell>
          <cell r="AQ5861">
            <v>0</v>
          </cell>
          <cell r="AV5861">
            <v>0</v>
          </cell>
        </row>
        <row r="5862">
          <cell r="E5862" t="str">
            <v>D26000301</v>
          </cell>
          <cell r="AP5862">
            <v>0</v>
          </cell>
          <cell r="AQ5862">
            <v>0</v>
          </cell>
          <cell r="AV5862">
            <v>0</v>
          </cell>
        </row>
        <row r="5863">
          <cell r="E5863" t="str">
            <v>D26001064</v>
          </cell>
          <cell r="AP5863">
            <v>0</v>
          </cell>
          <cell r="AQ5863">
            <v>0</v>
          </cell>
          <cell r="AV5863">
            <v>0</v>
          </cell>
        </row>
        <row r="5864">
          <cell r="E5864" t="str">
            <v>D26001223</v>
          </cell>
          <cell r="AP5864">
            <v>0</v>
          </cell>
          <cell r="AQ5864">
            <v>0</v>
          </cell>
          <cell r="AV5864">
            <v>0</v>
          </cell>
        </row>
        <row r="5865">
          <cell r="E5865" t="str">
            <v>B26001371</v>
          </cell>
          <cell r="AP5865">
            <v>0</v>
          </cell>
          <cell r="AQ5865">
            <v>0</v>
          </cell>
          <cell r="AV5865">
            <v>0</v>
          </cell>
        </row>
        <row r="5866">
          <cell r="E5866" t="str">
            <v>D26001749</v>
          </cell>
          <cell r="AP5866">
            <v>0</v>
          </cell>
          <cell r="AQ5866">
            <v>0</v>
          </cell>
          <cell r="AV5866">
            <v>17800000</v>
          </cell>
        </row>
        <row r="5867">
          <cell r="E5867" t="str">
            <v>T26000026</v>
          </cell>
          <cell r="AP5867">
            <v>0</v>
          </cell>
          <cell r="AQ5867">
            <v>0</v>
          </cell>
          <cell r="AV5867">
            <v>0</v>
          </cell>
        </row>
        <row r="5868">
          <cell r="E5868" t="str">
            <v>T26000027</v>
          </cell>
          <cell r="AP5868">
            <v>0</v>
          </cell>
          <cell r="AQ5868">
            <v>0</v>
          </cell>
          <cell r="AV5868">
            <v>0</v>
          </cell>
        </row>
        <row r="5869">
          <cell r="E5869" t="str">
            <v>T26000076</v>
          </cell>
          <cell r="AP5869">
            <v>0</v>
          </cell>
          <cell r="AQ5869">
            <v>0</v>
          </cell>
          <cell r="AV5869">
            <v>0</v>
          </cell>
        </row>
        <row r="5870">
          <cell r="E5870" t="str">
            <v>B26001736</v>
          </cell>
          <cell r="AP5870">
            <v>0</v>
          </cell>
          <cell r="AQ5870">
            <v>0</v>
          </cell>
          <cell r="AV5870">
            <v>0</v>
          </cell>
        </row>
        <row r="5871">
          <cell r="E5871" t="str">
            <v>B25016736</v>
          </cell>
          <cell r="AP5871">
            <v>0</v>
          </cell>
          <cell r="AQ5871">
            <v>0</v>
          </cell>
          <cell r="AV5871">
            <v>5480000</v>
          </cell>
        </row>
        <row r="5872">
          <cell r="E5872" t="str">
            <v>D26000346</v>
          </cell>
          <cell r="AP5872">
            <v>0</v>
          </cell>
          <cell r="AQ5872">
            <v>0</v>
          </cell>
          <cell r="AV5872">
            <v>0</v>
          </cell>
        </row>
        <row r="5873">
          <cell r="E5873" t="str">
            <v>D26000534</v>
          </cell>
          <cell r="AP5873">
            <v>0</v>
          </cell>
          <cell r="AQ5873">
            <v>0</v>
          </cell>
          <cell r="AV5873">
            <v>0</v>
          </cell>
        </row>
        <row r="5874">
          <cell r="E5874" t="str">
            <v>B26001022</v>
          </cell>
          <cell r="AP5874">
            <v>0</v>
          </cell>
          <cell r="AQ5874">
            <v>0</v>
          </cell>
          <cell r="AV5874">
            <v>0</v>
          </cell>
        </row>
        <row r="5875">
          <cell r="E5875" t="str">
            <v>D26001563</v>
          </cell>
          <cell r="AP5875">
            <v>0</v>
          </cell>
          <cell r="AQ5875">
            <v>0</v>
          </cell>
          <cell r="AV5875">
            <v>0</v>
          </cell>
        </row>
        <row r="5876">
          <cell r="E5876" t="str">
            <v>D26001570</v>
          </cell>
          <cell r="AP5876">
            <v>0</v>
          </cell>
          <cell r="AQ5876">
            <v>0</v>
          </cell>
          <cell r="AV5876">
            <v>0</v>
          </cell>
        </row>
        <row r="5877">
          <cell r="E5877" t="str">
            <v>D26001586</v>
          </cell>
          <cell r="AP5877">
            <v>0</v>
          </cell>
          <cell r="AQ5877">
            <v>0</v>
          </cell>
          <cell r="AV5877">
            <v>0</v>
          </cell>
        </row>
        <row r="5878">
          <cell r="E5878" t="str">
            <v>D26001864</v>
          </cell>
          <cell r="AP5878">
            <v>0</v>
          </cell>
          <cell r="AQ5878">
            <v>0</v>
          </cell>
          <cell r="AV5878">
            <v>0</v>
          </cell>
        </row>
        <row r="5879">
          <cell r="E5879" t="str">
            <v>D25019389</v>
          </cell>
          <cell r="AP5879">
            <v>0</v>
          </cell>
          <cell r="AQ5879">
            <v>0</v>
          </cell>
          <cell r="AV5879">
            <v>0</v>
          </cell>
        </row>
        <row r="5880">
          <cell r="E5880" t="str">
            <v>D25019522</v>
          </cell>
          <cell r="AP5880">
            <v>0</v>
          </cell>
          <cell r="AQ5880">
            <v>0</v>
          </cell>
          <cell r="AV5880">
            <v>0</v>
          </cell>
        </row>
        <row r="5881">
          <cell r="E5881" t="str">
            <v>B26000228</v>
          </cell>
          <cell r="AP5881">
            <v>0</v>
          </cell>
          <cell r="AQ5881">
            <v>0</v>
          </cell>
          <cell r="AV5881">
            <v>0</v>
          </cell>
        </row>
        <row r="5882">
          <cell r="E5882" t="str">
            <v>D26000408</v>
          </cell>
          <cell r="AP5882">
            <v>0</v>
          </cell>
          <cell r="AQ5882">
            <v>0</v>
          </cell>
          <cell r="AV5882">
            <v>0</v>
          </cell>
        </row>
        <row r="5883">
          <cell r="E5883" t="str">
            <v>N26000010</v>
          </cell>
          <cell r="AP5883">
            <v>0</v>
          </cell>
          <cell r="AQ5883">
            <v>0</v>
          </cell>
          <cell r="AV5883">
            <v>0</v>
          </cell>
        </row>
        <row r="5884">
          <cell r="E5884" t="str">
            <v>B26001056</v>
          </cell>
          <cell r="AP5884">
            <v>0</v>
          </cell>
          <cell r="AQ5884">
            <v>0</v>
          </cell>
          <cell r="AV5884">
            <v>0</v>
          </cell>
        </row>
        <row r="5885">
          <cell r="E5885" t="str">
            <v>D26001762</v>
          </cell>
          <cell r="AP5885">
            <v>0</v>
          </cell>
          <cell r="AQ5885">
            <v>0</v>
          </cell>
          <cell r="AV5885">
            <v>0</v>
          </cell>
        </row>
        <row r="5886">
          <cell r="E5886" t="str">
            <v>B25017056</v>
          </cell>
          <cell r="AP5886">
            <v>0</v>
          </cell>
          <cell r="AQ5886">
            <v>0</v>
          </cell>
          <cell r="AV5886">
            <v>0</v>
          </cell>
        </row>
        <row r="5887">
          <cell r="E5887" t="str">
            <v>D26000311</v>
          </cell>
          <cell r="AP5887">
            <v>0</v>
          </cell>
          <cell r="AQ5887">
            <v>0</v>
          </cell>
          <cell r="AV5887">
            <v>0</v>
          </cell>
        </row>
        <row r="5888">
          <cell r="E5888" t="str">
            <v>D26000621</v>
          </cell>
          <cell r="AP5888">
            <v>0</v>
          </cell>
          <cell r="AQ5888">
            <v>0</v>
          </cell>
          <cell r="AV5888">
            <v>0</v>
          </cell>
        </row>
        <row r="5889">
          <cell r="E5889" t="str">
            <v>D26000622</v>
          </cell>
          <cell r="AP5889">
            <v>0</v>
          </cell>
          <cell r="AQ5889">
            <v>0</v>
          </cell>
          <cell r="AV5889">
            <v>0</v>
          </cell>
        </row>
        <row r="5890">
          <cell r="E5890" t="str">
            <v>B26000676</v>
          </cell>
          <cell r="AP5890">
            <v>0</v>
          </cell>
          <cell r="AQ5890">
            <v>0</v>
          </cell>
          <cell r="AV5890">
            <v>0</v>
          </cell>
        </row>
        <row r="5891">
          <cell r="E5891" t="str">
            <v>D26000679</v>
          </cell>
          <cell r="AP5891">
            <v>0</v>
          </cell>
          <cell r="AQ5891">
            <v>0</v>
          </cell>
          <cell r="AV5891">
            <v>0</v>
          </cell>
        </row>
        <row r="5892">
          <cell r="E5892" t="str">
            <v>D26000763</v>
          </cell>
          <cell r="AP5892">
            <v>0</v>
          </cell>
          <cell r="AQ5892">
            <v>0</v>
          </cell>
          <cell r="AV5892">
            <v>0</v>
          </cell>
        </row>
        <row r="5893">
          <cell r="E5893" t="str">
            <v>D26000982</v>
          </cell>
          <cell r="AP5893">
            <v>0</v>
          </cell>
          <cell r="AQ5893">
            <v>0</v>
          </cell>
          <cell r="AV5893">
            <v>0</v>
          </cell>
        </row>
        <row r="5894">
          <cell r="E5894" t="str">
            <v>D26001092</v>
          </cell>
          <cell r="AP5894">
            <v>0</v>
          </cell>
          <cell r="AQ5894">
            <v>0</v>
          </cell>
          <cell r="AV5894">
            <v>0</v>
          </cell>
        </row>
        <row r="5895">
          <cell r="E5895" t="str">
            <v>B26001079</v>
          </cell>
          <cell r="AP5895">
            <v>0</v>
          </cell>
          <cell r="AQ5895">
            <v>0</v>
          </cell>
          <cell r="AV5895">
            <v>0</v>
          </cell>
        </row>
        <row r="5896">
          <cell r="E5896" t="str">
            <v>B26001204</v>
          </cell>
          <cell r="AP5896">
            <v>0</v>
          </cell>
          <cell r="AQ5896">
            <v>0</v>
          </cell>
          <cell r="AV5896">
            <v>0</v>
          </cell>
        </row>
        <row r="5897">
          <cell r="E5897" t="str">
            <v>D26001279</v>
          </cell>
          <cell r="AP5897">
            <v>0</v>
          </cell>
          <cell r="AQ5897">
            <v>0</v>
          </cell>
          <cell r="AV5897">
            <v>0</v>
          </cell>
        </row>
        <row r="5898">
          <cell r="E5898" t="str">
            <v>D26001390</v>
          </cell>
          <cell r="AP5898">
            <v>0</v>
          </cell>
          <cell r="AQ5898">
            <v>0</v>
          </cell>
          <cell r="AV5898">
            <v>0</v>
          </cell>
        </row>
        <row r="5899">
          <cell r="E5899" t="str">
            <v>D26001463</v>
          </cell>
          <cell r="AP5899">
            <v>0</v>
          </cell>
          <cell r="AQ5899">
            <v>0</v>
          </cell>
          <cell r="AV5899">
            <v>0</v>
          </cell>
        </row>
        <row r="5900">
          <cell r="E5900" t="str">
            <v>B26001447</v>
          </cell>
          <cell r="AP5900">
            <v>0</v>
          </cell>
          <cell r="AQ5900">
            <v>0</v>
          </cell>
          <cell r="AV5900">
            <v>0</v>
          </cell>
        </row>
        <row r="5901">
          <cell r="E5901" t="str">
            <v>D26001532</v>
          </cell>
          <cell r="AP5901">
            <v>0</v>
          </cell>
          <cell r="AQ5901">
            <v>0</v>
          </cell>
          <cell r="AV5901">
            <v>0</v>
          </cell>
        </row>
        <row r="5902">
          <cell r="E5902" t="str">
            <v>D26001698</v>
          </cell>
          <cell r="AP5902">
            <v>0</v>
          </cell>
          <cell r="AQ5902">
            <v>1440000</v>
          </cell>
          <cell r="AV5902">
            <v>0</v>
          </cell>
        </row>
        <row r="5903">
          <cell r="E5903" t="str">
            <v>D26001699</v>
          </cell>
          <cell r="AP5903">
            <v>0</v>
          </cell>
          <cell r="AQ5903">
            <v>839500</v>
          </cell>
          <cell r="AV5903">
            <v>0</v>
          </cell>
        </row>
        <row r="5904">
          <cell r="E5904" t="str">
            <v>B26001644</v>
          </cell>
          <cell r="AP5904">
            <v>0</v>
          </cell>
          <cell r="AQ5904">
            <v>1647000</v>
          </cell>
          <cell r="AV5904">
            <v>0</v>
          </cell>
        </row>
        <row r="5905">
          <cell r="E5905" t="str">
            <v>B26001743</v>
          </cell>
          <cell r="AP5905">
            <v>0</v>
          </cell>
          <cell r="AQ5905">
            <v>3869500</v>
          </cell>
          <cell r="AV5905">
            <v>0</v>
          </cell>
        </row>
        <row r="5906">
          <cell r="E5906" t="str">
            <v>B26001744</v>
          </cell>
          <cell r="AP5906">
            <v>0</v>
          </cell>
          <cell r="AQ5906">
            <v>986500</v>
          </cell>
          <cell r="AV5906">
            <v>0</v>
          </cell>
        </row>
        <row r="5907">
          <cell r="E5907" t="str">
            <v>D26001925</v>
          </cell>
          <cell r="AP5907">
            <v>0</v>
          </cell>
          <cell r="AQ5907">
            <v>510000</v>
          </cell>
          <cell r="AV5907">
            <v>0</v>
          </cell>
        </row>
        <row r="5908">
          <cell r="E5908" t="str">
            <v>B25015512</v>
          </cell>
          <cell r="AP5908">
            <v>0</v>
          </cell>
          <cell r="AQ5908">
            <v>0</v>
          </cell>
          <cell r="AV5908">
            <v>137700000</v>
          </cell>
        </row>
        <row r="5909">
          <cell r="E5909" t="str">
            <v>B25015575</v>
          </cell>
          <cell r="AP5909">
            <v>0</v>
          </cell>
          <cell r="AQ5909">
            <v>0</v>
          </cell>
          <cell r="AV5909">
            <v>140000000</v>
          </cell>
        </row>
        <row r="5910">
          <cell r="E5910" t="str">
            <v>D25018433</v>
          </cell>
          <cell r="AP5910">
            <v>0</v>
          </cell>
          <cell r="AQ5910">
            <v>0</v>
          </cell>
          <cell r="AV5910">
            <v>0</v>
          </cell>
        </row>
        <row r="5911">
          <cell r="E5911" t="str">
            <v>T25001825</v>
          </cell>
          <cell r="AP5911">
            <v>0</v>
          </cell>
          <cell r="AQ5911">
            <v>0</v>
          </cell>
          <cell r="AV5911">
            <v>0</v>
          </cell>
        </row>
        <row r="5912">
          <cell r="E5912" t="str">
            <v>T25001840</v>
          </cell>
          <cell r="AP5912">
            <v>0</v>
          </cell>
          <cell r="AQ5912">
            <v>0</v>
          </cell>
          <cell r="AV5912">
            <v>0</v>
          </cell>
        </row>
        <row r="5913">
          <cell r="E5913" t="str">
            <v>B25016195</v>
          </cell>
          <cell r="AP5913">
            <v>0</v>
          </cell>
          <cell r="AQ5913">
            <v>0</v>
          </cell>
          <cell r="AV5913">
            <v>0</v>
          </cell>
        </row>
        <row r="5914">
          <cell r="E5914" t="str">
            <v>D25018882</v>
          </cell>
          <cell r="AP5914">
            <v>0</v>
          </cell>
          <cell r="AQ5914">
            <v>0</v>
          </cell>
          <cell r="AV5914">
            <v>0</v>
          </cell>
        </row>
        <row r="5915">
          <cell r="E5915" t="str">
            <v>D25019123</v>
          </cell>
          <cell r="AP5915">
            <v>0</v>
          </cell>
          <cell r="AQ5915">
            <v>0</v>
          </cell>
          <cell r="AV5915">
            <v>0</v>
          </cell>
        </row>
        <row r="5916">
          <cell r="E5916" t="str">
            <v>D26000372</v>
          </cell>
          <cell r="AP5916">
            <v>0</v>
          </cell>
          <cell r="AQ5916">
            <v>0</v>
          </cell>
          <cell r="AV5916">
            <v>0</v>
          </cell>
        </row>
        <row r="5917">
          <cell r="E5917" t="str">
            <v>D26000562</v>
          </cell>
          <cell r="AP5917">
            <v>0</v>
          </cell>
          <cell r="AQ5917">
            <v>0</v>
          </cell>
          <cell r="AV5917">
            <v>0</v>
          </cell>
        </row>
        <row r="5918">
          <cell r="E5918" t="str">
            <v>D26000795</v>
          </cell>
          <cell r="AP5918">
            <v>0</v>
          </cell>
          <cell r="AQ5918">
            <v>0</v>
          </cell>
          <cell r="AV5918">
            <v>0</v>
          </cell>
        </row>
        <row r="5919">
          <cell r="E5919" t="str">
            <v>D26001163</v>
          </cell>
          <cell r="AP5919">
            <v>0</v>
          </cell>
          <cell r="AQ5919">
            <v>0</v>
          </cell>
          <cell r="AV5919">
            <v>0</v>
          </cell>
        </row>
        <row r="5920">
          <cell r="E5920" t="str">
            <v>D26001164</v>
          </cell>
          <cell r="AP5920">
            <v>0</v>
          </cell>
          <cell r="AQ5920">
            <v>0</v>
          </cell>
          <cell r="AV5920">
            <v>0</v>
          </cell>
        </row>
        <row r="5921">
          <cell r="E5921" t="str">
            <v>D26001731</v>
          </cell>
          <cell r="AP5921">
            <v>0</v>
          </cell>
          <cell r="AQ5921">
            <v>0</v>
          </cell>
          <cell r="AV5921">
            <v>0</v>
          </cell>
        </row>
        <row r="5922">
          <cell r="E5922" t="str">
            <v>D26001755</v>
          </cell>
          <cell r="AP5922">
            <v>0</v>
          </cell>
          <cell r="AQ5922">
            <v>0</v>
          </cell>
          <cell r="AV5922">
            <v>0</v>
          </cell>
        </row>
        <row r="5923">
          <cell r="E5923" t="str">
            <v>B26001805</v>
          </cell>
          <cell r="AP5923">
            <v>0</v>
          </cell>
          <cell r="AQ5923">
            <v>0</v>
          </cell>
          <cell r="AV5923">
            <v>0</v>
          </cell>
        </row>
        <row r="5924">
          <cell r="E5924" t="str">
            <v>D26002032</v>
          </cell>
          <cell r="AP5924">
            <v>0</v>
          </cell>
          <cell r="AQ5924">
            <v>0</v>
          </cell>
          <cell r="AV5924">
            <v>0</v>
          </cell>
        </row>
        <row r="5925">
          <cell r="E5925" t="str">
            <v>D25016147</v>
          </cell>
          <cell r="AP5925">
            <v>0</v>
          </cell>
          <cell r="AQ5925">
            <v>0</v>
          </cell>
          <cell r="AV5925">
            <v>308125000</v>
          </cell>
        </row>
        <row r="5926">
          <cell r="E5926" t="str">
            <v>D25018869</v>
          </cell>
          <cell r="AP5926">
            <v>0</v>
          </cell>
          <cell r="AQ5926">
            <v>0</v>
          </cell>
          <cell r="AV5926">
            <v>0</v>
          </cell>
        </row>
        <row r="5927">
          <cell r="E5927" t="str">
            <v>Z25003266</v>
          </cell>
          <cell r="AP5927">
            <v>0</v>
          </cell>
          <cell r="AQ5927">
            <v>0</v>
          </cell>
          <cell r="AV5927">
            <v>0</v>
          </cell>
        </row>
        <row r="5928">
          <cell r="E5928" t="str">
            <v>D26000365</v>
          </cell>
          <cell r="AP5928">
            <v>0</v>
          </cell>
          <cell r="AQ5928">
            <v>0</v>
          </cell>
          <cell r="AV5928">
            <v>0</v>
          </cell>
        </row>
        <row r="5929">
          <cell r="E5929" t="str">
            <v>Z26000203</v>
          </cell>
          <cell r="AP5929">
            <v>0</v>
          </cell>
          <cell r="AQ5929">
            <v>0</v>
          </cell>
          <cell r="AV5929">
            <v>0</v>
          </cell>
        </row>
        <row r="5930">
          <cell r="E5930" t="str">
            <v>Z26000312</v>
          </cell>
          <cell r="AP5930">
            <v>0</v>
          </cell>
          <cell r="AQ5930">
            <v>0</v>
          </cell>
          <cell r="AV5930">
            <v>0</v>
          </cell>
        </row>
        <row r="5931">
          <cell r="E5931" t="str">
            <v>D26001870</v>
          </cell>
          <cell r="AP5931">
            <v>0</v>
          </cell>
          <cell r="AQ5931">
            <v>0</v>
          </cell>
          <cell r="AV5931">
            <v>0</v>
          </cell>
        </row>
        <row r="5932">
          <cell r="E5932" t="str">
            <v>Z26000338</v>
          </cell>
          <cell r="AP5932">
            <v>0</v>
          </cell>
          <cell r="AQ5932">
            <v>0</v>
          </cell>
          <cell r="AV5932">
            <v>0</v>
          </cell>
        </row>
        <row r="5933">
          <cell r="E5933" t="str">
            <v>Z26000357</v>
          </cell>
          <cell r="AP5933">
            <v>0</v>
          </cell>
          <cell r="AQ5933">
            <v>0</v>
          </cell>
          <cell r="AV5933">
            <v>0</v>
          </cell>
        </row>
        <row r="5934">
          <cell r="E5934" t="str">
            <v>D25016427</v>
          </cell>
          <cell r="AP5934">
            <v>0</v>
          </cell>
          <cell r="AQ5934">
            <v>0</v>
          </cell>
          <cell r="AV5934">
            <v>0</v>
          </cell>
        </row>
        <row r="5935">
          <cell r="E5935" t="str">
            <v>D25016464</v>
          </cell>
          <cell r="AP5935">
            <v>0</v>
          </cell>
          <cell r="AQ5935">
            <v>0</v>
          </cell>
          <cell r="AV5935">
            <v>0</v>
          </cell>
        </row>
        <row r="5936">
          <cell r="E5936" t="str">
            <v>D25016539</v>
          </cell>
          <cell r="AP5936">
            <v>0</v>
          </cell>
          <cell r="AQ5936">
            <v>0</v>
          </cell>
          <cell r="AV5936">
            <v>0</v>
          </cell>
        </row>
        <row r="5937">
          <cell r="E5937" t="str">
            <v>D25016812</v>
          </cell>
          <cell r="AP5937">
            <v>0</v>
          </cell>
          <cell r="AQ5937">
            <v>0</v>
          </cell>
          <cell r="AV5937">
            <v>0</v>
          </cell>
        </row>
        <row r="5938">
          <cell r="E5938" t="str">
            <v>D25017107</v>
          </cell>
          <cell r="AP5938">
            <v>0</v>
          </cell>
          <cell r="AQ5938">
            <v>0</v>
          </cell>
          <cell r="AV5938">
            <v>0</v>
          </cell>
        </row>
        <row r="5939">
          <cell r="E5939" t="str">
            <v>D25017315</v>
          </cell>
          <cell r="AP5939">
            <v>0</v>
          </cell>
          <cell r="AQ5939">
            <v>0</v>
          </cell>
          <cell r="AV5939">
            <v>0</v>
          </cell>
        </row>
        <row r="5940">
          <cell r="E5940" t="str">
            <v>D25017698</v>
          </cell>
          <cell r="AP5940">
            <v>0</v>
          </cell>
          <cell r="AQ5940">
            <v>0</v>
          </cell>
          <cell r="AV5940">
            <v>0</v>
          </cell>
        </row>
        <row r="5941">
          <cell r="E5941" t="str">
            <v>D25018251</v>
          </cell>
          <cell r="AP5941">
            <v>0</v>
          </cell>
          <cell r="AQ5941">
            <v>0</v>
          </cell>
          <cell r="AV5941">
            <v>0</v>
          </cell>
        </row>
        <row r="5942">
          <cell r="E5942" t="str">
            <v>D25018302</v>
          </cell>
          <cell r="AP5942">
            <v>0</v>
          </cell>
          <cell r="AQ5942">
            <v>0</v>
          </cell>
          <cell r="AV5942">
            <v>0</v>
          </cell>
        </row>
        <row r="5943">
          <cell r="E5943" t="str">
            <v>D25018453</v>
          </cell>
          <cell r="AP5943">
            <v>0</v>
          </cell>
          <cell r="AQ5943">
            <v>0</v>
          </cell>
          <cell r="AV5943">
            <v>0</v>
          </cell>
        </row>
        <row r="5944">
          <cell r="E5944" t="str">
            <v>D25018491</v>
          </cell>
          <cell r="AP5944">
            <v>0</v>
          </cell>
          <cell r="AQ5944">
            <v>0</v>
          </cell>
          <cell r="AV5944">
            <v>0</v>
          </cell>
        </row>
        <row r="5945">
          <cell r="E5945" t="str">
            <v>D25019005</v>
          </cell>
          <cell r="AP5945">
            <v>0</v>
          </cell>
          <cell r="AQ5945">
            <v>0</v>
          </cell>
          <cell r="AV5945">
            <v>0</v>
          </cell>
        </row>
        <row r="5946">
          <cell r="E5946" t="str">
            <v>D26000062</v>
          </cell>
          <cell r="AP5946">
            <v>0</v>
          </cell>
          <cell r="AQ5946">
            <v>0</v>
          </cell>
          <cell r="AV5946">
            <v>0</v>
          </cell>
        </row>
        <row r="5947">
          <cell r="E5947" t="str">
            <v>B26000565</v>
          </cell>
          <cell r="AP5947">
            <v>0</v>
          </cell>
          <cell r="AQ5947">
            <v>0</v>
          </cell>
          <cell r="AV5947">
            <v>0</v>
          </cell>
        </row>
        <row r="5948">
          <cell r="E5948" t="str">
            <v>D26000552</v>
          </cell>
          <cell r="AP5948">
            <v>0</v>
          </cell>
          <cell r="AQ5948">
            <v>0</v>
          </cell>
          <cell r="AV5948">
            <v>0</v>
          </cell>
        </row>
        <row r="5949">
          <cell r="E5949" t="str">
            <v>D26000595</v>
          </cell>
          <cell r="AP5949">
            <v>0</v>
          </cell>
          <cell r="AQ5949">
            <v>0</v>
          </cell>
          <cell r="AV5949">
            <v>0</v>
          </cell>
        </row>
        <row r="5950">
          <cell r="E5950" t="str">
            <v>D26000710</v>
          </cell>
          <cell r="AP5950">
            <v>0</v>
          </cell>
          <cell r="AQ5950">
            <v>0</v>
          </cell>
          <cell r="AV5950">
            <v>0</v>
          </cell>
        </row>
        <row r="5951">
          <cell r="E5951" t="str">
            <v>D26000721</v>
          </cell>
          <cell r="AP5951">
            <v>0</v>
          </cell>
          <cell r="AQ5951">
            <v>0</v>
          </cell>
          <cell r="AV5951">
            <v>0</v>
          </cell>
        </row>
        <row r="5952">
          <cell r="E5952" t="str">
            <v>D26000951</v>
          </cell>
          <cell r="AP5952">
            <v>0</v>
          </cell>
          <cell r="AQ5952">
            <v>0</v>
          </cell>
          <cell r="AV5952">
            <v>0</v>
          </cell>
        </row>
        <row r="5953">
          <cell r="E5953" t="str">
            <v>D26001083</v>
          </cell>
          <cell r="AP5953">
            <v>0</v>
          </cell>
          <cell r="AQ5953">
            <v>0</v>
          </cell>
          <cell r="AV5953">
            <v>0</v>
          </cell>
        </row>
        <row r="5954">
          <cell r="E5954" t="str">
            <v>D26001088</v>
          </cell>
          <cell r="AP5954">
            <v>0</v>
          </cell>
          <cell r="AQ5954">
            <v>0</v>
          </cell>
          <cell r="AV5954">
            <v>0</v>
          </cell>
        </row>
        <row r="5955">
          <cell r="E5955" t="str">
            <v>D26001122</v>
          </cell>
          <cell r="AP5955">
            <v>0</v>
          </cell>
          <cell r="AQ5955">
            <v>0</v>
          </cell>
          <cell r="AV5955">
            <v>0</v>
          </cell>
        </row>
        <row r="5956">
          <cell r="E5956" t="str">
            <v>D26001377</v>
          </cell>
          <cell r="AP5956">
            <v>0</v>
          </cell>
          <cell r="AQ5956">
            <v>0</v>
          </cell>
          <cell r="AV5956">
            <v>0</v>
          </cell>
        </row>
        <row r="5957">
          <cell r="E5957" t="str">
            <v>D26001477</v>
          </cell>
          <cell r="AP5957">
            <v>0</v>
          </cell>
          <cell r="AQ5957">
            <v>0</v>
          </cell>
          <cell r="AV5957">
            <v>0</v>
          </cell>
        </row>
        <row r="5958">
          <cell r="E5958" t="str">
            <v>D26001497</v>
          </cell>
          <cell r="AP5958">
            <v>0</v>
          </cell>
          <cell r="AQ5958">
            <v>0</v>
          </cell>
          <cell r="AV5958">
            <v>0</v>
          </cell>
        </row>
        <row r="5959">
          <cell r="E5959" t="str">
            <v>D26001499</v>
          </cell>
          <cell r="AP5959">
            <v>0</v>
          </cell>
          <cell r="AQ5959">
            <v>0</v>
          </cell>
          <cell r="AV5959">
            <v>0</v>
          </cell>
        </row>
        <row r="5960">
          <cell r="E5960" t="str">
            <v>D26001746</v>
          </cell>
          <cell r="AP5960">
            <v>0</v>
          </cell>
          <cell r="AQ5960">
            <v>0</v>
          </cell>
          <cell r="AV5960">
            <v>0</v>
          </cell>
        </row>
        <row r="5961">
          <cell r="E5961" t="str">
            <v>B26001715</v>
          </cell>
          <cell r="AP5961">
            <v>0</v>
          </cell>
          <cell r="AQ5961">
            <v>0</v>
          </cell>
          <cell r="AV5961">
            <v>0</v>
          </cell>
        </row>
        <row r="5962">
          <cell r="E5962" t="str">
            <v>D26001861</v>
          </cell>
          <cell r="AP5962">
            <v>0</v>
          </cell>
          <cell r="AQ5962">
            <v>0</v>
          </cell>
          <cell r="AV5962">
            <v>0</v>
          </cell>
        </row>
        <row r="5963">
          <cell r="E5963" t="str">
            <v>D26001877</v>
          </cell>
          <cell r="AP5963">
            <v>0</v>
          </cell>
          <cell r="AQ5963">
            <v>0</v>
          </cell>
          <cell r="AV5963">
            <v>0</v>
          </cell>
        </row>
        <row r="5964">
          <cell r="E5964" t="str">
            <v>B26001801</v>
          </cell>
          <cell r="AP5964">
            <v>0</v>
          </cell>
          <cell r="AQ5964">
            <v>0</v>
          </cell>
          <cell r="AV5964">
            <v>0</v>
          </cell>
        </row>
        <row r="5965">
          <cell r="E5965" t="str">
            <v>B26001900</v>
          </cell>
          <cell r="AP5965">
            <v>0</v>
          </cell>
          <cell r="AQ5965">
            <v>0</v>
          </cell>
          <cell r="AV5965">
            <v>0</v>
          </cell>
        </row>
        <row r="5966">
          <cell r="E5966" t="str">
            <v>B26001760</v>
          </cell>
          <cell r="AP5966">
            <v>0</v>
          </cell>
          <cell r="AQ5966">
            <v>0</v>
          </cell>
          <cell r="AV5966">
            <v>27250000</v>
          </cell>
        </row>
        <row r="5967">
          <cell r="E5967" t="str">
            <v>D26002010</v>
          </cell>
          <cell r="AP5967">
            <v>0</v>
          </cell>
          <cell r="AQ5967">
            <v>0</v>
          </cell>
          <cell r="AV5967">
            <v>0</v>
          </cell>
        </row>
        <row r="5968">
          <cell r="E5968" t="str">
            <v>B26000219</v>
          </cell>
          <cell r="AP5968">
            <v>0</v>
          </cell>
          <cell r="AQ5968">
            <v>0</v>
          </cell>
          <cell r="AV5968">
            <v>6800000</v>
          </cell>
        </row>
        <row r="5969">
          <cell r="E5969" t="str">
            <v>B26000485</v>
          </cell>
          <cell r="AP5969">
            <v>0</v>
          </cell>
          <cell r="AQ5969">
            <v>0</v>
          </cell>
          <cell r="AV5969">
            <v>0</v>
          </cell>
        </row>
        <row r="5970">
          <cell r="E5970" t="str">
            <v>B26000584</v>
          </cell>
          <cell r="AP5970">
            <v>0</v>
          </cell>
          <cell r="AQ5970">
            <v>0</v>
          </cell>
          <cell r="AV5970">
            <v>0</v>
          </cell>
        </row>
        <row r="5971">
          <cell r="E5971" t="str">
            <v>D26000684</v>
          </cell>
          <cell r="AP5971">
            <v>0</v>
          </cell>
          <cell r="AQ5971">
            <v>0</v>
          </cell>
          <cell r="AV5971">
            <v>0</v>
          </cell>
        </row>
        <row r="5972">
          <cell r="E5972" t="str">
            <v>D26000804</v>
          </cell>
          <cell r="AP5972">
            <v>0</v>
          </cell>
          <cell r="AQ5972">
            <v>0</v>
          </cell>
          <cell r="AV5972">
            <v>0</v>
          </cell>
        </row>
        <row r="5973">
          <cell r="E5973" t="str">
            <v>B26000976</v>
          </cell>
          <cell r="AP5973">
            <v>0</v>
          </cell>
          <cell r="AQ5973">
            <v>0</v>
          </cell>
          <cell r="AV5973">
            <v>0</v>
          </cell>
        </row>
        <row r="5974">
          <cell r="E5974" t="str">
            <v>D26001640</v>
          </cell>
          <cell r="AP5974">
            <v>0</v>
          </cell>
          <cell r="AQ5974">
            <v>0</v>
          </cell>
          <cell r="AV5974">
            <v>0</v>
          </cell>
        </row>
        <row r="5975">
          <cell r="E5975" t="str">
            <v>B26001677</v>
          </cell>
          <cell r="AP5975">
            <v>0</v>
          </cell>
          <cell r="AQ5975">
            <v>0</v>
          </cell>
          <cell r="AV5975">
            <v>0</v>
          </cell>
        </row>
        <row r="5976">
          <cell r="E5976" t="str">
            <v>B26000814</v>
          </cell>
          <cell r="AP5976">
            <v>0</v>
          </cell>
          <cell r="AQ5976">
            <v>0</v>
          </cell>
          <cell r="AV5976">
            <v>0</v>
          </cell>
        </row>
        <row r="5977">
          <cell r="E5977" t="str">
            <v>D26001220</v>
          </cell>
          <cell r="AP5977">
            <v>0</v>
          </cell>
          <cell r="AQ5977">
            <v>0</v>
          </cell>
          <cell r="AV5977">
            <v>0</v>
          </cell>
        </row>
        <row r="5978">
          <cell r="E5978" t="str">
            <v>D26001575</v>
          </cell>
          <cell r="AP5978">
            <v>0</v>
          </cell>
          <cell r="AQ5978">
            <v>0</v>
          </cell>
          <cell r="AV5978">
            <v>0</v>
          </cell>
        </row>
        <row r="5979">
          <cell r="E5979" t="str">
            <v>B26001946</v>
          </cell>
          <cell r="AP5979">
            <v>0</v>
          </cell>
          <cell r="AQ5979">
            <v>0</v>
          </cell>
          <cell r="AV5979">
            <v>0</v>
          </cell>
        </row>
        <row r="5980">
          <cell r="E5980" t="str">
            <v>B26001792</v>
          </cell>
          <cell r="AP5980">
            <v>0</v>
          </cell>
          <cell r="AQ5980">
            <v>0</v>
          </cell>
          <cell r="AV5980">
            <v>600000</v>
          </cell>
        </row>
        <row r="5981">
          <cell r="E5981" t="str">
            <v>D26001911</v>
          </cell>
          <cell r="AP5981">
            <v>0</v>
          </cell>
          <cell r="AQ5981">
            <v>0</v>
          </cell>
          <cell r="AV5981">
            <v>1275000</v>
          </cell>
        </row>
        <row r="5982">
          <cell r="E5982" t="str">
            <v>B25015974</v>
          </cell>
          <cell r="AP5982">
            <v>0</v>
          </cell>
          <cell r="AQ5982">
            <v>0</v>
          </cell>
          <cell r="AV5982">
            <v>95500000</v>
          </cell>
        </row>
        <row r="5983">
          <cell r="E5983" t="str">
            <v>D26000725</v>
          </cell>
          <cell r="AP5983">
            <v>0</v>
          </cell>
          <cell r="AQ5983">
            <v>0</v>
          </cell>
          <cell r="AV5983">
            <v>0</v>
          </cell>
        </row>
        <row r="5984">
          <cell r="E5984" t="str">
            <v>D26001408</v>
          </cell>
          <cell r="AP5984">
            <v>0</v>
          </cell>
          <cell r="AQ5984">
            <v>0</v>
          </cell>
          <cell r="AV5984">
            <v>0</v>
          </cell>
        </row>
        <row r="5985">
          <cell r="E5985" t="str">
            <v>D26001653</v>
          </cell>
          <cell r="AP5985">
            <v>0</v>
          </cell>
          <cell r="AQ5985">
            <v>0</v>
          </cell>
          <cell r="AV5985">
            <v>0</v>
          </cell>
        </row>
        <row r="5986">
          <cell r="E5986" t="str">
            <v>B26001772</v>
          </cell>
          <cell r="AP5986">
            <v>0</v>
          </cell>
          <cell r="AQ5986">
            <v>0</v>
          </cell>
          <cell r="AV5986">
            <v>0</v>
          </cell>
        </row>
        <row r="5987">
          <cell r="E5987" t="str">
            <v>B26001806</v>
          </cell>
          <cell r="AP5987">
            <v>0</v>
          </cell>
          <cell r="AQ5987">
            <v>0</v>
          </cell>
          <cell r="AV5987">
            <v>0</v>
          </cell>
        </row>
        <row r="5988">
          <cell r="E5988" t="str">
            <v>N26000017</v>
          </cell>
          <cell r="AP5988">
            <v>0</v>
          </cell>
          <cell r="AQ5988">
            <v>0</v>
          </cell>
          <cell r="AV5988">
            <v>0</v>
          </cell>
        </row>
        <row r="5989">
          <cell r="E5989" t="str">
            <v>D26001652</v>
          </cell>
          <cell r="AP5989">
            <v>0</v>
          </cell>
          <cell r="AQ5989">
            <v>0</v>
          </cell>
          <cell r="AV5989">
            <v>660000</v>
          </cell>
        </row>
        <row r="5990">
          <cell r="E5990" t="str">
            <v>B26001627</v>
          </cell>
          <cell r="AP5990">
            <v>0</v>
          </cell>
          <cell r="AQ5990">
            <v>0</v>
          </cell>
          <cell r="AV5990">
            <v>8910000</v>
          </cell>
        </row>
        <row r="5991">
          <cell r="E5991" t="str">
            <v>B26000016</v>
          </cell>
          <cell r="AP5991">
            <v>0</v>
          </cell>
          <cell r="AQ5991">
            <v>0</v>
          </cell>
          <cell r="AV5991">
            <v>0</v>
          </cell>
        </row>
        <row r="5992">
          <cell r="E5992" t="str">
            <v>B25016667</v>
          </cell>
          <cell r="AP5992">
            <v>0</v>
          </cell>
          <cell r="AQ5992">
            <v>0</v>
          </cell>
          <cell r="AV5992">
            <v>7560000</v>
          </cell>
        </row>
        <row r="5993">
          <cell r="E5993" t="str">
            <v>D25017411</v>
          </cell>
          <cell r="AP5993">
            <v>0</v>
          </cell>
          <cell r="AQ5993">
            <v>0</v>
          </cell>
          <cell r="AV5993">
            <v>0</v>
          </cell>
        </row>
        <row r="5994">
          <cell r="E5994" t="str">
            <v>D25017419</v>
          </cell>
          <cell r="AP5994">
            <v>0</v>
          </cell>
          <cell r="AQ5994">
            <v>0</v>
          </cell>
          <cell r="AV5994">
            <v>0</v>
          </cell>
        </row>
        <row r="5995">
          <cell r="E5995" t="str">
            <v>D25017766</v>
          </cell>
          <cell r="AP5995">
            <v>0</v>
          </cell>
          <cell r="AQ5995">
            <v>0</v>
          </cell>
          <cell r="AV5995">
            <v>0</v>
          </cell>
        </row>
        <row r="5996">
          <cell r="E5996" t="str">
            <v>D25017998</v>
          </cell>
          <cell r="AP5996">
            <v>0</v>
          </cell>
          <cell r="AQ5996">
            <v>0</v>
          </cell>
          <cell r="AV5996">
            <v>0</v>
          </cell>
        </row>
        <row r="5997">
          <cell r="E5997" t="str">
            <v>D25018321</v>
          </cell>
          <cell r="AP5997">
            <v>0</v>
          </cell>
          <cell r="AQ5997">
            <v>0</v>
          </cell>
          <cell r="AV5997">
            <v>0</v>
          </cell>
        </row>
        <row r="5998">
          <cell r="E5998" t="str">
            <v>D25018366</v>
          </cell>
          <cell r="AP5998">
            <v>0</v>
          </cell>
          <cell r="AQ5998">
            <v>0</v>
          </cell>
          <cell r="AV5998">
            <v>0</v>
          </cell>
        </row>
        <row r="5999">
          <cell r="E5999" t="str">
            <v>T25001824</v>
          </cell>
          <cell r="AP5999">
            <v>0</v>
          </cell>
          <cell r="AQ5999">
            <v>0</v>
          </cell>
          <cell r="AV5999">
            <v>0</v>
          </cell>
        </row>
        <row r="6000">
          <cell r="E6000" t="str">
            <v>B25016167</v>
          </cell>
          <cell r="AP6000">
            <v>0</v>
          </cell>
          <cell r="AQ6000">
            <v>0</v>
          </cell>
          <cell r="AV6000">
            <v>0</v>
          </cell>
        </row>
        <row r="6001">
          <cell r="E6001" t="str">
            <v>B25016275</v>
          </cell>
          <cell r="AP6001">
            <v>0</v>
          </cell>
          <cell r="AQ6001">
            <v>0</v>
          </cell>
          <cell r="AV6001">
            <v>0</v>
          </cell>
        </row>
        <row r="6002">
          <cell r="E6002" t="str">
            <v>B25016313</v>
          </cell>
          <cell r="AP6002">
            <v>0</v>
          </cell>
          <cell r="AQ6002">
            <v>0</v>
          </cell>
          <cell r="AV6002">
            <v>0</v>
          </cell>
        </row>
        <row r="6003">
          <cell r="E6003" t="str">
            <v>B25016456</v>
          </cell>
          <cell r="AP6003">
            <v>0</v>
          </cell>
          <cell r="AQ6003">
            <v>0</v>
          </cell>
          <cell r="AV6003">
            <v>0</v>
          </cell>
        </row>
        <row r="6004">
          <cell r="E6004" t="str">
            <v>B25016558</v>
          </cell>
          <cell r="AP6004">
            <v>0</v>
          </cell>
          <cell r="AQ6004">
            <v>0</v>
          </cell>
          <cell r="AV6004">
            <v>10000000</v>
          </cell>
        </row>
        <row r="6005">
          <cell r="E6005" t="str">
            <v>B25016603</v>
          </cell>
          <cell r="AP6005">
            <v>0</v>
          </cell>
          <cell r="AQ6005">
            <v>0</v>
          </cell>
          <cell r="AV6005">
            <v>0</v>
          </cell>
        </row>
        <row r="6006">
          <cell r="E6006" t="str">
            <v>B25016604</v>
          </cell>
          <cell r="AP6006">
            <v>0</v>
          </cell>
          <cell r="AQ6006">
            <v>0</v>
          </cell>
          <cell r="AV6006">
            <v>0</v>
          </cell>
        </row>
        <row r="6007">
          <cell r="E6007" t="str">
            <v>D25019192</v>
          </cell>
          <cell r="AP6007">
            <v>0</v>
          </cell>
          <cell r="AQ6007">
            <v>0</v>
          </cell>
          <cell r="AV6007">
            <v>0</v>
          </cell>
        </row>
        <row r="6008">
          <cell r="E6008" t="str">
            <v>B25016783</v>
          </cell>
          <cell r="AP6008">
            <v>0</v>
          </cell>
          <cell r="AQ6008">
            <v>0</v>
          </cell>
          <cell r="AV6008">
            <v>0</v>
          </cell>
        </row>
        <row r="6009">
          <cell r="E6009" t="str">
            <v>D25019403</v>
          </cell>
          <cell r="AP6009">
            <v>0</v>
          </cell>
          <cell r="AQ6009">
            <v>0</v>
          </cell>
          <cell r="AV6009">
            <v>0</v>
          </cell>
        </row>
        <row r="6010">
          <cell r="E6010" t="str">
            <v>D25019424</v>
          </cell>
          <cell r="AP6010">
            <v>0</v>
          </cell>
          <cell r="AQ6010">
            <v>0</v>
          </cell>
          <cell r="AV6010">
            <v>0</v>
          </cell>
        </row>
        <row r="6011">
          <cell r="E6011" t="str">
            <v>B25016960</v>
          </cell>
          <cell r="AP6011">
            <v>0</v>
          </cell>
          <cell r="AQ6011">
            <v>0</v>
          </cell>
          <cell r="AV6011">
            <v>0</v>
          </cell>
        </row>
        <row r="6012">
          <cell r="E6012" t="str">
            <v>D26000276</v>
          </cell>
          <cell r="AP6012">
            <v>0</v>
          </cell>
          <cell r="AQ6012">
            <v>0</v>
          </cell>
          <cell r="AV6012">
            <v>0</v>
          </cell>
        </row>
        <row r="6013">
          <cell r="E6013" t="str">
            <v>D26000277</v>
          </cell>
          <cell r="AP6013">
            <v>0</v>
          </cell>
          <cell r="AQ6013">
            <v>0</v>
          </cell>
          <cell r="AV6013">
            <v>0</v>
          </cell>
        </row>
        <row r="6014">
          <cell r="E6014" t="str">
            <v>B26000405</v>
          </cell>
          <cell r="AP6014">
            <v>0</v>
          </cell>
          <cell r="AQ6014">
            <v>0</v>
          </cell>
          <cell r="AV6014">
            <v>0</v>
          </cell>
        </row>
        <row r="6015">
          <cell r="E6015" t="str">
            <v>D26001002</v>
          </cell>
          <cell r="AP6015">
            <v>0</v>
          </cell>
          <cell r="AQ6015">
            <v>0</v>
          </cell>
          <cell r="AV6015">
            <v>0</v>
          </cell>
        </row>
        <row r="6016">
          <cell r="E6016" t="str">
            <v>D26001158</v>
          </cell>
          <cell r="AP6016">
            <v>0</v>
          </cell>
          <cell r="AQ6016">
            <v>0</v>
          </cell>
          <cell r="AV6016">
            <v>0</v>
          </cell>
        </row>
        <row r="6017">
          <cell r="E6017" t="str">
            <v>D26001159</v>
          </cell>
          <cell r="AP6017">
            <v>0</v>
          </cell>
          <cell r="AQ6017">
            <v>0</v>
          </cell>
          <cell r="AV6017">
            <v>0</v>
          </cell>
        </row>
        <row r="6018">
          <cell r="E6018" t="str">
            <v>D26001418</v>
          </cell>
          <cell r="AP6018">
            <v>0</v>
          </cell>
          <cell r="AQ6018">
            <v>0</v>
          </cell>
          <cell r="AV6018">
            <v>0</v>
          </cell>
        </row>
        <row r="6019">
          <cell r="E6019" t="str">
            <v>B26001370</v>
          </cell>
          <cell r="AP6019">
            <v>0</v>
          </cell>
          <cell r="AQ6019">
            <v>0</v>
          </cell>
          <cell r="AV6019">
            <v>0</v>
          </cell>
        </row>
        <row r="6020">
          <cell r="E6020" t="str">
            <v>D26001439</v>
          </cell>
          <cell r="AP6020">
            <v>0</v>
          </cell>
          <cell r="AQ6020">
            <v>0</v>
          </cell>
          <cell r="AV6020">
            <v>0</v>
          </cell>
        </row>
        <row r="6021">
          <cell r="E6021" t="str">
            <v>B26001690</v>
          </cell>
          <cell r="AP6021">
            <v>0</v>
          </cell>
          <cell r="AQ6021">
            <v>0</v>
          </cell>
          <cell r="AV6021">
            <v>0</v>
          </cell>
        </row>
        <row r="6022">
          <cell r="E6022" t="str">
            <v>D26001776</v>
          </cell>
          <cell r="AP6022">
            <v>0</v>
          </cell>
          <cell r="AQ6022">
            <v>0</v>
          </cell>
          <cell r="AV6022">
            <v>0</v>
          </cell>
        </row>
        <row r="6023">
          <cell r="E6023" t="str">
            <v>B26001814</v>
          </cell>
          <cell r="AP6023">
            <v>0</v>
          </cell>
          <cell r="AQ6023">
            <v>0</v>
          </cell>
          <cell r="AV6023">
            <v>0</v>
          </cell>
        </row>
        <row r="6024">
          <cell r="E6024" t="str">
            <v>D26001916</v>
          </cell>
          <cell r="AP6024">
            <v>0</v>
          </cell>
          <cell r="AQ6024">
            <v>0</v>
          </cell>
          <cell r="AV6024">
            <v>0</v>
          </cell>
        </row>
        <row r="6025">
          <cell r="E6025" t="str">
            <v>B25013621</v>
          </cell>
          <cell r="AP6025">
            <v>0</v>
          </cell>
          <cell r="AQ6025">
            <v>0</v>
          </cell>
          <cell r="AV6025">
            <v>19400000</v>
          </cell>
        </row>
        <row r="6026">
          <cell r="E6026" t="str">
            <v>D25017834</v>
          </cell>
          <cell r="AP6026">
            <v>0</v>
          </cell>
          <cell r="AQ6026">
            <v>0</v>
          </cell>
          <cell r="AV6026">
            <v>600000</v>
          </cell>
        </row>
        <row r="6027">
          <cell r="E6027" t="str">
            <v>D26001853</v>
          </cell>
          <cell r="AP6027">
            <v>0</v>
          </cell>
          <cell r="AQ6027">
            <v>0</v>
          </cell>
          <cell r="AV6027">
            <v>7360000</v>
          </cell>
        </row>
        <row r="6028">
          <cell r="E6028" t="str">
            <v>D26000505</v>
          </cell>
          <cell r="AP6028">
            <v>0</v>
          </cell>
          <cell r="AQ6028">
            <v>0</v>
          </cell>
          <cell r="AV6028">
            <v>0</v>
          </cell>
        </row>
        <row r="6029">
          <cell r="E6029" t="str">
            <v>D26001027</v>
          </cell>
          <cell r="AP6029">
            <v>0</v>
          </cell>
          <cell r="AQ6029">
            <v>0</v>
          </cell>
          <cell r="AV6029">
            <v>0</v>
          </cell>
        </row>
        <row r="6030">
          <cell r="E6030" t="str">
            <v>R25000105</v>
          </cell>
          <cell r="AP6030">
            <v>0</v>
          </cell>
          <cell r="AQ6030">
            <v>0</v>
          </cell>
          <cell r="AV6030">
            <v>0</v>
          </cell>
        </row>
        <row r="6031">
          <cell r="E6031" t="str">
            <v>B26000187</v>
          </cell>
          <cell r="AP6031">
            <v>0</v>
          </cell>
          <cell r="AQ6031">
            <v>0</v>
          </cell>
          <cell r="AV6031">
            <v>0</v>
          </cell>
        </row>
        <row r="6032">
          <cell r="E6032" t="str">
            <v>B26000188</v>
          </cell>
          <cell r="AP6032">
            <v>0</v>
          </cell>
          <cell r="AQ6032">
            <v>0</v>
          </cell>
          <cell r="AV6032">
            <v>0</v>
          </cell>
        </row>
        <row r="6033">
          <cell r="E6033" t="str">
            <v>B26001397</v>
          </cell>
          <cell r="AP6033">
            <v>0</v>
          </cell>
          <cell r="AQ6033">
            <v>0</v>
          </cell>
          <cell r="AV6033">
            <v>0</v>
          </cell>
        </row>
        <row r="6034">
          <cell r="E6034" t="str">
            <v>B26001398</v>
          </cell>
          <cell r="AP6034">
            <v>0</v>
          </cell>
          <cell r="AQ6034">
            <v>0</v>
          </cell>
          <cell r="AV6034">
            <v>0</v>
          </cell>
        </row>
        <row r="6035">
          <cell r="E6035" t="str">
            <v>D26002006</v>
          </cell>
          <cell r="AP6035">
            <v>0</v>
          </cell>
          <cell r="AQ6035">
            <v>0</v>
          </cell>
          <cell r="AV6035">
            <v>0</v>
          </cell>
        </row>
        <row r="6036">
          <cell r="E6036" t="str">
            <v>D26002004</v>
          </cell>
          <cell r="AP6036">
            <v>0</v>
          </cell>
          <cell r="AQ6036">
            <v>0</v>
          </cell>
          <cell r="AV6036">
            <v>0</v>
          </cell>
        </row>
        <row r="6037">
          <cell r="E6037" t="str">
            <v>D26001373</v>
          </cell>
          <cell r="AP6037">
            <v>0</v>
          </cell>
          <cell r="AQ6037">
            <v>0</v>
          </cell>
          <cell r="AV6037">
            <v>27880000</v>
          </cell>
        </row>
        <row r="6038">
          <cell r="E6038" t="str">
            <v>D26001876</v>
          </cell>
          <cell r="AP6038">
            <v>0</v>
          </cell>
          <cell r="AQ6038">
            <v>0</v>
          </cell>
          <cell r="AV6038">
            <v>14630000</v>
          </cell>
        </row>
        <row r="6039">
          <cell r="E6039" t="str">
            <v>D26001702</v>
          </cell>
          <cell r="AP6039">
            <v>0</v>
          </cell>
          <cell r="AQ6039">
            <v>0</v>
          </cell>
          <cell r="AV6039">
            <v>8600000</v>
          </cell>
        </row>
        <row r="6040">
          <cell r="E6040" t="str">
            <v>B26001597</v>
          </cell>
          <cell r="AP6040">
            <v>0</v>
          </cell>
          <cell r="AQ6040">
            <v>0</v>
          </cell>
          <cell r="AV6040">
            <v>9200000</v>
          </cell>
        </row>
        <row r="6041">
          <cell r="E6041" t="str">
            <v>D26002024</v>
          </cell>
          <cell r="AP6041">
            <v>0</v>
          </cell>
          <cell r="AQ6041">
            <v>0</v>
          </cell>
          <cell r="AV6041">
            <v>7750000</v>
          </cell>
        </row>
        <row r="6042">
          <cell r="E6042" t="str">
            <v>D25019612</v>
          </cell>
          <cell r="AP6042">
            <v>0</v>
          </cell>
          <cell r="AQ6042">
            <v>0</v>
          </cell>
          <cell r="AV6042">
            <v>6030000</v>
          </cell>
        </row>
        <row r="6043">
          <cell r="E6043" t="str">
            <v>D25019613</v>
          </cell>
          <cell r="AP6043">
            <v>0</v>
          </cell>
          <cell r="AQ6043">
            <v>0</v>
          </cell>
          <cell r="AV6043">
            <v>6030000</v>
          </cell>
        </row>
        <row r="6044">
          <cell r="E6044" t="str">
            <v>B26000807</v>
          </cell>
          <cell r="AP6044">
            <v>0</v>
          </cell>
          <cell r="AQ6044">
            <v>0</v>
          </cell>
          <cell r="AV6044">
            <v>0</v>
          </cell>
        </row>
        <row r="6045">
          <cell r="E6045" t="str">
            <v>B26000838</v>
          </cell>
          <cell r="AP6045">
            <v>0</v>
          </cell>
          <cell r="AQ6045">
            <v>0</v>
          </cell>
          <cell r="AV6045">
            <v>0</v>
          </cell>
        </row>
        <row r="6046">
          <cell r="E6046" t="str">
            <v>B26001071</v>
          </cell>
          <cell r="AP6046">
            <v>0</v>
          </cell>
          <cell r="AQ6046">
            <v>0</v>
          </cell>
          <cell r="AV6046">
            <v>0</v>
          </cell>
        </row>
        <row r="6047">
          <cell r="E6047" t="str">
            <v>B26001072</v>
          </cell>
          <cell r="AP6047">
            <v>0</v>
          </cell>
          <cell r="AQ6047">
            <v>0</v>
          </cell>
          <cell r="AV6047">
            <v>0</v>
          </cell>
        </row>
        <row r="6048">
          <cell r="E6048" t="str">
            <v>D26001584</v>
          </cell>
          <cell r="AP6048">
            <v>0</v>
          </cell>
          <cell r="AQ6048">
            <v>0</v>
          </cell>
          <cell r="AV6048">
            <v>0</v>
          </cell>
        </row>
        <row r="6049">
          <cell r="E6049" t="str">
            <v>D26001585</v>
          </cell>
          <cell r="AP6049">
            <v>0</v>
          </cell>
          <cell r="AQ6049">
            <v>0</v>
          </cell>
          <cell r="AV6049">
            <v>0</v>
          </cell>
        </row>
        <row r="6050">
          <cell r="E6050" t="str">
            <v>D26001614</v>
          </cell>
          <cell r="AP6050">
            <v>0</v>
          </cell>
          <cell r="AQ6050">
            <v>0</v>
          </cell>
          <cell r="AV6050">
            <v>0</v>
          </cell>
        </row>
        <row r="6051">
          <cell r="E6051" t="str">
            <v>T26000114</v>
          </cell>
          <cell r="AP6051">
            <v>0</v>
          </cell>
          <cell r="AQ6051">
            <v>0</v>
          </cell>
          <cell r="AV6051">
            <v>1940000</v>
          </cell>
        </row>
        <row r="6052">
          <cell r="E6052" t="str">
            <v>D25018570</v>
          </cell>
          <cell r="AP6052">
            <v>0</v>
          </cell>
          <cell r="AQ6052">
            <v>0</v>
          </cell>
          <cell r="AV6052">
            <v>14900000</v>
          </cell>
        </row>
        <row r="6053">
          <cell r="E6053" t="str">
            <v>D25018687</v>
          </cell>
          <cell r="AP6053">
            <v>0</v>
          </cell>
          <cell r="AQ6053">
            <v>0</v>
          </cell>
          <cell r="AV6053">
            <v>0</v>
          </cell>
        </row>
        <row r="6054">
          <cell r="E6054" t="str">
            <v>B25016269</v>
          </cell>
          <cell r="AP6054">
            <v>0</v>
          </cell>
          <cell r="AQ6054">
            <v>0</v>
          </cell>
          <cell r="AV6054">
            <v>0</v>
          </cell>
        </row>
        <row r="6055">
          <cell r="E6055" t="str">
            <v>D25018993</v>
          </cell>
          <cell r="AP6055">
            <v>0</v>
          </cell>
          <cell r="AQ6055">
            <v>0</v>
          </cell>
          <cell r="AV6055">
            <v>0</v>
          </cell>
        </row>
        <row r="6056">
          <cell r="E6056" t="str">
            <v>T25001505</v>
          </cell>
          <cell r="AP6056">
            <v>0</v>
          </cell>
          <cell r="AQ6056">
            <v>0</v>
          </cell>
          <cell r="AV6056">
            <v>0</v>
          </cell>
        </row>
        <row r="6057">
          <cell r="E6057" t="str">
            <v>D26000048</v>
          </cell>
          <cell r="AP6057">
            <v>0</v>
          </cell>
          <cell r="AQ6057">
            <v>0</v>
          </cell>
          <cell r="AV6057">
            <v>0</v>
          </cell>
        </row>
        <row r="6058">
          <cell r="E6058" t="str">
            <v>B26001784</v>
          </cell>
          <cell r="AP6058">
            <v>0</v>
          </cell>
          <cell r="AQ6058">
            <v>0</v>
          </cell>
          <cell r="AV6058">
            <v>0</v>
          </cell>
        </row>
        <row r="6059">
          <cell r="E6059" t="str">
            <v>B26000141</v>
          </cell>
          <cell r="AP6059">
            <v>0</v>
          </cell>
          <cell r="AQ6059">
            <v>0</v>
          </cell>
          <cell r="AV6059">
            <v>0</v>
          </cell>
        </row>
        <row r="6060">
          <cell r="E6060" t="str">
            <v>T26000013</v>
          </cell>
          <cell r="AP6060">
            <v>0</v>
          </cell>
          <cell r="AQ6060">
            <v>0</v>
          </cell>
          <cell r="AV6060">
            <v>0</v>
          </cell>
        </row>
        <row r="6061">
          <cell r="E6061" t="str">
            <v>D26001489</v>
          </cell>
          <cell r="AP6061">
            <v>0</v>
          </cell>
          <cell r="AQ6061">
            <v>0</v>
          </cell>
          <cell r="AV6061">
            <v>0</v>
          </cell>
        </row>
        <row r="6062">
          <cell r="E6062" t="str">
            <v>B26001205</v>
          </cell>
          <cell r="AP6062">
            <v>0</v>
          </cell>
          <cell r="AQ6062">
            <v>0</v>
          </cell>
          <cell r="AV6062">
            <v>0</v>
          </cell>
        </row>
        <row r="6063">
          <cell r="E6063" t="str">
            <v>B26001876</v>
          </cell>
          <cell r="AP6063">
            <v>0</v>
          </cell>
          <cell r="AQ6063">
            <v>0</v>
          </cell>
          <cell r="AV6063">
            <v>0</v>
          </cell>
        </row>
        <row r="6064">
          <cell r="E6064" t="str">
            <v>T25001864</v>
          </cell>
          <cell r="AP6064">
            <v>0</v>
          </cell>
          <cell r="AQ6064">
            <v>0</v>
          </cell>
          <cell r="AV6064">
            <v>0</v>
          </cell>
        </row>
        <row r="6065">
          <cell r="E6065" t="str">
            <v>D25019346</v>
          </cell>
          <cell r="AP6065">
            <v>0</v>
          </cell>
          <cell r="AQ6065">
            <v>0</v>
          </cell>
          <cell r="AV6065">
            <v>3705000</v>
          </cell>
        </row>
        <row r="6066">
          <cell r="E6066" t="str">
            <v>B26000220</v>
          </cell>
          <cell r="AP6066">
            <v>0</v>
          </cell>
          <cell r="AQ6066">
            <v>0</v>
          </cell>
          <cell r="AV6066">
            <v>4415000</v>
          </cell>
        </row>
        <row r="6067">
          <cell r="E6067" t="str">
            <v>B26000221</v>
          </cell>
          <cell r="AP6067">
            <v>0</v>
          </cell>
          <cell r="AQ6067">
            <v>0</v>
          </cell>
          <cell r="AV6067">
            <v>0</v>
          </cell>
        </row>
        <row r="6068">
          <cell r="E6068" t="str">
            <v>B26000931</v>
          </cell>
          <cell r="AP6068">
            <v>0</v>
          </cell>
          <cell r="AQ6068">
            <v>0</v>
          </cell>
          <cell r="AV6068">
            <v>0</v>
          </cell>
        </row>
        <row r="6069">
          <cell r="E6069" t="str">
            <v>B26000932</v>
          </cell>
          <cell r="AP6069">
            <v>0</v>
          </cell>
          <cell r="AQ6069">
            <v>0</v>
          </cell>
          <cell r="AV6069">
            <v>0</v>
          </cell>
        </row>
        <row r="6070">
          <cell r="E6070" t="str">
            <v>D26001259</v>
          </cell>
          <cell r="AP6070">
            <v>0</v>
          </cell>
          <cell r="AQ6070">
            <v>0</v>
          </cell>
          <cell r="AV6070">
            <v>0</v>
          </cell>
        </row>
        <row r="6071">
          <cell r="E6071" t="str">
            <v>B26001890</v>
          </cell>
          <cell r="AP6071">
            <v>0</v>
          </cell>
          <cell r="AQ6071">
            <v>0</v>
          </cell>
          <cell r="AV6071">
            <v>0</v>
          </cell>
        </row>
        <row r="6072">
          <cell r="E6072" t="str">
            <v>B26001506</v>
          </cell>
          <cell r="AP6072">
            <v>0</v>
          </cell>
          <cell r="AQ6072">
            <v>0</v>
          </cell>
          <cell r="AV6072">
            <v>0</v>
          </cell>
        </row>
        <row r="6073">
          <cell r="E6073" t="str">
            <v>B26001507</v>
          </cell>
          <cell r="AP6073">
            <v>0</v>
          </cell>
          <cell r="AQ6073">
            <v>0</v>
          </cell>
          <cell r="AV6073">
            <v>0</v>
          </cell>
        </row>
        <row r="6074">
          <cell r="E6074" t="str">
            <v>D26001750</v>
          </cell>
          <cell r="AP6074">
            <v>0</v>
          </cell>
          <cell r="AQ6074">
            <v>0</v>
          </cell>
          <cell r="AV6074">
            <v>0</v>
          </cell>
        </row>
        <row r="6075">
          <cell r="E6075" t="str">
            <v>B26001894</v>
          </cell>
          <cell r="AP6075">
            <v>0</v>
          </cell>
          <cell r="AQ6075">
            <v>0</v>
          </cell>
          <cell r="AV6075">
            <v>0</v>
          </cell>
        </row>
        <row r="6076">
          <cell r="E6076" t="str">
            <v>D25019133</v>
          </cell>
          <cell r="AP6076">
            <v>0</v>
          </cell>
          <cell r="AQ6076">
            <v>0</v>
          </cell>
          <cell r="AV6076">
            <v>900000</v>
          </cell>
        </row>
        <row r="6077">
          <cell r="E6077" t="str">
            <v>B25016733</v>
          </cell>
          <cell r="AP6077">
            <v>0</v>
          </cell>
          <cell r="AQ6077">
            <v>0</v>
          </cell>
          <cell r="AV6077">
            <v>1375000</v>
          </cell>
        </row>
        <row r="6078">
          <cell r="E6078" t="str">
            <v>D25019444</v>
          </cell>
          <cell r="AP6078">
            <v>0</v>
          </cell>
          <cell r="AQ6078">
            <v>0</v>
          </cell>
          <cell r="AV6078">
            <v>3208800</v>
          </cell>
        </row>
        <row r="6079">
          <cell r="E6079" t="str">
            <v>B25016945</v>
          </cell>
          <cell r="AP6079">
            <v>0</v>
          </cell>
          <cell r="AQ6079">
            <v>0</v>
          </cell>
          <cell r="AV6079">
            <v>1350000</v>
          </cell>
        </row>
        <row r="6080">
          <cell r="E6080" t="str">
            <v>B25017122</v>
          </cell>
          <cell r="AP6080">
            <v>0</v>
          </cell>
          <cell r="AQ6080">
            <v>0</v>
          </cell>
          <cell r="AV6080">
            <v>1350000</v>
          </cell>
        </row>
        <row r="6081">
          <cell r="E6081" t="str">
            <v>B26000035</v>
          </cell>
          <cell r="AP6081">
            <v>0</v>
          </cell>
          <cell r="AQ6081">
            <v>0</v>
          </cell>
          <cell r="AV6081">
            <v>1687500</v>
          </cell>
        </row>
        <row r="6082">
          <cell r="E6082" t="str">
            <v>D26000341</v>
          </cell>
          <cell r="AP6082">
            <v>0</v>
          </cell>
          <cell r="AQ6082">
            <v>0</v>
          </cell>
          <cell r="AV6082">
            <v>0</v>
          </cell>
        </row>
        <row r="6083">
          <cell r="E6083" t="str">
            <v>D26000357</v>
          </cell>
          <cell r="AP6083">
            <v>0</v>
          </cell>
          <cell r="AQ6083">
            <v>0</v>
          </cell>
          <cell r="AV6083">
            <v>0</v>
          </cell>
        </row>
        <row r="6084">
          <cell r="E6084" t="str">
            <v>D26000366</v>
          </cell>
          <cell r="AP6084">
            <v>0</v>
          </cell>
          <cell r="AQ6084">
            <v>0</v>
          </cell>
          <cell r="AV6084">
            <v>0</v>
          </cell>
        </row>
        <row r="6085">
          <cell r="E6085" t="str">
            <v>D26000517</v>
          </cell>
          <cell r="AP6085">
            <v>0</v>
          </cell>
          <cell r="AQ6085">
            <v>0</v>
          </cell>
          <cell r="AV6085">
            <v>0</v>
          </cell>
        </row>
        <row r="6086">
          <cell r="E6086" t="str">
            <v>B26000611</v>
          </cell>
          <cell r="AP6086">
            <v>0</v>
          </cell>
          <cell r="AQ6086">
            <v>0</v>
          </cell>
          <cell r="AV6086">
            <v>0</v>
          </cell>
        </row>
        <row r="6087">
          <cell r="E6087" t="str">
            <v>B26000612</v>
          </cell>
          <cell r="AP6087">
            <v>0</v>
          </cell>
          <cell r="AQ6087">
            <v>0</v>
          </cell>
          <cell r="AV6087">
            <v>0</v>
          </cell>
        </row>
        <row r="6088">
          <cell r="E6088" t="str">
            <v>D26000792</v>
          </cell>
          <cell r="AP6088">
            <v>0</v>
          </cell>
          <cell r="AQ6088">
            <v>0</v>
          </cell>
          <cell r="AV6088">
            <v>0</v>
          </cell>
        </row>
        <row r="6089">
          <cell r="E6089" t="str">
            <v>D26000813</v>
          </cell>
          <cell r="AP6089">
            <v>0</v>
          </cell>
          <cell r="AQ6089">
            <v>0</v>
          </cell>
          <cell r="AV6089">
            <v>0</v>
          </cell>
        </row>
        <row r="6090">
          <cell r="E6090" t="str">
            <v>D26000815</v>
          </cell>
          <cell r="AP6090">
            <v>0</v>
          </cell>
          <cell r="AQ6090">
            <v>0</v>
          </cell>
          <cell r="AV6090">
            <v>0</v>
          </cell>
        </row>
        <row r="6091">
          <cell r="E6091" t="str">
            <v>B26000922</v>
          </cell>
          <cell r="AP6091">
            <v>0</v>
          </cell>
          <cell r="AQ6091">
            <v>0</v>
          </cell>
          <cell r="AV6091">
            <v>0</v>
          </cell>
        </row>
        <row r="6092">
          <cell r="E6092" t="str">
            <v>D26000949</v>
          </cell>
          <cell r="AP6092">
            <v>0</v>
          </cell>
          <cell r="AQ6092">
            <v>0</v>
          </cell>
          <cell r="AV6092">
            <v>0</v>
          </cell>
        </row>
        <row r="6093">
          <cell r="E6093" t="str">
            <v>D26001054</v>
          </cell>
          <cell r="AP6093">
            <v>0</v>
          </cell>
          <cell r="AQ6093">
            <v>0</v>
          </cell>
          <cell r="AV6093">
            <v>0</v>
          </cell>
        </row>
        <row r="6094">
          <cell r="E6094" t="str">
            <v>B26001005</v>
          </cell>
          <cell r="AP6094">
            <v>0</v>
          </cell>
          <cell r="AQ6094">
            <v>0</v>
          </cell>
          <cell r="AV6094">
            <v>0</v>
          </cell>
        </row>
        <row r="6095">
          <cell r="E6095" t="str">
            <v>D26001288</v>
          </cell>
          <cell r="AP6095">
            <v>0</v>
          </cell>
          <cell r="AQ6095">
            <v>0</v>
          </cell>
          <cell r="AV6095">
            <v>0</v>
          </cell>
        </row>
        <row r="6096">
          <cell r="E6096" t="str">
            <v>B26001504</v>
          </cell>
          <cell r="AP6096">
            <v>0</v>
          </cell>
          <cell r="AQ6096">
            <v>0</v>
          </cell>
          <cell r="AV6096">
            <v>0</v>
          </cell>
        </row>
        <row r="6097">
          <cell r="E6097" t="str">
            <v>D26001650</v>
          </cell>
          <cell r="AP6097">
            <v>0</v>
          </cell>
          <cell r="AQ6097">
            <v>0</v>
          </cell>
          <cell r="AV6097">
            <v>0</v>
          </cell>
        </row>
        <row r="6098">
          <cell r="E6098" t="str">
            <v>B26001861</v>
          </cell>
          <cell r="AP6098">
            <v>0</v>
          </cell>
          <cell r="AQ6098">
            <v>0</v>
          </cell>
          <cell r="AV6098">
            <v>0</v>
          </cell>
        </row>
        <row r="6099">
          <cell r="E6099" t="str">
            <v>B25015546</v>
          </cell>
          <cell r="AP6099">
            <v>0</v>
          </cell>
          <cell r="AQ6099">
            <v>0</v>
          </cell>
          <cell r="AV6099">
            <v>24275000</v>
          </cell>
        </row>
        <row r="6100">
          <cell r="E6100" t="str">
            <v>B25015825</v>
          </cell>
          <cell r="AP6100">
            <v>0</v>
          </cell>
          <cell r="AQ6100">
            <v>0</v>
          </cell>
          <cell r="AV6100">
            <v>37035000</v>
          </cell>
        </row>
        <row r="6101">
          <cell r="E6101" t="str">
            <v>B25015827</v>
          </cell>
          <cell r="AP6101">
            <v>0</v>
          </cell>
          <cell r="AQ6101">
            <v>0</v>
          </cell>
          <cell r="AV6101">
            <v>6475000</v>
          </cell>
        </row>
        <row r="6102">
          <cell r="E6102" t="str">
            <v>D25018339</v>
          </cell>
          <cell r="AP6102">
            <v>0</v>
          </cell>
          <cell r="AQ6102">
            <v>0</v>
          </cell>
          <cell r="AV6102">
            <v>1750000</v>
          </cell>
        </row>
        <row r="6103">
          <cell r="E6103" t="str">
            <v>B25016280</v>
          </cell>
          <cell r="AP6103">
            <v>0</v>
          </cell>
          <cell r="AQ6103">
            <v>0</v>
          </cell>
          <cell r="AV6103">
            <v>0</v>
          </cell>
        </row>
        <row r="6104">
          <cell r="E6104" t="str">
            <v>B25016282</v>
          </cell>
          <cell r="AP6104">
            <v>0</v>
          </cell>
          <cell r="AQ6104">
            <v>0</v>
          </cell>
          <cell r="AV6104">
            <v>0</v>
          </cell>
        </row>
        <row r="6105">
          <cell r="E6105" t="str">
            <v>B25016415</v>
          </cell>
          <cell r="AP6105">
            <v>0</v>
          </cell>
          <cell r="AQ6105">
            <v>0</v>
          </cell>
          <cell r="AV6105">
            <v>0</v>
          </cell>
        </row>
        <row r="6106">
          <cell r="E6106" t="str">
            <v>B25016517</v>
          </cell>
          <cell r="AP6106">
            <v>0</v>
          </cell>
          <cell r="AQ6106">
            <v>0</v>
          </cell>
          <cell r="AV6106">
            <v>0</v>
          </cell>
        </row>
        <row r="6107">
          <cell r="E6107" t="str">
            <v>D25019007</v>
          </cell>
          <cell r="AP6107">
            <v>0</v>
          </cell>
          <cell r="AQ6107">
            <v>0</v>
          </cell>
          <cell r="AV6107">
            <v>0</v>
          </cell>
        </row>
        <row r="6108">
          <cell r="E6108" t="str">
            <v>B25016730</v>
          </cell>
          <cell r="AP6108">
            <v>0</v>
          </cell>
          <cell r="AQ6108">
            <v>0</v>
          </cell>
          <cell r="AV6108">
            <v>0</v>
          </cell>
        </row>
        <row r="6109">
          <cell r="E6109" t="str">
            <v>D25019344</v>
          </cell>
          <cell r="AP6109">
            <v>0</v>
          </cell>
          <cell r="AQ6109">
            <v>0</v>
          </cell>
          <cell r="AV6109">
            <v>0</v>
          </cell>
        </row>
        <row r="6110">
          <cell r="E6110" t="str">
            <v>D25019545</v>
          </cell>
          <cell r="AP6110">
            <v>0</v>
          </cell>
          <cell r="AQ6110">
            <v>0</v>
          </cell>
          <cell r="AV6110">
            <v>0</v>
          </cell>
        </row>
        <row r="6111">
          <cell r="E6111" t="str">
            <v>D25019705</v>
          </cell>
          <cell r="AP6111">
            <v>0</v>
          </cell>
          <cell r="AQ6111">
            <v>0</v>
          </cell>
          <cell r="AV6111">
            <v>0</v>
          </cell>
        </row>
        <row r="6112">
          <cell r="E6112" t="str">
            <v>B26000112</v>
          </cell>
          <cell r="AP6112">
            <v>0</v>
          </cell>
          <cell r="AQ6112">
            <v>0</v>
          </cell>
          <cell r="AV6112">
            <v>0</v>
          </cell>
        </row>
        <row r="6113">
          <cell r="E6113" t="str">
            <v>D26000018</v>
          </cell>
          <cell r="AP6113">
            <v>0</v>
          </cell>
          <cell r="AQ6113">
            <v>0</v>
          </cell>
          <cell r="AV6113">
            <v>0</v>
          </cell>
        </row>
        <row r="6114">
          <cell r="E6114" t="str">
            <v>D26000046</v>
          </cell>
          <cell r="AP6114">
            <v>0</v>
          </cell>
          <cell r="AQ6114">
            <v>0</v>
          </cell>
          <cell r="AV6114">
            <v>0</v>
          </cell>
        </row>
        <row r="6115">
          <cell r="E6115" t="str">
            <v>B26000270</v>
          </cell>
          <cell r="AP6115">
            <v>0</v>
          </cell>
          <cell r="AQ6115">
            <v>0</v>
          </cell>
          <cell r="AV6115">
            <v>14925000</v>
          </cell>
        </row>
        <row r="6116">
          <cell r="E6116" t="str">
            <v>B26000441</v>
          </cell>
          <cell r="AP6116">
            <v>0</v>
          </cell>
          <cell r="AQ6116">
            <v>0</v>
          </cell>
          <cell r="AV6116">
            <v>0</v>
          </cell>
        </row>
        <row r="6117">
          <cell r="E6117" t="str">
            <v>B26000501</v>
          </cell>
          <cell r="AP6117">
            <v>0</v>
          </cell>
          <cell r="AQ6117">
            <v>0</v>
          </cell>
          <cell r="AV6117">
            <v>0</v>
          </cell>
        </row>
        <row r="6118">
          <cell r="E6118" t="str">
            <v>B26000886</v>
          </cell>
          <cell r="AP6118">
            <v>0</v>
          </cell>
          <cell r="AQ6118">
            <v>0</v>
          </cell>
          <cell r="AV6118">
            <v>0</v>
          </cell>
        </row>
        <row r="6119">
          <cell r="E6119" t="str">
            <v>B26000973</v>
          </cell>
          <cell r="AP6119">
            <v>0</v>
          </cell>
          <cell r="AQ6119">
            <v>0</v>
          </cell>
          <cell r="AV6119">
            <v>0</v>
          </cell>
        </row>
        <row r="6120">
          <cell r="E6120" t="str">
            <v>B26001640</v>
          </cell>
          <cell r="AP6120">
            <v>0</v>
          </cell>
          <cell r="AQ6120">
            <v>0</v>
          </cell>
          <cell r="AV6120">
            <v>656000000</v>
          </cell>
        </row>
        <row r="6121">
          <cell r="E6121" t="str">
            <v>B26001641</v>
          </cell>
          <cell r="AP6121">
            <v>0</v>
          </cell>
          <cell r="AQ6121">
            <v>0</v>
          </cell>
          <cell r="AV6121">
            <v>0</v>
          </cell>
        </row>
        <row r="6122">
          <cell r="E6122" t="str">
            <v>B26001662</v>
          </cell>
          <cell r="AP6122">
            <v>0</v>
          </cell>
          <cell r="AQ6122">
            <v>0</v>
          </cell>
          <cell r="AV6122">
            <v>0</v>
          </cell>
        </row>
        <row r="6123">
          <cell r="E6123" t="str">
            <v>B26001663</v>
          </cell>
          <cell r="AP6123">
            <v>0</v>
          </cell>
          <cell r="AQ6123">
            <v>0</v>
          </cell>
          <cell r="AV6123">
            <v>0</v>
          </cell>
        </row>
        <row r="6124">
          <cell r="E6124" t="str">
            <v>D26001966</v>
          </cell>
          <cell r="AP6124">
            <v>0</v>
          </cell>
          <cell r="AQ6124">
            <v>0</v>
          </cell>
          <cell r="AV6124">
            <v>0</v>
          </cell>
        </row>
        <row r="6125">
          <cell r="E6125" t="str">
            <v>D26001984</v>
          </cell>
          <cell r="AP6125">
            <v>0</v>
          </cell>
          <cell r="AQ6125">
            <v>0</v>
          </cell>
          <cell r="AV6125">
            <v>0</v>
          </cell>
        </row>
        <row r="6126">
          <cell r="E6126" t="str">
            <v>D26002018</v>
          </cell>
          <cell r="AP6126">
            <v>0</v>
          </cell>
          <cell r="AQ6126">
            <v>0</v>
          </cell>
          <cell r="AV6126">
            <v>0</v>
          </cell>
        </row>
        <row r="6127">
          <cell r="E6127" t="str">
            <v>D25018748</v>
          </cell>
          <cell r="AP6127">
            <v>0</v>
          </cell>
          <cell r="AQ6127">
            <v>0</v>
          </cell>
          <cell r="AV6127">
            <v>0</v>
          </cell>
        </row>
        <row r="6128">
          <cell r="E6128" t="str">
            <v>D26001459</v>
          </cell>
          <cell r="AP6128">
            <v>0</v>
          </cell>
          <cell r="AQ6128">
            <v>0</v>
          </cell>
          <cell r="AV6128">
            <v>0</v>
          </cell>
        </row>
        <row r="6129">
          <cell r="E6129" t="str">
            <v>D25018467</v>
          </cell>
          <cell r="AP6129">
            <v>0</v>
          </cell>
          <cell r="AQ6129">
            <v>38746000</v>
          </cell>
          <cell r="AV6129">
            <v>0</v>
          </cell>
        </row>
        <row r="6130">
          <cell r="E6130" t="str">
            <v>D25018615</v>
          </cell>
          <cell r="AP6130">
            <v>0</v>
          </cell>
          <cell r="AQ6130">
            <v>27750000</v>
          </cell>
          <cell r="AV6130">
            <v>0</v>
          </cell>
        </row>
        <row r="6131">
          <cell r="E6131" t="str">
            <v>D25018949</v>
          </cell>
          <cell r="AP6131">
            <v>0</v>
          </cell>
          <cell r="AQ6131">
            <v>19000000</v>
          </cell>
          <cell r="AV6131">
            <v>0</v>
          </cell>
        </row>
        <row r="6132">
          <cell r="E6132" t="str">
            <v>B25016579</v>
          </cell>
          <cell r="AP6132">
            <v>0</v>
          </cell>
          <cell r="AQ6132">
            <v>64504000</v>
          </cell>
          <cell r="AV6132">
            <v>0</v>
          </cell>
        </row>
        <row r="6133">
          <cell r="E6133" t="str">
            <v>B25016579</v>
          </cell>
          <cell r="AP6133">
            <v>0</v>
          </cell>
          <cell r="AQ6133">
            <v>24086000</v>
          </cell>
          <cell r="AV6133">
            <v>0</v>
          </cell>
        </row>
        <row r="6134">
          <cell r="E6134" t="str">
            <v>D25019137</v>
          </cell>
          <cell r="AP6134">
            <v>0</v>
          </cell>
          <cell r="AQ6134">
            <v>92910000</v>
          </cell>
          <cell r="AV6134">
            <v>0</v>
          </cell>
        </row>
        <row r="6135">
          <cell r="E6135" t="str">
            <v>D25019183</v>
          </cell>
          <cell r="AP6135">
            <v>0</v>
          </cell>
          <cell r="AQ6135">
            <v>38000000</v>
          </cell>
          <cell r="AV6135">
            <v>0</v>
          </cell>
        </row>
        <row r="6136">
          <cell r="E6136" t="str">
            <v>D26000910</v>
          </cell>
          <cell r="AP6136">
            <v>0</v>
          </cell>
          <cell r="AQ6136">
            <v>0</v>
          </cell>
          <cell r="AV6136">
            <v>0</v>
          </cell>
        </row>
        <row r="6137">
          <cell r="E6137" t="str">
            <v>B26001311</v>
          </cell>
          <cell r="AP6137">
            <v>0</v>
          </cell>
          <cell r="AQ6137">
            <v>0</v>
          </cell>
          <cell r="AV6137">
            <v>0</v>
          </cell>
        </row>
        <row r="6138">
          <cell r="E6138" t="str">
            <v>B26001500</v>
          </cell>
          <cell r="AP6138">
            <v>0</v>
          </cell>
          <cell r="AQ6138">
            <v>0</v>
          </cell>
          <cell r="AV6138">
            <v>133000000</v>
          </cell>
        </row>
        <row r="6139">
          <cell r="E6139" t="str">
            <v>D26001748</v>
          </cell>
          <cell r="AP6139">
            <v>0</v>
          </cell>
          <cell r="AQ6139">
            <v>0</v>
          </cell>
          <cell r="AV6139">
            <v>0</v>
          </cell>
        </row>
        <row r="6140">
          <cell r="E6140" t="str">
            <v>D26001753</v>
          </cell>
          <cell r="AP6140">
            <v>0</v>
          </cell>
          <cell r="AQ6140">
            <v>0</v>
          </cell>
          <cell r="AV6140">
            <v>19000000</v>
          </cell>
        </row>
        <row r="6141">
          <cell r="E6141" t="str">
            <v>D26001754</v>
          </cell>
          <cell r="AP6141">
            <v>0</v>
          </cell>
          <cell r="AQ6141">
            <v>0</v>
          </cell>
          <cell r="AV6141">
            <v>0</v>
          </cell>
        </row>
        <row r="6142">
          <cell r="E6142" t="str">
            <v>D26001873</v>
          </cell>
          <cell r="AP6142">
            <v>0</v>
          </cell>
          <cell r="AQ6142">
            <v>0</v>
          </cell>
          <cell r="AV6142">
            <v>0</v>
          </cell>
        </row>
        <row r="6143">
          <cell r="E6143" t="str">
            <v>D26001874</v>
          </cell>
          <cell r="AP6143">
            <v>0</v>
          </cell>
          <cell r="AQ6143">
            <v>0</v>
          </cell>
          <cell r="AV6143">
            <v>0</v>
          </cell>
        </row>
        <row r="6144">
          <cell r="E6144" t="str">
            <v>D26002029</v>
          </cell>
          <cell r="AP6144">
            <v>0</v>
          </cell>
          <cell r="AQ6144">
            <v>0</v>
          </cell>
          <cell r="AV6144">
            <v>0</v>
          </cell>
        </row>
        <row r="6145">
          <cell r="E6145" t="str">
            <v>Z25003334</v>
          </cell>
          <cell r="AP6145">
            <v>0</v>
          </cell>
          <cell r="AQ6145">
            <v>0</v>
          </cell>
          <cell r="AV6145">
            <v>0</v>
          </cell>
        </row>
        <row r="6146">
          <cell r="E6146" t="str">
            <v>D26000428</v>
          </cell>
          <cell r="AP6146">
            <v>0</v>
          </cell>
          <cell r="AQ6146">
            <v>0</v>
          </cell>
          <cell r="AV6146">
            <v>0</v>
          </cell>
        </row>
        <row r="6147">
          <cell r="E6147" t="str">
            <v>D26001452</v>
          </cell>
          <cell r="AP6147">
            <v>0</v>
          </cell>
          <cell r="AQ6147">
            <v>0</v>
          </cell>
          <cell r="AV6147">
            <v>0</v>
          </cell>
        </row>
        <row r="6148">
          <cell r="E6148" t="str">
            <v>Z26000238</v>
          </cell>
          <cell r="AP6148">
            <v>0</v>
          </cell>
          <cell r="AQ6148">
            <v>0</v>
          </cell>
          <cell r="AV6148">
            <v>0</v>
          </cell>
        </row>
        <row r="6149">
          <cell r="E6149" t="str">
            <v>Z26000244</v>
          </cell>
          <cell r="AP6149">
            <v>0</v>
          </cell>
          <cell r="AQ6149">
            <v>0</v>
          </cell>
          <cell r="AV6149">
            <v>0</v>
          </cell>
        </row>
        <row r="6150">
          <cell r="E6150" t="str">
            <v>T26000144</v>
          </cell>
          <cell r="AP6150">
            <v>0</v>
          </cell>
          <cell r="AQ6150">
            <v>0</v>
          </cell>
          <cell r="AV6150">
            <v>0</v>
          </cell>
        </row>
        <row r="6151">
          <cell r="E6151" t="str">
            <v>B25016725</v>
          </cell>
          <cell r="AP6151">
            <v>0</v>
          </cell>
          <cell r="AQ6151">
            <v>0</v>
          </cell>
          <cell r="AV6151">
            <v>0</v>
          </cell>
        </row>
        <row r="6152">
          <cell r="E6152" t="str">
            <v>D25019252</v>
          </cell>
          <cell r="AP6152">
            <v>0</v>
          </cell>
          <cell r="AQ6152">
            <v>0</v>
          </cell>
          <cell r="AV6152">
            <v>0</v>
          </cell>
        </row>
        <row r="6153">
          <cell r="E6153" t="str">
            <v>B25014613</v>
          </cell>
          <cell r="AP6153">
            <v>0</v>
          </cell>
          <cell r="AQ6153">
            <v>0</v>
          </cell>
          <cell r="AV6153">
            <v>3400000</v>
          </cell>
        </row>
        <row r="6154">
          <cell r="E6154" t="str">
            <v>B25015210</v>
          </cell>
          <cell r="AP6154">
            <v>0</v>
          </cell>
          <cell r="AQ6154">
            <v>0</v>
          </cell>
          <cell r="AV6154">
            <v>7150000</v>
          </cell>
        </row>
        <row r="6155">
          <cell r="E6155" t="str">
            <v>B25015806</v>
          </cell>
          <cell r="AP6155">
            <v>0</v>
          </cell>
          <cell r="AQ6155">
            <v>0</v>
          </cell>
          <cell r="AV6155">
            <v>2450000</v>
          </cell>
        </row>
        <row r="6156">
          <cell r="E6156" t="str">
            <v>B25015910</v>
          </cell>
          <cell r="AP6156">
            <v>0</v>
          </cell>
          <cell r="AQ6156">
            <v>0</v>
          </cell>
          <cell r="AV6156">
            <v>4560000</v>
          </cell>
        </row>
        <row r="6157">
          <cell r="E6157" t="str">
            <v>T25001806</v>
          </cell>
          <cell r="AP6157">
            <v>0</v>
          </cell>
          <cell r="AQ6157">
            <v>0</v>
          </cell>
          <cell r="AV6157">
            <v>3875000</v>
          </cell>
        </row>
        <row r="6158">
          <cell r="E6158" t="str">
            <v>D25018398</v>
          </cell>
          <cell r="AP6158">
            <v>0</v>
          </cell>
          <cell r="AQ6158">
            <v>0</v>
          </cell>
          <cell r="AV6158">
            <v>5312500</v>
          </cell>
        </row>
        <row r="6159">
          <cell r="E6159" t="str">
            <v>T25001820</v>
          </cell>
          <cell r="AP6159">
            <v>0</v>
          </cell>
          <cell r="AQ6159">
            <v>0</v>
          </cell>
          <cell r="AV6159">
            <v>6520000</v>
          </cell>
        </row>
        <row r="6160">
          <cell r="E6160" t="str">
            <v>D25018620</v>
          </cell>
          <cell r="AP6160">
            <v>0</v>
          </cell>
          <cell r="AQ6160">
            <v>0</v>
          </cell>
          <cell r="AV6160">
            <v>5400000</v>
          </cell>
        </row>
        <row r="6161">
          <cell r="E6161" t="str">
            <v>D25018908</v>
          </cell>
          <cell r="AP6161">
            <v>0</v>
          </cell>
          <cell r="AQ6161">
            <v>0</v>
          </cell>
          <cell r="AV6161">
            <v>2355000</v>
          </cell>
        </row>
        <row r="6162">
          <cell r="E6162" t="str">
            <v>B25017094</v>
          </cell>
          <cell r="AP6162">
            <v>0</v>
          </cell>
          <cell r="AQ6162">
            <v>0</v>
          </cell>
          <cell r="AV6162">
            <v>18000000</v>
          </cell>
        </row>
        <row r="6163">
          <cell r="E6163" t="str">
            <v>D26000236</v>
          </cell>
          <cell r="AP6163">
            <v>0</v>
          </cell>
          <cell r="AQ6163">
            <v>0</v>
          </cell>
          <cell r="AV6163">
            <v>3200000</v>
          </cell>
        </row>
        <row r="6164">
          <cell r="E6164" t="str">
            <v>D26000484</v>
          </cell>
          <cell r="AP6164">
            <v>0</v>
          </cell>
          <cell r="AQ6164">
            <v>0</v>
          </cell>
          <cell r="AV6164">
            <v>1800000</v>
          </cell>
        </row>
        <row r="6165">
          <cell r="E6165" t="str">
            <v>B26000798</v>
          </cell>
          <cell r="AP6165">
            <v>0</v>
          </cell>
          <cell r="AQ6165">
            <v>0</v>
          </cell>
          <cell r="AV6165">
            <v>2460000</v>
          </cell>
        </row>
        <row r="6166">
          <cell r="E6166" t="str">
            <v>B26001036</v>
          </cell>
          <cell r="AP6166">
            <v>0</v>
          </cell>
          <cell r="AQ6166">
            <v>0</v>
          </cell>
          <cell r="AV6166">
            <v>10800000</v>
          </cell>
        </row>
        <row r="6167">
          <cell r="E6167" t="str">
            <v>B26001058</v>
          </cell>
          <cell r="AP6167">
            <v>0</v>
          </cell>
          <cell r="AQ6167">
            <v>0</v>
          </cell>
          <cell r="AV6167">
            <v>3060000</v>
          </cell>
        </row>
        <row r="6168">
          <cell r="E6168" t="str">
            <v>T26000082</v>
          </cell>
          <cell r="AP6168">
            <v>0</v>
          </cell>
          <cell r="AQ6168">
            <v>0</v>
          </cell>
          <cell r="AV6168">
            <v>700000</v>
          </cell>
        </row>
        <row r="6169">
          <cell r="E6169" t="str">
            <v>D26001957</v>
          </cell>
          <cell r="AP6169">
            <v>0</v>
          </cell>
          <cell r="AQ6169">
            <v>0</v>
          </cell>
          <cell r="AV6169">
            <v>0</v>
          </cell>
        </row>
        <row r="6170">
          <cell r="E6170" t="str">
            <v>B26001646</v>
          </cell>
          <cell r="AP6170">
            <v>0</v>
          </cell>
          <cell r="AQ6170">
            <v>0</v>
          </cell>
          <cell r="AV6170">
            <v>15200</v>
          </cell>
        </row>
        <row r="6171">
          <cell r="E6171" t="str">
            <v>B26001647</v>
          </cell>
          <cell r="AP6171">
            <v>0</v>
          </cell>
          <cell r="AQ6171">
            <v>0</v>
          </cell>
          <cell r="AV6171">
            <v>58000</v>
          </cell>
        </row>
        <row r="6172">
          <cell r="E6172" t="str">
            <v>B26001860</v>
          </cell>
          <cell r="AP6172">
            <v>0</v>
          </cell>
          <cell r="AQ6172">
            <v>0</v>
          </cell>
          <cell r="AV6172">
            <v>0</v>
          </cell>
        </row>
        <row r="6173">
          <cell r="E6173" t="str">
            <v>D25019446</v>
          </cell>
          <cell r="AP6173">
            <v>0</v>
          </cell>
          <cell r="AQ6173">
            <v>0</v>
          </cell>
          <cell r="AV6173">
            <v>0</v>
          </cell>
        </row>
        <row r="6174">
          <cell r="E6174" t="str">
            <v>B25017027</v>
          </cell>
          <cell r="AP6174">
            <v>0</v>
          </cell>
          <cell r="AQ6174">
            <v>0</v>
          </cell>
          <cell r="AV6174">
            <v>0</v>
          </cell>
        </row>
        <row r="6175">
          <cell r="E6175" t="str">
            <v>D25019588</v>
          </cell>
          <cell r="AP6175">
            <v>0</v>
          </cell>
          <cell r="AQ6175">
            <v>0</v>
          </cell>
          <cell r="AV6175">
            <v>0</v>
          </cell>
        </row>
        <row r="6176">
          <cell r="E6176" t="str">
            <v>B26000422</v>
          </cell>
          <cell r="AP6176">
            <v>0</v>
          </cell>
          <cell r="AQ6176">
            <v>0</v>
          </cell>
          <cell r="AV6176">
            <v>0</v>
          </cell>
        </row>
        <row r="6177">
          <cell r="E6177" t="str">
            <v>B26000424</v>
          </cell>
          <cell r="AP6177">
            <v>0</v>
          </cell>
          <cell r="AQ6177">
            <v>0</v>
          </cell>
          <cell r="AV6177">
            <v>0</v>
          </cell>
        </row>
        <row r="6178">
          <cell r="E6178" t="str">
            <v>D26001155</v>
          </cell>
          <cell r="AP6178">
            <v>0</v>
          </cell>
          <cell r="AQ6178">
            <v>0</v>
          </cell>
          <cell r="AV6178">
            <v>0</v>
          </cell>
        </row>
        <row r="6179">
          <cell r="E6179" t="str">
            <v>D26001207</v>
          </cell>
          <cell r="AP6179">
            <v>0</v>
          </cell>
          <cell r="AQ6179">
            <v>0</v>
          </cell>
          <cell r="AV6179">
            <v>0</v>
          </cell>
        </row>
        <row r="6180">
          <cell r="E6180" t="str">
            <v>D26001364</v>
          </cell>
          <cell r="AP6180">
            <v>0</v>
          </cell>
          <cell r="AQ6180">
            <v>0</v>
          </cell>
          <cell r="AV6180">
            <v>0</v>
          </cell>
        </row>
        <row r="6181">
          <cell r="E6181" t="str">
            <v>B26001541</v>
          </cell>
          <cell r="AP6181">
            <v>0</v>
          </cell>
          <cell r="AQ6181">
            <v>0</v>
          </cell>
          <cell r="AV6181">
            <v>0</v>
          </cell>
        </row>
        <row r="6182">
          <cell r="E6182" t="str">
            <v>B26001636</v>
          </cell>
          <cell r="AP6182">
            <v>0</v>
          </cell>
          <cell r="AQ6182">
            <v>0</v>
          </cell>
          <cell r="AV6182">
            <v>0</v>
          </cell>
        </row>
        <row r="6183">
          <cell r="E6183" t="str">
            <v>B26001637</v>
          </cell>
          <cell r="AP6183">
            <v>0</v>
          </cell>
          <cell r="AQ6183">
            <v>0</v>
          </cell>
          <cell r="AV6183">
            <v>0</v>
          </cell>
        </row>
        <row r="6184">
          <cell r="E6184" t="str">
            <v>D26001739</v>
          </cell>
          <cell r="AP6184">
            <v>0</v>
          </cell>
          <cell r="AQ6184">
            <v>0</v>
          </cell>
          <cell r="AV6184">
            <v>0</v>
          </cell>
        </row>
        <row r="6185">
          <cell r="E6185" t="str">
            <v>B26001723</v>
          </cell>
          <cell r="AP6185">
            <v>0</v>
          </cell>
          <cell r="AQ6185">
            <v>0</v>
          </cell>
          <cell r="AV6185">
            <v>0</v>
          </cell>
        </row>
        <row r="6186">
          <cell r="E6186" t="str">
            <v>D26001844</v>
          </cell>
          <cell r="AP6186">
            <v>0</v>
          </cell>
          <cell r="AQ6186">
            <v>0</v>
          </cell>
          <cell r="AV6186">
            <v>0</v>
          </cell>
        </row>
        <row r="6187">
          <cell r="E6187" t="str">
            <v>D26001887</v>
          </cell>
          <cell r="AP6187">
            <v>0</v>
          </cell>
          <cell r="AQ6187">
            <v>0</v>
          </cell>
          <cell r="AV6187">
            <v>15380000</v>
          </cell>
        </row>
        <row r="6188">
          <cell r="E6188" t="str">
            <v>C26000098</v>
          </cell>
          <cell r="AP6188">
            <v>0</v>
          </cell>
          <cell r="AQ6188">
            <v>0</v>
          </cell>
          <cell r="AV6188">
            <v>0</v>
          </cell>
        </row>
        <row r="6189">
          <cell r="E6189" t="str">
            <v>M26000025</v>
          </cell>
          <cell r="AP6189">
            <v>0</v>
          </cell>
          <cell r="AQ6189">
            <v>0</v>
          </cell>
          <cell r="AV6189">
            <v>0</v>
          </cell>
        </row>
        <row r="6190">
          <cell r="E6190" t="str">
            <v>T25001650K</v>
          </cell>
          <cell r="AP6190">
            <v>0</v>
          </cell>
          <cell r="AQ6190">
            <v>0</v>
          </cell>
          <cell r="AV6190">
            <v>0</v>
          </cell>
        </row>
        <row r="6191">
          <cell r="E6191" t="str">
            <v>T25001664</v>
          </cell>
          <cell r="AP6191">
            <v>0</v>
          </cell>
          <cell r="AQ6191">
            <v>0</v>
          </cell>
          <cell r="AV6191">
            <v>4360000</v>
          </cell>
        </row>
        <row r="6192">
          <cell r="E6192" t="str">
            <v>D25017969</v>
          </cell>
          <cell r="AP6192">
            <v>0</v>
          </cell>
          <cell r="AQ6192">
            <v>0</v>
          </cell>
          <cell r="AV6192">
            <v>3640000</v>
          </cell>
        </row>
        <row r="6193">
          <cell r="E6193" t="str">
            <v>B26000483</v>
          </cell>
          <cell r="AP6193">
            <v>0</v>
          </cell>
          <cell r="AQ6193">
            <v>0</v>
          </cell>
          <cell r="AV6193">
            <v>0</v>
          </cell>
        </row>
        <row r="6194">
          <cell r="E6194" t="str">
            <v>B26000849</v>
          </cell>
          <cell r="AP6194">
            <v>0</v>
          </cell>
          <cell r="AQ6194">
            <v>0</v>
          </cell>
          <cell r="AV6194">
            <v>0</v>
          </cell>
        </row>
        <row r="6195">
          <cell r="E6195" t="str">
            <v>B26001718</v>
          </cell>
          <cell r="AP6195">
            <v>0</v>
          </cell>
          <cell r="AQ6195">
            <v>0</v>
          </cell>
          <cell r="AV6195">
            <v>0</v>
          </cell>
        </row>
        <row r="6196">
          <cell r="E6196" t="str">
            <v>B25015014</v>
          </cell>
          <cell r="AP6196">
            <v>0</v>
          </cell>
          <cell r="AQ6196">
            <v>0</v>
          </cell>
          <cell r="AV6196">
            <v>0</v>
          </cell>
        </row>
        <row r="6197">
          <cell r="E6197" t="str">
            <v>D25017847</v>
          </cell>
          <cell r="AP6197">
            <v>0</v>
          </cell>
          <cell r="AQ6197">
            <v>0</v>
          </cell>
          <cell r="AV6197">
            <v>0</v>
          </cell>
        </row>
        <row r="6198">
          <cell r="E6198" t="str">
            <v>B25015804</v>
          </cell>
          <cell r="AP6198">
            <v>0</v>
          </cell>
          <cell r="AQ6198">
            <v>0</v>
          </cell>
          <cell r="AV6198">
            <v>0</v>
          </cell>
        </row>
        <row r="6199">
          <cell r="E6199" t="str">
            <v>B25016077</v>
          </cell>
          <cell r="AP6199">
            <v>0</v>
          </cell>
          <cell r="AQ6199">
            <v>0</v>
          </cell>
          <cell r="AV6199">
            <v>0</v>
          </cell>
        </row>
        <row r="6200">
          <cell r="E6200" t="str">
            <v>D25018581</v>
          </cell>
          <cell r="AP6200">
            <v>0</v>
          </cell>
          <cell r="AQ6200">
            <v>0</v>
          </cell>
          <cell r="AV6200">
            <v>0</v>
          </cell>
        </row>
        <row r="6201">
          <cell r="E6201" t="str">
            <v>D25018724</v>
          </cell>
          <cell r="AP6201">
            <v>0</v>
          </cell>
          <cell r="AQ6201">
            <v>0</v>
          </cell>
          <cell r="AV6201">
            <v>0</v>
          </cell>
        </row>
        <row r="6202">
          <cell r="E6202" t="str">
            <v>D25018766</v>
          </cell>
          <cell r="AP6202">
            <v>0</v>
          </cell>
          <cell r="AQ6202">
            <v>0</v>
          </cell>
          <cell r="AV6202">
            <v>0</v>
          </cell>
        </row>
        <row r="6203">
          <cell r="E6203" t="str">
            <v>B25016403</v>
          </cell>
          <cell r="AP6203">
            <v>0</v>
          </cell>
          <cell r="AQ6203">
            <v>0</v>
          </cell>
          <cell r="AV6203">
            <v>0</v>
          </cell>
        </row>
        <row r="6204">
          <cell r="E6204" t="str">
            <v>B25016449</v>
          </cell>
          <cell r="AP6204">
            <v>0</v>
          </cell>
          <cell r="AQ6204">
            <v>0</v>
          </cell>
          <cell r="AV6204">
            <v>0</v>
          </cell>
        </row>
        <row r="6205">
          <cell r="E6205" t="str">
            <v>D25018941</v>
          </cell>
          <cell r="AP6205">
            <v>0</v>
          </cell>
          <cell r="AQ6205">
            <v>0</v>
          </cell>
          <cell r="AV6205">
            <v>0</v>
          </cell>
        </row>
        <row r="6206">
          <cell r="E6206" t="str">
            <v>D25018968</v>
          </cell>
          <cell r="AP6206">
            <v>0</v>
          </cell>
          <cell r="AQ6206">
            <v>0</v>
          </cell>
          <cell r="AV6206">
            <v>0</v>
          </cell>
        </row>
        <row r="6207">
          <cell r="E6207" t="str">
            <v>D25019405</v>
          </cell>
          <cell r="AP6207">
            <v>0</v>
          </cell>
          <cell r="AQ6207">
            <v>0</v>
          </cell>
          <cell r="AV6207">
            <v>0</v>
          </cell>
        </row>
        <row r="6208">
          <cell r="E6208" t="str">
            <v>D25019406</v>
          </cell>
          <cell r="AP6208">
            <v>0</v>
          </cell>
          <cell r="AQ6208">
            <v>0</v>
          </cell>
          <cell r="AV6208">
            <v>0</v>
          </cell>
        </row>
        <row r="6209">
          <cell r="E6209" t="str">
            <v>B26000104</v>
          </cell>
          <cell r="AP6209">
            <v>0</v>
          </cell>
          <cell r="AQ6209">
            <v>0</v>
          </cell>
          <cell r="AV6209">
            <v>0</v>
          </cell>
        </row>
        <row r="6210">
          <cell r="E6210" t="str">
            <v>B26000105</v>
          </cell>
          <cell r="AP6210">
            <v>0</v>
          </cell>
          <cell r="AQ6210">
            <v>0</v>
          </cell>
          <cell r="AV6210">
            <v>0</v>
          </cell>
        </row>
        <row r="6211">
          <cell r="E6211" t="str">
            <v>B26000265</v>
          </cell>
          <cell r="AP6211">
            <v>0</v>
          </cell>
          <cell r="AQ6211">
            <v>0</v>
          </cell>
          <cell r="AV6211">
            <v>0</v>
          </cell>
        </row>
        <row r="6212">
          <cell r="E6212" t="str">
            <v>B26000266</v>
          </cell>
          <cell r="AP6212">
            <v>0</v>
          </cell>
          <cell r="AQ6212">
            <v>0</v>
          </cell>
          <cell r="AV6212">
            <v>0</v>
          </cell>
        </row>
        <row r="6213">
          <cell r="E6213" t="str">
            <v>D26000312</v>
          </cell>
          <cell r="AP6213">
            <v>0</v>
          </cell>
          <cell r="AQ6213">
            <v>0</v>
          </cell>
          <cell r="AV6213">
            <v>0</v>
          </cell>
        </row>
        <row r="6214">
          <cell r="E6214" t="str">
            <v>B26000396</v>
          </cell>
          <cell r="AP6214">
            <v>0</v>
          </cell>
          <cell r="AQ6214">
            <v>0</v>
          </cell>
          <cell r="AV6214">
            <v>0</v>
          </cell>
        </row>
        <row r="6215">
          <cell r="E6215" t="str">
            <v>D26000509</v>
          </cell>
          <cell r="AP6215">
            <v>0</v>
          </cell>
          <cell r="AQ6215">
            <v>0</v>
          </cell>
          <cell r="AV6215">
            <v>0</v>
          </cell>
        </row>
        <row r="6216">
          <cell r="E6216" t="str">
            <v>D26000564</v>
          </cell>
          <cell r="AP6216">
            <v>0</v>
          </cell>
          <cell r="AQ6216">
            <v>0</v>
          </cell>
          <cell r="AV6216">
            <v>0</v>
          </cell>
        </row>
        <row r="6217">
          <cell r="E6217" t="str">
            <v>D26000984</v>
          </cell>
          <cell r="AP6217">
            <v>0</v>
          </cell>
          <cell r="AQ6217">
            <v>0</v>
          </cell>
          <cell r="AV6217">
            <v>0</v>
          </cell>
        </row>
        <row r="6218">
          <cell r="E6218" t="str">
            <v>B26000961</v>
          </cell>
          <cell r="AP6218">
            <v>0</v>
          </cell>
          <cell r="AQ6218">
            <v>0</v>
          </cell>
          <cell r="AV6218">
            <v>0</v>
          </cell>
        </row>
        <row r="6219">
          <cell r="E6219" t="str">
            <v>D26001056</v>
          </cell>
          <cell r="AP6219">
            <v>0</v>
          </cell>
          <cell r="AQ6219">
            <v>0</v>
          </cell>
          <cell r="AV6219">
            <v>0</v>
          </cell>
        </row>
        <row r="6220">
          <cell r="E6220" t="str">
            <v>D26001312</v>
          </cell>
          <cell r="AP6220">
            <v>0</v>
          </cell>
          <cell r="AQ6220">
            <v>0</v>
          </cell>
          <cell r="AV6220">
            <v>0</v>
          </cell>
        </row>
        <row r="6221">
          <cell r="E6221" t="str">
            <v>B26001407</v>
          </cell>
          <cell r="AP6221">
            <v>0</v>
          </cell>
          <cell r="AQ6221">
            <v>0</v>
          </cell>
          <cell r="AV6221">
            <v>0</v>
          </cell>
        </row>
        <row r="6222">
          <cell r="E6222" t="str">
            <v>B26001408</v>
          </cell>
          <cell r="AP6222">
            <v>0</v>
          </cell>
          <cell r="AQ6222">
            <v>0</v>
          </cell>
          <cell r="AV6222">
            <v>0</v>
          </cell>
        </row>
        <row r="6223">
          <cell r="E6223" t="str">
            <v>B26001709</v>
          </cell>
          <cell r="AP6223">
            <v>0</v>
          </cell>
          <cell r="AQ6223">
            <v>0</v>
          </cell>
          <cell r="AV6223">
            <v>0</v>
          </cell>
        </row>
        <row r="6224">
          <cell r="E6224" t="str">
            <v>D26001768</v>
          </cell>
          <cell r="AP6224">
            <v>0</v>
          </cell>
          <cell r="AQ6224">
            <v>0</v>
          </cell>
          <cell r="AV6224">
            <v>0</v>
          </cell>
        </row>
        <row r="6225">
          <cell r="E6225" t="str">
            <v>B26001754</v>
          </cell>
          <cell r="AP6225">
            <v>0</v>
          </cell>
          <cell r="AQ6225">
            <v>0</v>
          </cell>
          <cell r="AV6225">
            <v>0</v>
          </cell>
        </row>
        <row r="6226">
          <cell r="E6226" t="str">
            <v>B26001755</v>
          </cell>
          <cell r="AP6226">
            <v>0</v>
          </cell>
          <cell r="AQ6226">
            <v>0</v>
          </cell>
          <cell r="AV6226">
            <v>0</v>
          </cell>
        </row>
        <row r="6227">
          <cell r="E6227" t="str">
            <v>D26001978</v>
          </cell>
          <cell r="AP6227">
            <v>0</v>
          </cell>
          <cell r="AQ6227">
            <v>0</v>
          </cell>
          <cell r="AV6227">
            <v>0</v>
          </cell>
        </row>
        <row r="6228">
          <cell r="E6228" t="str">
            <v>T26000140</v>
          </cell>
          <cell r="AP6228">
            <v>0</v>
          </cell>
          <cell r="AQ6228">
            <v>0</v>
          </cell>
          <cell r="AV6228">
            <v>0</v>
          </cell>
        </row>
        <row r="6229">
          <cell r="E6229" t="str">
            <v>D26000747</v>
          </cell>
          <cell r="AP6229">
            <v>0</v>
          </cell>
          <cell r="AQ6229">
            <v>0</v>
          </cell>
          <cell r="AV6229">
            <v>0</v>
          </cell>
        </row>
        <row r="6230">
          <cell r="E6230" t="str">
            <v>D26000751</v>
          </cell>
          <cell r="AP6230">
            <v>0</v>
          </cell>
          <cell r="AQ6230">
            <v>0</v>
          </cell>
          <cell r="AV6230">
            <v>0</v>
          </cell>
        </row>
        <row r="6231">
          <cell r="E6231" t="str">
            <v>B26001530</v>
          </cell>
          <cell r="AP6231">
            <v>0</v>
          </cell>
          <cell r="AQ6231">
            <v>0</v>
          </cell>
          <cell r="AV6231">
            <v>0</v>
          </cell>
        </row>
        <row r="6232">
          <cell r="E6232" t="str">
            <v>B26001875</v>
          </cell>
          <cell r="AP6232">
            <v>0</v>
          </cell>
          <cell r="AQ6232">
            <v>0</v>
          </cell>
          <cell r="AV6232">
            <v>0</v>
          </cell>
        </row>
        <row r="6233">
          <cell r="E6233" t="str">
            <v>B26001093</v>
          </cell>
          <cell r="AP6233">
            <v>0</v>
          </cell>
          <cell r="AQ6233">
            <v>0</v>
          </cell>
          <cell r="AV6233">
            <v>0</v>
          </cell>
        </row>
        <row r="6234">
          <cell r="E6234" t="str">
            <v>B25016506</v>
          </cell>
          <cell r="AP6234">
            <v>0</v>
          </cell>
          <cell r="AQ6234">
            <v>0</v>
          </cell>
          <cell r="AV6234">
            <v>3400000</v>
          </cell>
        </row>
        <row r="6235">
          <cell r="E6235" t="str">
            <v>B26000861</v>
          </cell>
          <cell r="AP6235">
            <v>0</v>
          </cell>
          <cell r="AQ6235">
            <v>0</v>
          </cell>
          <cell r="AV6235">
            <v>0</v>
          </cell>
        </row>
        <row r="6236">
          <cell r="E6236" t="str">
            <v>B26000967</v>
          </cell>
          <cell r="AP6236">
            <v>0</v>
          </cell>
          <cell r="AQ6236">
            <v>0</v>
          </cell>
          <cell r="AV6236">
            <v>0</v>
          </cell>
        </row>
        <row r="6237">
          <cell r="E6237" t="str">
            <v>D26001363</v>
          </cell>
          <cell r="AP6237">
            <v>0</v>
          </cell>
          <cell r="AQ6237">
            <v>0</v>
          </cell>
          <cell r="AV6237">
            <v>0</v>
          </cell>
        </row>
        <row r="6238">
          <cell r="E6238" t="str">
            <v>B25016720</v>
          </cell>
          <cell r="AP6238">
            <v>0</v>
          </cell>
          <cell r="AQ6238">
            <v>0</v>
          </cell>
          <cell r="AV6238">
            <v>0</v>
          </cell>
        </row>
        <row r="6239">
          <cell r="E6239" t="str">
            <v>B25016527</v>
          </cell>
          <cell r="AP6239">
            <v>0</v>
          </cell>
          <cell r="AQ6239">
            <v>0</v>
          </cell>
          <cell r="AV6239">
            <v>0</v>
          </cell>
        </row>
        <row r="6240">
          <cell r="E6240" t="str">
            <v>D26000349</v>
          </cell>
          <cell r="AP6240">
            <v>0</v>
          </cell>
          <cell r="AQ6240">
            <v>0</v>
          </cell>
          <cell r="AV6240">
            <v>0</v>
          </cell>
        </row>
        <row r="6241">
          <cell r="E6241" t="str">
            <v>B26001364</v>
          </cell>
          <cell r="AP6241">
            <v>0</v>
          </cell>
          <cell r="AQ6241">
            <v>0</v>
          </cell>
          <cell r="AV6241">
            <v>0</v>
          </cell>
        </row>
        <row r="6242">
          <cell r="E6242" t="str">
            <v>T24000579</v>
          </cell>
          <cell r="AP6242">
            <v>0</v>
          </cell>
          <cell r="AQ6242">
            <v>0</v>
          </cell>
          <cell r="AV6242">
            <v>0</v>
          </cell>
        </row>
        <row r="6243">
          <cell r="E6243" t="str">
            <v>T26000094</v>
          </cell>
          <cell r="AP6243">
            <v>0</v>
          </cell>
          <cell r="AQ6243">
            <v>0</v>
          </cell>
          <cell r="AV6243">
            <v>0</v>
          </cell>
        </row>
        <row r="6244">
          <cell r="E6244" t="str">
            <v>T26000095</v>
          </cell>
          <cell r="AP6244">
            <v>0</v>
          </cell>
          <cell r="AQ6244">
            <v>0</v>
          </cell>
          <cell r="AV6244">
            <v>0</v>
          </cell>
        </row>
        <row r="6245">
          <cell r="E6245" t="str">
            <v>B25016872</v>
          </cell>
          <cell r="AP6245">
            <v>0</v>
          </cell>
          <cell r="AQ6245">
            <v>0</v>
          </cell>
          <cell r="AV6245">
            <v>0</v>
          </cell>
        </row>
        <row r="6246">
          <cell r="E6246" t="str">
            <v>D25018456</v>
          </cell>
          <cell r="AP6246">
            <v>0</v>
          </cell>
          <cell r="AQ6246">
            <v>0</v>
          </cell>
          <cell r="AV6246">
            <v>900000</v>
          </cell>
        </row>
        <row r="6247">
          <cell r="E6247" t="str">
            <v>D25018691</v>
          </cell>
          <cell r="AP6247">
            <v>0</v>
          </cell>
          <cell r="AQ6247">
            <v>0</v>
          </cell>
          <cell r="AV6247">
            <v>1720000</v>
          </cell>
        </row>
        <row r="6248">
          <cell r="E6248" t="str">
            <v>D25019380</v>
          </cell>
          <cell r="AP6248">
            <v>0</v>
          </cell>
          <cell r="AQ6248">
            <v>0</v>
          </cell>
          <cell r="AV6248">
            <v>0</v>
          </cell>
        </row>
        <row r="6249">
          <cell r="E6249" t="str">
            <v>B25016924</v>
          </cell>
          <cell r="AP6249">
            <v>0</v>
          </cell>
          <cell r="AQ6249">
            <v>0</v>
          </cell>
          <cell r="AV6249">
            <v>0</v>
          </cell>
        </row>
        <row r="6250">
          <cell r="E6250" t="str">
            <v>D25019503</v>
          </cell>
          <cell r="AP6250">
            <v>0</v>
          </cell>
          <cell r="AQ6250">
            <v>0</v>
          </cell>
          <cell r="AV6250">
            <v>0</v>
          </cell>
        </row>
        <row r="6251">
          <cell r="E6251" t="str">
            <v>B25016963</v>
          </cell>
          <cell r="AP6251">
            <v>0</v>
          </cell>
          <cell r="AQ6251">
            <v>0</v>
          </cell>
          <cell r="AV6251">
            <v>0</v>
          </cell>
        </row>
        <row r="6252">
          <cell r="E6252" t="str">
            <v>B26000087</v>
          </cell>
          <cell r="AP6252">
            <v>0</v>
          </cell>
          <cell r="AQ6252">
            <v>0</v>
          </cell>
          <cell r="AV6252">
            <v>0</v>
          </cell>
        </row>
        <row r="6253">
          <cell r="E6253" t="str">
            <v>B26001571</v>
          </cell>
          <cell r="AP6253">
            <v>0</v>
          </cell>
          <cell r="AQ6253">
            <v>0</v>
          </cell>
          <cell r="AV6253">
            <v>0</v>
          </cell>
        </row>
        <row r="6254">
          <cell r="E6254" t="str">
            <v>B26001572</v>
          </cell>
          <cell r="AP6254">
            <v>0</v>
          </cell>
          <cell r="AQ6254">
            <v>0</v>
          </cell>
          <cell r="AV6254">
            <v>0</v>
          </cell>
        </row>
        <row r="6255">
          <cell r="E6255" t="str">
            <v>T26000115</v>
          </cell>
          <cell r="AP6255">
            <v>0</v>
          </cell>
          <cell r="AQ6255">
            <v>0</v>
          </cell>
          <cell r="AV6255">
            <v>0</v>
          </cell>
        </row>
        <row r="6256">
          <cell r="E6256" t="str">
            <v>B25016002</v>
          </cell>
          <cell r="AP6256">
            <v>0</v>
          </cell>
          <cell r="AQ6256">
            <v>0</v>
          </cell>
          <cell r="AV6256">
            <v>7551000</v>
          </cell>
        </row>
        <row r="6257">
          <cell r="E6257" t="str">
            <v>B25016440</v>
          </cell>
          <cell r="AP6257">
            <v>0</v>
          </cell>
          <cell r="AQ6257">
            <v>0</v>
          </cell>
          <cell r="AV6257">
            <v>0</v>
          </cell>
        </row>
        <row r="6258">
          <cell r="E6258" t="str">
            <v>D25019251</v>
          </cell>
          <cell r="AP6258">
            <v>0</v>
          </cell>
          <cell r="AQ6258">
            <v>0</v>
          </cell>
          <cell r="AV6258">
            <v>0</v>
          </cell>
        </row>
        <row r="6259">
          <cell r="E6259" t="str">
            <v>B25016920</v>
          </cell>
          <cell r="AP6259">
            <v>0</v>
          </cell>
          <cell r="AQ6259">
            <v>0</v>
          </cell>
          <cell r="AV6259">
            <v>0</v>
          </cell>
        </row>
        <row r="6260">
          <cell r="E6260" t="str">
            <v>B26000197</v>
          </cell>
          <cell r="AP6260">
            <v>0</v>
          </cell>
          <cell r="AQ6260">
            <v>0</v>
          </cell>
          <cell r="AV6260">
            <v>3300000</v>
          </cell>
        </row>
        <row r="6261">
          <cell r="E6261" t="str">
            <v>D26000285</v>
          </cell>
          <cell r="AP6261">
            <v>0</v>
          </cell>
          <cell r="AQ6261">
            <v>0</v>
          </cell>
          <cell r="AV6261">
            <v>0</v>
          </cell>
        </row>
        <row r="6262">
          <cell r="E6262" t="str">
            <v>D26000339</v>
          </cell>
          <cell r="AP6262">
            <v>0</v>
          </cell>
          <cell r="AQ6262">
            <v>0</v>
          </cell>
          <cell r="AV6262">
            <v>0</v>
          </cell>
        </row>
        <row r="6263">
          <cell r="E6263" t="str">
            <v>D26000436</v>
          </cell>
          <cell r="AP6263">
            <v>0</v>
          </cell>
          <cell r="AQ6263">
            <v>0</v>
          </cell>
          <cell r="AV6263">
            <v>0</v>
          </cell>
        </row>
        <row r="6264">
          <cell r="E6264" t="str">
            <v>B26000448</v>
          </cell>
          <cell r="AP6264">
            <v>0</v>
          </cell>
          <cell r="AQ6264">
            <v>0</v>
          </cell>
          <cell r="AV6264">
            <v>630000</v>
          </cell>
        </row>
        <row r="6265">
          <cell r="E6265" t="str">
            <v>B26000969</v>
          </cell>
          <cell r="AP6265">
            <v>0</v>
          </cell>
          <cell r="AQ6265">
            <v>0</v>
          </cell>
          <cell r="AV6265">
            <v>0</v>
          </cell>
        </row>
        <row r="6266">
          <cell r="E6266" t="str">
            <v>B26000989</v>
          </cell>
          <cell r="AP6266">
            <v>0</v>
          </cell>
          <cell r="AQ6266">
            <v>0</v>
          </cell>
          <cell r="AV6266">
            <v>0</v>
          </cell>
        </row>
        <row r="6267">
          <cell r="E6267" t="str">
            <v>B26001057</v>
          </cell>
          <cell r="AP6267">
            <v>0</v>
          </cell>
          <cell r="AQ6267">
            <v>0</v>
          </cell>
          <cell r="AV6267">
            <v>0</v>
          </cell>
        </row>
        <row r="6268">
          <cell r="E6268" t="str">
            <v>D26001086</v>
          </cell>
          <cell r="AP6268">
            <v>0</v>
          </cell>
          <cell r="AQ6268">
            <v>0</v>
          </cell>
          <cell r="AV6268">
            <v>0</v>
          </cell>
        </row>
        <row r="6269">
          <cell r="E6269" t="str">
            <v>D26001087</v>
          </cell>
          <cell r="AP6269">
            <v>0</v>
          </cell>
          <cell r="AQ6269">
            <v>0</v>
          </cell>
          <cell r="AV6269">
            <v>0</v>
          </cell>
        </row>
        <row r="6270">
          <cell r="E6270" t="str">
            <v>D26001226</v>
          </cell>
          <cell r="AP6270">
            <v>0</v>
          </cell>
          <cell r="AQ6270">
            <v>0</v>
          </cell>
          <cell r="AV6270">
            <v>0</v>
          </cell>
        </row>
        <row r="6271">
          <cell r="E6271" t="str">
            <v>D26001227</v>
          </cell>
          <cell r="AP6271">
            <v>0</v>
          </cell>
          <cell r="AQ6271">
            <v>0</v>
          </cell>
          <cell r="AV6271">
            <v>0</v>
          </cell>
        </row>
        <row r="6272">
          <cell r="E6272" t="str">
            <v>D26001387</v>
          </cell>
          <cell r="AP6272">
            <v>0</v>
          </cell>
          <cell r="AQ6272">
            <v>0</v>
          </cell>
          <cell r="AV6272">
            <v>0</v>
          </cell>
        </row>
        <row r="6273">
          <cell r="E6273" t="str">
            <v>D26001410</v>
          </cell>
          <cell r="AP6273">
            <v>0</v>
          </cell>
          <cell r="AQ6273">
            <v>0</v>
          </cell>
          <cell r="AV6273">
            <v>0</v>
          </cell>
        </row>
        <row r="6274">
          <cell r="E6274" t="str">
            <v>B26001391</v>
          </cell>
          <cell r="AP6274">
            <v>0</v>
          </cell>
          <cell r="AQ6274">
            <v>0</v>
          </cell>
          <cell r="AV6274">
            <v>0</v>
          </cell>
        </row>
        <row r="6275">
          <cell r="E6275" t="str">
            <v>D26001471</v>
          </cell>
          <cell r="AP6275">
            <v>0</v>
          </cell>
          <cell r="AQ6275">
            <v>0</v>
          </cell>
          <cell r="AV6275">
            <v>0</v>
          </cell>
        </row>
        <row r="6276">
          <cell r="E6276" t="str">
            <v>D26002048</v>
          </cell>
          <cell r="AP6276">
            <v>0</v>
          </cell>
          <cell r="AQ6276">
            <v>0</v>
          </cell>
          <cell r="AV6276">
            <v>0</v>
          </cell>
        </row>
        <row r="6277">
          <cell r="E6277" t="str">
            <v>D25017696</v>
          </cell>
          <cell r="AP6277">
            <v>0</v>
          </cell>
          <cell r="AQ6277">
            <v>0</v>
          </cell>
          <cell r="AV6277">
            <v>0</v>
          </cell>
        </row>
        <row r="6278">
          <cell r="E6278" t="str">
            <v>D25017697</v>
          </cell>
          <cell r="AP6278">
            <v>0</v>
          </cell>
          <cell r="AQ6278">
            <v>0</v>
          </cell>
          <cell r="AV6278">
            <v>0</v>
          </cell>
        </row>
        <row r="6279">
          <cell r="E6279" t="str">
            <v>D26002014</v>
          </cell>
          <cell r="AP6279">
            <v>0</v>
          </cell>
          <cell r="AQ6279">
            <v>0</v>
          </cell>
          <cell r="AV6279">
            <v>22800000</v>
          </cell>
        </row>
        <row r="6280">
          <cell r="E6280" t="str">
            <v>D26000941</v>
          </cell>
          <cell r="AP6280">
            <v>0</v>
          </cell>
          <cell r="AQ6280">
            <v>0</v>
          </cell>
          <cell r="AV6280">
            <v>0</v>
          </cell>
        </row>
        <row r="6281">
          <cell r="E6281" t="str">
            <v>D26001067</v>
          </cell>
          <cell r="AP6281">
            <v>0</v>
          </cell>
          <cell r="AQ6281">
            <v>0</v>
          </cell>
          <cell r="AV6281">
            <v>0</v>
          </cell>
        </row>
        <row r="6282">
          <cell r="E6282" t="str">
            <v>D26001771</v>
          </cell>
          <cell r="AP6282">
            <v>0</v>
          </cell>
          <cell r="AQ6282">
            <v>0</v>
          </cell>
          <cell r="AV6282">
            <v>385000</v>
          </cell>
        </row>
        <row r="6283">
          <cell r="E6283" t="str">
            <v>B26001566</v>
          </cell>
          <cell r="AP6283">
            <v>0</v>
          </cell>
          <cell r="AQ6283">
            <v>0</v>
          </cell>
          <cell r="AV6283">
            <v>6120000</v>
          </cell>
        </row>
        <row r="6285">
          <cell r="E6285" t="str">
            <v>x</v>
          </cell>
          <cell r="AP6285" t="str">
            <v>x</v>
          </cell>
          <cell r="AQ6285" t="str">
            <v>x</v>
          </cell>
          <cell r="AV6285" t="str">
            <v>x</v>
          </cell>
        </row>
        <row r="6286">
          <cell r="AP6286">
            <v>62285163</v>
          </cell>
          <cell r="AQ6286">
            <v>8180544250</v>
          </cell>
          <cell r="AV6286">
            <v>22266510344.510002</v>
          </cell>
        </row>
        <row r="6287">
          <cell r="AQ6287">
            <v>8180769500</v>
          </cell>
        </row>
        <row r="6288">
          <cell r="AQ6288">
            <v>-225250</v>
          </cell>
        </row>
        <row r="6289">
          <cell r="AQ6289">
            <v>-225250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42"/>
  <sheetViews>
    <sheetView tabSelected="1" workbookViewId="0">
      <selection activeCell="E10" sqref="E10"/>
    </sheetView>
  </sheetViews>
  <sheetFormatPr defaultRowHeight="15"/>
  <cols>
    <col min="2" max="2" width="10" customWidth="1"/>
    <col min="5" max="5" width="9.7109375" customWidth="1"/>
  </cols>
  <sheetData>
    <row r="3" spans="1:20" ht="25.5">
      <c r="A3" s="149" t="s">
        <v>0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" t="s">
        <v>1</v>
      </c>
      <c r="M3" s="2" t="s">
        <v>2</v>
      </c>
      <c r="N3" s="3" t="s">
        <v>3</v>
      </c>
      <c r="O3" s="1" t="s">
        <v>4</v>
      </c>
      <c r="P3" s="1" t="s">
        <v>4</v>
      </c>
      <c r="Q3" s="150" t="s">
        <v>5</v>
      </c>
      <c r="R3" s="150"/>
      <c r="S3" s="150"/>
      <c r="T3" s="3" t="s">
        <v>4</v>
      </c>
    </row>
    <row r="4" spans="1:20" ht="36">
      <c r="A4" s="4" t="s">
        <v>6</v>
      </c>
      <c r="B4" s="5" t="s">
        <v>7</v>
      </c>
      <c r="C4" s="6" t="s">
        <v>8</v>
      </c>
      <c r="D4" s="7" t="s">
        <v>9</v>
      </c>
      <c r="E4" s="151" t="s">
        <v>10</v>
      </c>
      <c r="F4" s="151"/>
      <c r="G4" s="8" t="s">
        <v>11</v>
      </c>
      <c r="H4" s="9" t="s">
        <v>12</v>
      </c>
      <c r="I4" s="10" t="s">
        <v>13</v>
      </c>
      <c r="J4" s="152" t="s">
        <v>14</v>
      </c>
      <c r="K4" s="152"/>
      <c r="L4" s="11" t="s">
        <v>15</v>
      </c>
      <c r="M4" s="12" t="s">
        <v>16</v>
      </c>
      <c r="N4" s="13" t="s">
        <v>17</v>
      </c>
      <c r="O4" s="11" t="s">
        <v>18</v>
      </c>
      <c r="P4" s="11" t="s">
        <v>19</v>
      </c>
      <c r="Q4" s="14" t="s">
        <v>20</v>
      </c>
      <c r="R4" s="14" t="s">
        <v>21</v>
      </c>
      <c r="S4" s="14" t="s">
        <v>2</v>
      </c>
      <c r="T4" s="13" t="s">
        <v>22</v>
      </c>
    </row>
    <row r="5" spans="1:20">
      <c r="A5" s="15" t="s">
        <v>23</v>
      </c>
      <c r="B5" s="16">
        <f>+E5+G5+H5+J5</f>
        <v>9416.06005</v>
      </c>
      <c r="C5" s="17">
        <v>0.96</v>
      </c>
      <c r="D5" s="18">
        <f>+F5</f>
        <v>0.92182417634433</v>
      </c>
      <c r="E5" s="16">
        <v>8679.9518000000007</v>
      </c>
      <c r="F5" s="19">
        <f t="shared" ref="F5:F7" si="0">+E5/B5</f>
        <v>0.92182417634433</v>
      </c>
      <c r="G5" s="16">
        <v>736.10825</v>
      </c>
      <c r="H5" s="16">
        <v>0</v>
      </c>
      <c r="I5" s="19">
        <f t="shared" ref="I5:I7" si="1">+(G5+H5)/B5</f>
        <v>7.8175823655670079E-2</v>
      </c>
      <c r="J5" s="16">
        <v>0</v>
      </c>
      <c r="K5" s="19">
        <f t="shared" ref="K5:K7" si="2">+J5/B5</f>
        <v>0</v>
      </c>
      <c r="L5" s="20">
        <v>0</v>
      </c>
      <c r="M5" s="21">
        <v>0.81610921356684918</v>
      </c>
      <c r="N5" s="22"/>
      <c r="O5" s="22"/>
      <c r="P5" s="22"/>
      <c r="Q5" s="23"/>
      <c r="R5" s="23"/>
      <c r="S5" s="19">
        <v>1</v>
      </c>
      <c r="T5" s="24">
        <v>0</v>
      </c>
    </row>
    <row r="6" spans="1:20">
      <c r="A6" s="15" t="s">
        <v>38</v>
      </c>
      <c r="B6" s="16">
        <f>+E6+G6+H6+J6</f>
        <v>9766.110999999999</v>
      </c>
      <c r="C6" s="17">
        <v>0.96</v>
      </c>
      <c r="D6" s="18">
        <f>AVERAGE(F5:F6)</f>
        <v>0.9155861518808408</v>
      </c>
      <c r="E6" s="16">
        <v>8880.7947499999991</v>
      </c>
      <c r="F6" s="17">
        <f t="shared" si="0"/>
        <v>0.90934812741735171</v>
      </c>
      <c r="G6" s="16">
        <v>692.52925000000005</v>
      </c>
      <c r="H6" s="16">
        <v>192.78700000000001</v>
      </c>
      <c r="I6" s="19">
        <f t="shared" si="1"/>
        <v>9.0651872582648327E-2</v>
      </c>
      <c r="J6" s="16">
        <v>0</v>
      </c>
      <c r="K6" s="17">
        <f t="shared" si="2"/>
        <v>0</v>
      </c>
      <c r="L6" s="20">
        <v>0</v>
      </c>
      <c r="M6" s="21">
        <v>0.65818400972603663</v>
      </c>
      <c r="N6" s="22"/>
      <c r="O6" s="22"/>
      <c r="P6" s="22"/>
      <c r="Q6" s="23"/>
      <c r="R6" s="23"/>
      <c r="S6" s="19">
        <v>1</v>
      </c>
      <c r="T6" s="24">
        <v>0</v>
      </c>
    </row>
    <row r="7" spans="1:20">
      <c r="A7" s="15" t="s">
        <v>131</v>
      </c>
      <c r="B7" s="16">
        <f>+E7+G7+H7+J7</f>
        <v>11667.250750000001</v>
      </c>
      <c r="C7" s="17">
        <v>0.96</v>
      </c>
      <c r="D7" s="18">
        <f>AVERAGE(F5:F7)</f>
        <v>0.92111824585704005</v>
      </c>
      <c r="E7" s="16">
        <v>10876.0062</v>
      </c>
      <c r="F7" s="19">
        <f t="shared" si="0"/>
        <v>0.93218243380943866</v>
      </c>
      <c r="G7" s="16">
        <v>783.64454999999998</v>
      </c>
      <c r="H7" s="16">
        <v>7.6</v>
      </c>
      <c r="I7" s="19">
        <f t="shared" si="1"/>
        <v>6.7817566190561215E-2</v>
      </c>
      <c r="J7" s="16">
        <v>0</v>
      </c>
      <c r="K7" s="19">
        <f t="shared" si="2"/>
        <v>0</v>
      </c>
      <c r="L7" s="81">
        <v>0.21739130434782608</v>
      </c>
      <c r="M7" s="21">
        <v>0.78257995819653581</v>
      </c>
      <c r="N7" s="22"/>
      <c r="O7" s="22"/>
      <c r="P7" s="22"/>
      <c r="Q7" s="23"/>
      <c r="R7" s="23"/>
      <c r="S7" s="19">
        <v>1</v>
      </c>
      <c r="T7" s="24">
        <v>0</v>
      </c>
    </row>
    <row r="8" spans="1:20">
      <c r="A8" s="98" t="s">
        <v>147</v>
      </c>
      <c r="B8" s="99">
        <v>11263.131400000002</v>
      </c>
      <c r="C8" s="100">
        <v>0.96</v>
      </c>
      <c r="D8" s="101">
        <f>AVERAGE(F5:F8)</f>
        <v>0.92370519765213877</v>
      </c>
      <c r="E8" s="99">
        <v>10491.224550000001</v>
      </c>
      <c r="F8" s="102">
        <v>0.9314660530374349</v>
      </c>
      <c r="G8" s="99">
        <v>716.30730000000005</v>
      </c>
      <c r="H8" s="99">
        <v>55.599550000000001</v>
      </c>
      <c r="I8" s="102">
        <v>6.8533946962564957E-2</v>
      </c>
      <c r="J8" s="99">
        <v>0</v>
      </c>
      <c r="K8" s="102">
        <v>0</v>
      </c>
      <c r="L8" s="103">
        <v>0.16669999999999999</v>
      </c>
      <c r="M8" s="104">
        <v>0.84405659796254751</v>
      </c>
      <c r="N8" s="105"/>
      <c r="O8" s="105"/>
      <c r="P8" s="105"/>
      <c r="Q8" s="106"/>
      <c r="R8" s="106"/>
      <c r="S8" s="19">
        <v>1</v>
      </c>
      <c r="T8" s="107">
        <v>0</v>
      </c>
    </row>
    <row r="9" spans="1:20">
      <c r="A9" s="15" t="s">
        <v>164</v>
      </c>
      <c r="B9" s="16">
        <f>+E9+G9+H9+J9</f>
        <v>9015.3490000000002</v>
      </c>
      <c r="C9" s="17">
        <v>0.96</v>
      </c>
      <c r="D9" s="18">
        <f>AVERAGE(F5:F9)</f>
        <v>0.92902154136888204</v>
      </c>
      <c r="E9" s="16">
        <v>8567.1682000000001</v>
      </c>
      <c r="F9" s="19">
        <f t="shared" ref="F9" si="3">+E9/B9</f>
        <v>0.95028691623585504</v>
      </c>
      <c r="G9" s="16">
        <v>433.55079999999998</v>
      </c>
      <c r="H9" s="16">
        <v>14.63</v>
      </c>
      <c r="I9" s="19">
        <f>+(G9+H9)/B9</f>
        <v>4.9713083764144898E-2</v>
      </c>
      <c r="J9" s="16">
        <v>0</v>
      </c>
      <c r="K9" s="19">
        <f t="shared" ref="K9" si="4">+J9/B9</f>
        <v>0</v>
      </c>
      <c r="L9" s="81">
        <v>0.18181818181818182</v>
      </c>
      <c r="M9" s="118">
        <v>0.86729999999999996</v>
      </c>
      <c r="N9" s="22"/>
      <c r="O9" s="22"/>
      <c r="P9" s="22"/>
      <c r="Q9" s="23"/>
      <c r="R9" s="23"/>
      <c r="S9" s="19">
        <v>1</v>
      </c>
      <c r="T9" s="24">
        <v>0</v>
      </c>
    </row>
    <row r="10" spans="1:20">
      <c r="A10" s="88"/>
      <c r="B10" s="89"/>
      <c r="C10" s="90"/>
      <c r="D10" s="91"/>
      <c r="E10" s="89"/>
      <c r="F10" s="92"/>
      <c r="G10" s="89"/>
      <c r="H10" s="89"/>
      <c r="I10" s="92"/>
      <c r="J10" s="89"/>
      <c r="K10" s="92"/>
      <c r="L10" s="93"/>
      <c r="M10" s="94"/>
      <c r="N10" s="95"/>
      <c r="O10" s="95"/>
      <c r="P10" s="95"/>
      <c r="Q10" s="96"/>
      <c r="R10" s="96"/>
      <c r="S10" s="92"/>
      <c r="T10" s="97"/>
    </row>
    <row r="12" spans="1:20">
      <c r="A12" s="153" t="s">
        <v>24</v>
      </c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</row>
    <row r="13" spans="1:20">
      <c r="A13" s="137" t="s">
        <v>6</v>
      </c>
      <c r="B13" s="138" t="s">
        <v>25</v>
      </c>
      <c r="C13" s="139"/>
      <c r="D13" s="139"/>
      <c r="E13" s="139"/>
      <c r="F13" s="139"/>
      <c r="G13" s="139"/>
      <c r="H13" s="140"/>
      <c r="I13" s="141" t="s">
        <v>8</v>
      </c>
      <c r="J13" s="142"/>
      <c r="K13" s="25" t="s">
        <v>26</v>
      </c>
      <c r="L13" s="25" t="s">
        <v>27</v>
      </c>
    </row>
    <row r="14" spans="1:20">
      <c r="A14" s="137"/>
      <c r="B14" s="143" t="s">
        <v>28</v>
      </c>
      <c r="C14" s="144"/>
      <c r="D14" s="144"/>
      <c r="E14" s="145"/>
      <c r="F14" s="146" t="s">
        <v>29</v>
      </c>
      <c r="G14" s="147"/>
      <c r="H14" s="148"/>
      <c r="I14" s="135" t="s">
        <v>30</v>
      </c>
      <c r="J14" s="136"/>
      <c r="K14" s="26" t="s">
        <v>31</v>
      </c>
      <c r="L14" s="26" t="s">
        <v>32</v>
      </c>
    </row>
    <row r="15" spans="1:20">
      <c r="A15" s="137"/>
      <c r="B15" s="27" t="s">
        <v>8</v>
      </c>
      <c r="C15" s="28" t="s">
        <v>2</v>
      </c>
      <c r="D15" s="28" t="s">
        <v>33</v>
      </c>
      <c r="E15" s="29" t="s">
        <v>34</v>
      </c>
      <c r="F15" s="28" t="s">
        <v>2</v>
      </c>
      <c r="G15" s="28" t="s">
        <v>33</v>
      </c>
      <c r="H15" s="29" t="s">
        <v>34</v>
      </c>
      <c r="I15" s="30" t="s">
        <v>33</v>
      </c>
      <c r="J15" s="30" t="s">
        <v>34</v>
      </c>
      <c r="K15" s="31" t="s">
        <v>35</v>
      </c>
      <c r="L15" s="31" t="s">
        <v>35</v>
      </c>
    </row>
    <row r="16" spans="1:20">
      <c r="A16" s="32" t="s">
        <v>23</v>
      </c>
      <c r="B16" s="33">
        <v>0.9</v>
      </c>
      <c r="C16" s="33">
        <f>+D16/(D16+E16)</f>
        <v>0.92481315711564616</v>
      </c>
      <c r="D16" s="34">
        <f>+G16</f>
        <v>11386.150025000004</v>
      </c>
      <c r="E16" s="34">
        <f>+H16</f>
        <v>925.68824999999993</v>
      </c>
      <c r="F16" s="35">
        <f t="shared" ref="F16:F20" si="5">+G16/(G16+H16)</f>
        <v>0.92481315711564616</v>
      </c>
      <c r="G16" s="36">
        <v>11386.150025000004</v>
      </c>
      <c r="H16" s="37">
        <v>925.68824999999993</v>
      </c>
      <c r="I16" s="36" t="s">
        <v>36</v>
      </c>
      <c r="J16" s="36" t="s">
        <v>37</v>
      </c>
      <c r="K16" s="38">
        <v>1</v>
      </c>
      <c r="L16" s="39">
        <v>0.28009418780782763</v>
      </c>
    </row>
    <row r="17" spans="1:12">
      <c r="A17" s="32" t="s">
        <v>38</v>
      </c>
      <c r="B17" s="33">
        <v>0.9</v>
      </c>
      <c r="C17" s="33">
        <f t="shared" ref="C17:C20" si="6">+D17/(D17+E17)</f>
        <v>0.94899654198078343</v>
      </c>
      <c r="D17" s="34">
        <f>+D16+G17</f>
        <v>24483.185725000003</v>
      </c>
      <c r="E17" s="34">
        <f>+E16+H17</f>
        <v>1315.8394999999998</v>
      </c>
      <c r="F17" s="35">
        <f t="shared" si="5"/>
        <v>0.97107245184289515</v>
      </c>
      <c r="G17" s="37">
        <v>13097.0357</v>
      </c>
      <c r="H17" s="37">
        <v>390.15124999999995</v>
      </c>
      <c r="I17" s="36" t="s">
        <v>36</v>
      </c>
      <c r="J17" s="36" t="s">
        <v>37</v>
      </c>
      <c r="K17" s="38">
        <v>0</v>
      </c>
      <c r="L17" s="39">
        <v>1.948149636045643E-2</v>
      </c>
    </row>
    <row r="18" spans="1:12">
      <c r="A18" s="32" t="s">
        <v>131</v>
      </c>
      <c r="B18" s="33">
        <v>0.9</v>
      </c>
      <c r="C18" s="82">
        <f t="shared" si="6"/>
        <v>0.94934324711922302</v>
      </c>
      <c r="D18" s="34">
        <f t="shared" ref="D18:E20" si="7">+D17+G18</f>
        <v>32578.536525000003</v>
      </c>
      <c r="E18" s="34">
        <f t="shared" si="7"/>
        <v>1738.38375</v>
      </c>
      <c r="F18" s="35">
        <f t="shared" si="5"/>
        <v>0.95039334864779768</v>
      </c>
      <c r="G18" s="37">
        <v>8095.3508000000011</v>
      </c>
      <c r="H18" s="37">
        <v>422.54425000000015</v>
      </c>
      <c r="I18" s="36" t="s">
        <v>36</v>
      </c>
      <c r="J18" s="36" t="s">
        <v>37</v>
      </c>
      <c r="K18" s="38">
        <v>0</v>
      </c>
      <c r="L18" s="86">
        <v>0.16</v>
      </c>
    </row>
    <row r="19" spans="1:12">
      <c r="A19" s="32" t="s">
        <v>147</v>
      </c>
      <c r="B19" s="33">
        <v>0.9</v>
      </c>
      <c r="C19" s="82">
        <f t="shared" si="6"/>
        <v>0.94397855531999364</v>
      </c>
      <c r="D19" s="34">
        <f t="shared" si="7"/>
        <v>46746.991000000009</v>
      </c>
      <c r="E19" s="34">
        <f t="shared" si="7"/>
        <v>2774.25155</v>
      </c>
      <c r="F19" s="35">
        <f t="shared" si="5"/>
        <v>0.93187017604176647</v>
      </c>
      <c r="G19" s="37">
        <v>14168.45447500001</v>
      </c>
      <c r="H19" s="37">
        <v>1035.8678</v>
      </c>
      <c r="I19" s="36" t="s">
        <v>36</v>
      </c>
      <c r="J19" s="36" t="s">
        <v>37</v>
      </c>
      <c r="K19" s="38">
        <v>0</v>
      </c>
      <c r="L19" s="39">
        <v>0.28000000000000003</v>
      </c>
    </row>
    <row r="20" spans="1:12">
      <c r="A20" s="119" t="s">
        <v>164</v>
      </c>
      <c r="B20" s="33">
        <v>0.9</v>
      </c>
      <c r="C20" s="33">
        <f t="shared" si="6"/>
        <v>0.95031351752160942</v>
      </c>
      <c r="D20" s="34">
        <f t="shared" si="7"/>
        <v>61507.19620000002</v>
      </c>
      <c r="E20" s="34">
        <f t="shared" si="7"/>
        <v>3215.86105</v>
      </c>
      <c r="F20" s="35">
        <f t="shared" si="5"/>
        <v>0.97095021162177431</v>
      </c>
      <c r="G20" s="37">
        <v>14760.205200000008</v>
      </c>
      <c r="H20" s="37">
        <v>441.60949999999997</v>
      </c>
      <c r="I20" s="36" t="s">
        <v>36</v>
      </c>
      <c r="J20" s="36" t="s">
        <v>37</v>
      </c>
      <c r="K20" s="38">
        <v>0</v>
      </c>
      <c r="L20" s="39">
        <v>4.1039098372738711E-2</v>
      </c>
    </row>
    <row r="22" spans="1:12">
      <c r="A22" s="40" t="s">
        <v>39</v>
      </c>
      <c r="B22" s="40" t="s">
        <v>40</v>
      </c>
      <c r="C22" s="40" t="s">
        <v>41</v>
      </c>
      <c r="D22" s="40" t="s">
        <v>42</v>
      </c>
      <c r="E22" s="40" t="s">
        <v>43</v>
      </c>
      <c r="F22" s="40" t="s">
        <v>44</v>
      </c>
      <c r="G22" s="40" t="s">
        <v>45</v>
      </c>
    </row>
    <row r="23" spans="1:12">
      <c r="A23" s="133">
        <v>1</v>
      </c>
      <c r="B23" s="41" t="s">
        <v>46</v>
      </c>
      <c r="C23" s="42">
        <v>387</v>
      </c>
      <c r="D23" s="43">
        <v>468</v>
      </c>
      <c r="E23" s="43">
        <v>609</v>
      </c>
      <c r="F23" s="43">
        <v>438</v>
      </c>
      <c r="G23" s="43">
        <v>889</v>
      </c>
    </row>
    <row r="24" spans="1:12">
      <c r="A24" s="133"/>
      <c r="B24" s="41" t="s">
        <v>47</v>
      </c>
      <c r="C24" s="42">
        <v>357</v>
      </c>
      <c r="D24" s="43">
        <v>455</v>
      </c>
      <c r="E24" s="42">
        <v>562</v>
      </c>
      <c r="F24" s="43">
        <v>415</v>
      </c>
      <c r="G24" s="43">
        <v>861</v>
      </c>
    </row>
    <row r="25" spans="1:12">
      <c r="A25" s="133"/>
      <c r="B25" s="41" t="s">
        <v>8</v>
      </c>
      <c r="C25" s="42">
        <v>30</v>
      </c>
      <c r="D25" s="42">
        <f>+D23-D24</f>
        <v>13</v>
      </c>
      <c r="E25" s="42">
        <f>+E23-E24</f>
        <v>47</v>
      </c>
      <c r="F25" s="42">
        <f>+F23-F24</f>
        <v>23</v>
      </c>
      <c r="G25" s="42">
        <v>28</v>
      </c>
    </row>
    <row r="26" spans="1:12">
      <c r="A26" s="133"/>
      <c r="B26" s="44" t="s">
        <v>2</v>
      </c>
      <c r="C26" s="45">
        <f>C24/C23</f>
        <v>0.92248062015503873</v>
      </c>
      <c r="D26" s="45">
        <f t="shared" ref="D26:G26" si="8">D24/D23</f>
        <v>0.97222222222222221</v>
      </c>
      <c r="E26" s="45">
        <f t="shared" si="8"/>
        <v>0.92282430213464695</v>
      </c>
      <c r="F26" s="45">
        <f t="shared" si="8"/>
        <v>0.94748858447488582</v>
      </c>
      <c r="G26" s="45">
        <f t="shared" si="8"/>
        <v>0.96850393700787396</v>
      </c>
    </row>
    <row r="27" spans="1:12">
      <c r="A27" s="133">
        <v>2</v>
      </c>
      <c r="B27" s="41" t="s">
        <v>46</v>
      </c>
      <c r="C27" s="42">
        <v>387</v>
      </c>
      <c r="D27" s="43">
        <v>468</v>
      </c>
      <c r="E27" s="43">
        <v>609</v>
      </c>
      <c r="F27" s="43">
        <v>440</v>
      </c>
      <c r="G27" s="43">
        <v>889</v>
      </c>
    </row>
    <row r="28" spans="1:12">
      <c r="A28" s="133"/>
      <c r="B28" s="41" t="s">
        <v>47</v>
      </c>
      <c r="C28" s="42">
        <v>363</v>
      </c>
      <c r="D28" s="43">
        <v>455</v>
      </c>
      <c r="E28" s="42">
        <v>564</v>
      </c>
      <c r="F28" s="43">
        <v>404</v>
      </c>
      <c r="G28" s="43">
        <v>863</v>
      </c>
    </row>
    <row r="29" spans="1:12">
      <c r="A29" s="133"/>
      <c r="B29" s="41" t="s">
        <v>8</v>
      </c>
      <c r="C29" s="42">
        <f t="shared" ref="C29:G29" si="9">+C27-C28</f>
        <v>24</v>
      </c>
      <c r="D29" s="42">
        <f t="shared" si="9"/>
        <v>13</v>
      </c>
      <c r="E29" s="42">
        <f t="shared" si="9"/>
        <v>45</v>
      </c>
      <c r="F29" s="42">
        <f t="shared" si="9"/>
        <v>36</v>
      </c>
      <c r="G29" s="42">
        <f t="shared" si="9"/>
        <v>26</v>
      </c>
    </row>
    <row r="30" spans="1:12">
      <c r="A30" s="133"/>
      <c r="B30" s="77" t="s">
        <v>2</v>
      </c>
      <c r="C30" s="78">
        <f>C28/C27</f>
        <v>0.93798449612403101</v>
      </c>
      <c r="D30" s="79">
        <f t="shared" ref="D30:E30" si="10">D28/D27</f>
        <v>0.97222222222222221</v>
      </c>
      <c r="E30" s="78">
        <f t="shared" si="10"/>
        <v>0.92610837438423643</v>
      </c>
      <c r="F30" s="79">
        <f t="shared" ref="F30:G30" si="11">F28/F27</f>
        <v>0.91818181818181821</v>
      </c>
      <c r="G30" s="78">
        <f t="shared" si="11"/>
        <v>0.97075365579302586</v>
      </c>
    </row>
    <row r="31" spans="1:12">
      <c r="A31" s="133">
        <v>3</v>
      </c>
      <c r="B31" s="41" t="s">
        <v>46</v>
      </c>
      <c r="C31" s="80">
        <v>610</v>
      </c>
      <c r="D31" s="43">
        <v>468</v>
      </c>
      <c r="E31" s="43">
        <v>387</v>
      </c>
      <c r="F31" s="43">
        <v>440</v>
      </c>
      <c r="G31" s="43">
        <v>889</v>
      </c>
    </row>
    <row r="32" spans="1:12">
      <c r="A32" s="133"/>
      <c r="B32" s="41" t="s">
        <v>47</v>
      </c>
      <c r="C32" s="80">
        <v>581</v>
      </c>
      <c r="D32" s="43">
        <v>454</v>
      </c>
      <c r="E32" s="80">
        <v>362</v>
      </c>
      <c r="F32" s="43">
        <v>416</v>
      </c>
      <c r="G32" s="43">
        <f>863-2</f>
        <v>861</v>
      </c>
    </row>
    <row r="33" spans="1:7">
      <c r="A33" s="133"/>
      <c r="B33" s="41" t="s">
        <v>8</v>
      </c>
      <c r="C33" s="83">
        <f t="shared" ref="C33:G33" si="12">+C31-C32</f>
        <v>29</v>
      </c>
      <c r="D33" s="84">
        <f t="shared" si="12"/>
        <v>14</v>
      </c>
      <c r="E33" s="84">
        <f t="shared" si="12"/>
        <v>25</v>
      </c>
      <c r="F33" s="85">
        <f t="shared" si="12"/>
        <v>24</v>
      </c>
      <c r="G33" s="84">
        <f t="shared" si="12"/>
        <v>28</v>
      </c>
    </row>
    <row r="34" spans="1:7">
      <c r="A34" s="133"/>
      <c r="B34" s="77" t="s">
        <v>2</v>
      </c>
      <c r="C34" s="78">
        <f>C32/C31</f>
        <v>0.95245901639344266</v>
      </c>
      <c r="D34" s="78">
        <f t="shared" ref="D34" si="13">D32/D31</f>
        <v>0.97008547008547008</v>
      </c>
      <c r="E34" s="78">
        <f>E32/E31</f>
        <v>0.93540051679586567</v>
      </c>
      <c r="F34" s="78">
        <f>F32/F31</f>
        <v>0.94545454545454544</v>
      </c>
      <c r="G34" s="78">
        <f t="shared" ref="G34" si="14">G32/G31</f>
        <v>0.96850393700787396</v>
      </c>
    </row>
    <row r="35" spans="1:7">
      <c r="A35" s="134">
        <v>4</v>
      </c>
      <c r="B35" s="108" t="s">
        <v>46</v>
      </c>
      <c r="C35" s="109">
        <v>625</v>
      </c>
      <c r="D35" s="110">
        <v>921</v>
      </c>
      <c r="E35" s="110">
        <v>402</v>
      </c>
      <c r="F35" s="110">
        <v>461</v>
      </c>
      <c r="G35" s="110">
        <v>902</v>
      </c>
    </row>
    <row r="36" spans="1:7">
      <c r="A36" s="134"/>
      <c r="B36" s="108" t="s">
        <v>47</v>
      </c>
      <c r="C36" s="109">
        <v>598</v>
      </c>
      <c r="D36" s="110">
        <v>888</v>
      </c>
      <c r="E36" s="109">
        <v>381</v>
      </c>
      <c r="F36" s="110">
        <v>429</v>
      </c>
      <c r="G36" s="110">
        <v>875</v>
      </c>
    </row>
    <row r="37" spans="1:7">
      <c r="A37" s="134"/>
      <c r="B37" s="108" t="s">
        <v>8</v>
      </c>
      <c r="C37" s="111">
        <f t="shared" ref="C37:G37" si="15">+C35-C36</f>
        <v>27</v>
      </c>
      <c r="D37" s="109">
        <f t="shared" si="15"/>
        <v>33</v>
      </c>
      <c r="E37" s="109">
        <f t="shared" si="15"/>
        <v>21</v>
      </c>
      <c r="F37" s="109">
        <f t="shared" si="15"/>
        <v>32</v>
      </c>
      <c r="G37" s="109">
        <f t="shared" si="15"/>
        <v>27</v>
      </c>
    </row>
    <row r="38" spans="1:7">
      <c r="A38" s="134"/>
      <c r="B38" s="112" t="s">
        <v>2</v>
      </c>
      <c r="C38" s="113">
        <f>C36/C35</f>
        <v>0.95679999999999998</v>
      </c>
      <c r="D38" s="113">
        <f t="shared" ref="D38" si="16">D36/D35</f>
        <v>0.96416938110749184</v>
      </c>
      <c r="E38" s="113">
        <f>E36/E35</f>
        <v>0.94776119402985071</v>
      </c>
      <c r="F38" s="113">
        <f>F36/F35</f>
        <v>0.93058568329718006</v>
      </c>
      <c r="G38" s="113">
        <f t="shared" ref="G38" si="17">G36/G35</f>
        <v>0.97006651884700668</v>
      </c>
    </row>
    <row r="39" spans="1:7">
      <c r="A39" s="133">
        <v>5</v>
      </c>
      <c r="B39" s="41" t="s">
        <v>46</v>
      </c>
      <c r="C39" s="114">
        <v>623</v>
      </c>
      <c r="D39" s="43">
        <v>969</v>
      </c>
      <c r="E39" s="43">
        <v>400</v>
      </c>
      <c r="F39" s="43">
        <v>444</v>
      </c>
      <c r="G39" s="43">
        <v>902</v>
      </c>
    </row>
    <row r="40" spans="1:7">
      <c r="A40" s="133"/>
      <c r="B40" s="41" t="s">
        <v>47</v>
      </c>
      <c r="C40" s="114">
        <v>599</v>
      </c>
      <c r="D40" s="43">
        <v>941</v>
      </c>
      <c r="E40" s="114">
        <v>371</v>
      </c>
      <c r="F40" s="43">
        <v>409</v>
      </c>
      <c r="G40" s="43">
        <v>874</v>
      </c>
    </row>
    <row r="41" spans="1:7">
      <c r="A41" s="133"/>
      <c r="B41" s="41" t="s">
        <v>8</v>
      </c>
      <c r="C41" s="120">
        <v>24</v>
      </c>
      <c r="D41" s="121">
        <v>28</v>
      </c>
      <c r="E41" s="121">
        <v>29</v>
      </c>
      <c r="F41" s="121">
        <v>35</v>
      </c>
      <c r="G41" s="121">
        <v>28</v>
      </c>
    </row>
    <row r="42" spans="1:7">
      <c r="A42" s="133"/>
      <c r="B42" s="77" t="s">
        <v>2</v>
      </c>
      <c r="C42" s="78">
        <f>C40/C39</f>
        <v>0.9614767255216693</v>
      </c>
      <c r="D42" s="78">
        <f t="shared" ref="D42" si="18">D40/D39</f>
        <v>0.97110423116615063</v>
      </c>
      <c r="E42" s="78">
        <f>E40/E39</f>
        <v>0.92749999999999999</v>
      </c>
      <c r="F42" s="78">
        <f>F40/F39</f>
        <v>0.9211711711711712</v>
      </c>
      <c r="G42" s="78">
        <f t="shared" ref="G42" si="19">G40/G39</f>
        <v>0.96895787139689582</v>
      </c>
    </row>
  </sheetData>
  <mergeCells count="16">
    <mergeCell ref="A3:K3"/>
    <mergeCell ref="Q3:S3"/>
    <mergeCell ref="E4:F4"/>
    <mergeCell ref="J4:K4"/>
    <mergeCell ref="A12:L12"/>
    <mergeCell ref="A39:A42"/>
    <mergeCell ref="A35:A38"/>
    <mergeCell ref="A31:A34"/>
    <mergeCell ref="A27:A30"/>
    <mergeCell ref="I14:J14"/>
    <mergeCell ref="A23:A26"/>
    <mergeCell ref="A13:A15"/>
    <mergeCell ref="B13:H13"/>
    <mergeCell ref="I13:J13"/>
    <mergeCell ref="B14:E14"/>
    <mergeCell ref="F14:H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35"/>
  <sheetViews>
    <sheetView zoomScale="90" zoomScaleNormal="90" workbookViewId="0">
      <pane xSplit="3" ySplit="6" topLeftCell="D28" activePane="bottomRight" state="frozen"/>
      <selection pane="topRight" activeCell="C1" sqref="C1"/>
      <selection pane="bottomLeft" activeCell="A3" sqref="A3"/>
      <selection pane="bottomRight" activeCell="Z4" sqref="Z4"/>
    </sheetView>
  </sheetViews>
  <sheetFormatPr defaultRowHeight="15"/>
  <cols>
    <col min="1" max="1" width="7" style="117" customWidth="1"/>
    <col min="2" max="2" width="4.5703125" customWidth="1"/>
    <col min="3" max="3" width="21.7109375" customWidth="1"/>
    <col min="4" max="5" width="5.7109375" customWidth="1"/>
    <col min="6" max="6" width="6" customWidth="1"/>
    <col min="7" max="21" width="5.7109375" customWidth="1"/>
    <col min="22" max="22" width="5.5703125" customWidth="1"/>
    <col min="23" max="23" width="5" customWidth="1"/>
    <col min="24" max="24" width="5.140625" customWidth="1"/>
    <col min="25" max="34" width="5.7109375" customWidth="1"/>
    <col min="35" max="35" width="6.140625" customWidth="1"/>
    <col min="36" max="40" width="5.7109375" customWidth="1"/>
  </cols>
  <sheetData>
    <row r="1" spans="1:56" ht="15.75">
      <c r="B1" s="155" t="s">
        <v>48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</row>
    <row r="2" spans="1:56">
      <c r="B2" s="156" t="s">
        <v>165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46" t="s">
        <v>49</v>
      </c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</row>
    <row r="3" spans="1:56">
      <c r="B3" s="47"/>
      <c r="C3" s="48" t="s">
        <v>50</v>
      </c>
      <c r="D3" s="46" t="s">
        <v>51</v>
      </c>
      <c r="E3" s="49" t="s">
        <v>45</v>
      </c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 t="s">
        <v>49</v>
      </c>
      <c r="U3" s="46"/>
      <c r="V3" s="46" t="s">
        <v>49</v>
      </c>
      <c r="W3" s="46" t="s">
        <v>49</v>
      </c>
      <c r="X3" s="46" t="s">
        <v>49</v>
      </c>
      <c r="Y3" s="46" t="s">
        <v>49</v>
      </c>
      <c r="Z3" s="46" t="s">
        <v>49</v>
      </c>
      <c r="AA3" s="46"/>
      <c r="AB3" s="46" t="s">
        <v>49</v>
      </c>
      <c r="AC3" s="46" t="s">
        <v>49</v>
      </c>
      <c r="AD3" s="46" t="s">
        <v>49</v>
      </c>
      <c r="AE3" s="46" t="s">
        <v>49</v>
      </c>
      <c r="AF3" s="46" t="s">
        <v>49</v>
      </c>
      <c r="AG3" s="46" t="s">
        <v>49</v>
      </c>
      <c r="AH3" s="46"/>
      <c r="AI3" s="46" t="s">
        <v>49</v>
      </c>
      <c r="AJ3" s="46" t="s">
        <v>49</v>
      </c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spans="1:56">
      <c r="B4" s="48"/>
      <c r="C4" s="48" t="s">
        <v>52</v>
      </c>
      <c r="D4" s="46" t="s">
        <v>51</v>
      </c>
      <c r="E4" s="49" t="s">
        <v>53</v>
      </c>
      <c r="F4" s="46"/>
      <c r="G4" s="46"/>
      <c r="H4" s="46"/>
      <c r="I4" s="46"/>
      <c r="J4" s="46"/>
      <c r="K4" s="46"/>
      <c r="L4" s="46"/>
      <c r="M4" s="46"/>
      <c r="N4" s="46" t="s">
        <v>49</v>
      </c>
      <c r="O4" s="46"/>
      <c r="P4" s="46"/>
      <c r="Q4" s="46"/>
      <c r="R4" s="46"/>
      <c r="S4" s="46"/>
      <c r="T4" s="46" t="s">
        <v>49</v>
      </c>
      <c r="U4" s="46"/>
      <c r="V4" s="46"/>
      <c r="W4" s="46"/>
      <c r="X4" s="46" t="s">
        <v>49</v>
      </c>
      <c r="Y4" s="46" t="s">
        <v>49</v>
      </c>
      <c r="Z4" s="46" t="s">
        <v>49</v>
      </c>
      <c r="AA4" s="46" t="s">
        <v>49</v>
      </c>
      <c r="AB4" s="46" t="s">
        <v>49</v>
      </c>
      <c r="AC4" s="46"/>
      <c r="AD4" s="46" t="s">
        <v>49</v>
      </c>
      <c r="AE4" s="46"/>
      <c r="AF4" s="46" t="s">
        <v>49</v>
      </c>
      <c r="AG4" s="46"/>
      <c r="AH4" s="46" t="s">
        <v>49</v>
      </c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spans="1:56">
      <c r="A5" s="117" t="s">
        <v>49</v>
      </c>
      <c r="B5" s="48"/>
      <c r="C5" s="48" t="s">
        <v>54</v>
      </c>
      <c r="D5" s="46" t="s">
        <v>51</v>
      </c>
      <c r="E5" s="49" t="s">
        <v>55</v>
      </c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spans="1:56" s="50" customFormat="1" ht="12.95" customHeight="1">
      <c r="B6" s="51" t="s">
        <v>56</v>
      </c>
      <c r="C6" s="51" t="s">
        <v>57</v>
      </c>
      <c r="D6" s="52">
        <v>1</v>
      </c>
      <c r="E6" s="53">
        <v>2</v>
      </c>
      <c r="F6" s="52">
        <v>3</v>
      </c>
      <c r="G6" s="53">
        <v>4</v>
      </c>
      <c r="H6" s="53">
        <v>5</v>
      </c>
      <c r="I6" s="53">
        <v>6</v>
      </c>
      <c r="J6" s="53">
        <v>7</v>
      </c>
      <c r="K6" s="53">
        <v>8</v>
      </c>
      <c r="L6" s="53">
        <v>9</v>
      </c>
      <c r="M6" s="52">
        <v>10</v>
      </c>
      <c r="N6" s="53">
        <v>11</v>
      </c>
      <c r="O6" s="53">
        <v>12</v>
      </c>
      <c r="P6" s="53">
        <v>13</v>
      </c>
      <c r="Q6" s="52">
        <v>14</v>
      </c>
      <c r="R6" s="53">
        <v>15</v>
      </c>
      <c r="S6" s="53">
        <v>16</v>
      </c>
      <c r="T6" s="52">
        <v>17</v>
      </c>
      <c r="U6" s="53">
        <v>18</v>
      </c>
      <c r="V6" s="53">
        <v>19</v>
      </c>
      <c r="W6" s="53">
        <v>20</v>
      </c>
      <c r="X6" s="53">
        <v>21</v>
      </c>
      <c r="Y6" s="53">
        <v>22</v>
      </c>
      <c r="Z6" s="53">
        <v>23</v>
      </c>
      <c r="AA6" s="52">
        <v>24</v>
      </c>
      <c r="AB6" s="53">
        <v>25</v>
      </c>
      <c r="AC6" s="53">
        <v>26</v>
      </c>
      <c r="AD6" s="52">
        <v>27</v>
      </c>
      <c r="AE6" s="53">
        <v>28</v>
      </c>
      <c r="AF6" s="53">
        <v>29</v>
      </c>
      <c r="AG6" s="53">
        <v>30</v>
      </c>
      <c r="AH6" s="52">
        <v>31</v>
      </c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</row>
    <row r="7" spans="1:56" s="50" customFormat="1" ht="12.95" customHeight="1">
      <c r="B7" s="54">
        <v>1</v>
      </c>
      <c r="C7" s="115" t="s">
        <v>116</v>
      </c>
      <c r="D7" s="56"/>
      <c r="E7" s="56"/>
      <c r="F7" s="56"/>
      <c r="G7" s="56"/>
      <c r="H7" s="56"/>
      <c r="I7" s="56" t="s">
        <v>58</v>
      </c>
      <c r="J7" s="56"/>
      <c r="K7" s="56"/>
      <c r="L7" s="56" t="s">
        <v>58</v>
      </c>
      <c r="M7" s="56"/>
      <c r="N7" s="56"/>
      <c r="O7" s="56"/>
      <c r="P7" s="56"/>
      <c r="Q7" s="56"/>
      <c r="R7" s="56"/>
      <c r="S7" s="56"/>
      <c r="T7" s="56"/>
      <c r="U7" s="56"/>
      <c r="V7" s="56" t="s">
        <v>58</v>
      </c>
      <c r="W7" s="56"/>
      <c r="X7" s="56"/>
      <c r="Y7" s="56"/>
      <c r="Z7" s="56"/>
      <c r="AA7" s="56"/>
      <c r="AB7" s="56"/>
      <c r="AC7" s="56" t="s">
        <v>58</v>
      </c>
      <c r="AD7" s="56"/>
      <c r="AE7" s="56"/>
      <c r="AF7" s="56" t="s">
        <v>60</v>
      </c>
      <c r="AG7" s="56"/>
      <c r="AH7" s="56"/>
      <c r="AI7" s="57" t="s">
        <v>58</v>
      </c>
      <c r="AJ7" s="58" t="s">
        <v>60</v>
      </c>
      <c r="AK7" s="59" t="s">
        <v>59</v>
      </c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47"/>
      <c r="AX7" s="47"/>
      <c r="AY7" s="47"/>
      <c r="AZ7" s="47"/>
      <c r="BA7" s="47"/>
      <c r="BB7" s="47"/>
      <c r="BC7" s="47"/>
      <c r="BD7" s="47"/>
    </row>
    <row r="8" spans="1:56" s="50" customFormat="1" ht="12.95" customHeight="1">
      <c r="B8" s="54">
        <v>2</v>
      </c>
      <c r="C8" s="115" t="s">
        <v>61</v>
      </c>
      <c r="D8" s="56"/>
      <c r="E8" s="56" t="s">
        <v>58</v>
      </c>
      <c r="F8" s="56"/>
      <c r="G8" s="56" t="s">
        <v>59</v>
      </c>
      <c r="H8" s="56"/>
      <c r="I8" s="56"/>
      <c r="J8" s="56"/>
      <c r="K8" s="56"/>
      <c r="L8" s="56"/>
      <c r="M8" s="56"/>
      <c r="N8" s="56" t="s">
        <v>58</v>
      </c>
      <c r="O8" s="56"/>
      <c r="P8" s="56"/>
      <c r="Q8" s="56"/>
      <c r="R8" s="56"/>
      <c r="S8" s="56" t="s">
        <v>60</v>
      </c>
      <c r="T8" s="56"/>
      <c r="U8" s="56"/>
      <c r="V8" s="56"/>
      <c r="W8" s="56"/>
      <c r="X8" s="56"/>
      <c r="Y8" s="56" t="s">
        <v>59</v>
      </c>
      <c r="Z8" s="56" t="s">
        <v>59</v>
      </c>
      <c r="AA8" s="56"/>
      <c r="AB8" s="56"/>
      <c r="AC8" s="56"/>
      <c r="AD8" s="56"/>
      <c r="AE8" s="56"/>
      <c r="AF8" s="56"/>
      <c r="AG8" s="56"/>
      <c r="AH8" s="56"/>
      <c r="AI8" s="60">
        <f>COUNTIF(D7:AH138,"T")</f>
        <v>159</v>
      </c>
      <c r="AJ8" s="60">
        <f>COUNTIF(D7:AH138,"TB")</f>
        <v>54</v>
      </c>
      <c r="AK8" s="60">
        <f>COUNTIF(D7:AH138,"B")</f>
        <v>120</v>
      </c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47"/>
      <c r="AX8" s="47"/>
      <c r="AY8" s="47"/>
      <c r="AZ8" s="47"/>
      <c r="BA8" s="47"/>
      <c r="BB8" s="47"/>
      <c r="BC8" s="47"/>
      <c r="BD8" s="47"/>
    </row>
    <row r="9" spans="1:56" s="50" customFormat="1" ht="12.95" customHeight="1">
      <c r="B9" s="54">
        <v>3</v>
      </c>
      <c r="C9" s="122" t="s">
        <v>160</v>
      </c>
      <c r="D9" s="56"/>
      <c r="E9" s="56"/>
      <c r="F9" s="56"/>
      <c r="G9" s="56"/>
      <c r="H9" s="56"/>
      <c r="I9" s="56"/>
      <c r="J9" s="56"/>
      <c r="K9" s="56" t="s">
        <v>58</v>
      </c>
      <c r="L9" s="56"/>
      <c r="M9" s="56"/>
      <c r="N9" s="56" t="s">
        <v>59</v>
      </c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 t="s">
        <v>58</v>
      </c>
      <c r="AG9" s="56"/>
      <c r="AH9" s="56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47"/>
      <c r="AX9" s="47"/>
      <c r="AY9" s="47"/>
      <c r="AZ9" s="47"/>
      <c r="BA9" s="47"/>
      <c r="BB9" s="47"/>
      <c r="BC9" s="47"/>
      <c r="BD9" s="47"/>
    </row>
    <row r="10" spans="1:56" s="50" customFormat="1" ht="12.95" customHeight="1">
      <c r="B10" s="54">
        <v>4</v>
      </c>
      <c r="C10" s="115" t="s">
        <v>63</v>
      </c>
      <c r="D10" s="56"/>
      <c r="E10" s="56"/>
      <c r="F10" s="56"/>
      <c r="G10" s="56" t="s">
        <v>60</v>
      </c>
      <c r="H10" s="56"/>
      <c r="I10" s="56"/>
      <c r="J10" s="56" t="s">
        <v>58</v>
      </c>
      <c r="K10" s="56" t="s">
        <v>59</v>
      </c>
      <c r="L10" s="56"/>
      <c r="M10" s="56"/>
      <c r="N10" s="56"/>
      <c r="O10" s="56" t="s">
        <v>58</v>
      </c>
      <c r="P10" s="56" t="s">
        <v>59</v>
      </c>
      <c r="Q10" s="56"/>
      <c r="R10" s="56"/>
      <c r="S10" s="56"/>
      <c r="T10" s="56"/>
      <c r="U10" s="56"/>
      <c r="V10" s="56"/>
      <c r="W10" s="56"/>
      <c r="X10" s="56" t="s">
        <v>58</v>
      </c>
      <c r="Y10" s="56" t="s">
        <v>59</v>
      </c>
      <c r="Z10" s="56"/>
      <c r="AA10" s="56"/>
      <c r="AB10" s="56"/>
      <c r="AC10" s="56"/>
      <c r="AD10" s="56"/>
      <c r="AE10" s="56" t="s">
        <v>58</v>
      </c>
      <c r="AF10" s="56"/>
      <c r="AG10" s="56"/>
      <c r="AH10" s="56"/>
      <c r="AI10" s="60" t="s">
        <v>58</v>
      </c>
      <c r="AJ10" s="60" t="s">
        <v>59</v>
      </c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47"/>
      <c r="AX10" s="47"/>
      <c r="AY10" s="47"/>
      <c r="AZ10" s="47"/>
      <c r="BA10" s="47"/>
      <c r="BB10" s="47"/>
      <c r="BC10" s="47"/>
      <c r="BD10" s="47"/>
    </row>
    <row r="11" spans="1:56" s="50" customFormat="1" ht="12.95" customHeight="1">
      <c r="B11" s="54">
        <v>5</v>
      </c>
      <c r="C11" s="115" t="s">
        <v>64</v>
      </c>
      <c r="D11" s="56"/>
      <c r="E11" s="56"/>
      <c r="F11" s="56"/>
      <c r="G11" s="56"/>
      <c r="H11" s="56"/>
      <c r="I11" s="56"/>
      <c r="J11" s="56" t="s">
        <v>58</v>
      </c>
      <c r="K11" s="56"/>
      <c r="L11" s="56" t="s">
        <v>59</v>
      </c>
      <c r="M11" s="56"/>
      <c r="N11" s="56"/>
      <c r="O11" s="56"/>
      <c r="P11" s="56" t="s">
        <v>58</v>
      </c>
      <c r="Q11" s="56"/>
      <c r="R11" s="56" t="s">
        <v>59</v>
      </c>
      <c r="S11" s="56"/>
      <c r="T11" s="56"/>
      <c r="U11" s="56"/>
      <c r="V11" s="56"/>
      <c r="W11" s="56" t="s">
        <v>58</v>
      </c>
      <c r="X11" s="56"/>
      <c r="Y11" s="56" t="s">
        <v>59</v>
      </c>
      <c r="Z11" s="56"/>
      <c r="AA11" s="56"/>
      <c r="AB11" s="56"/>
      <c r="AC11" s="56"/>
      <c r="AD11" s="56"/>
      <c r="AE11" s="56"/>
      <c r="AF11" s="56"/>
      <c r="AG11" s="56"/>
      <c r="AH11" s="56" t="s">
        <v>59</v>
      </c>
      <c r="AI11" s="60">
        <f>AI8+AJ8+AI20+AJ20</f>
        <v>252</v>
      </c>
      <c r="AJ11" s="60">
        <f>AJ8+AK8+AJ20+AK20</f>
        <v>226</v>
      </c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47"/>
      <c r="AX11" s="47"/>
      <c r="AY11" s="47"/>
      <c r="AZ11" s="47"/>
      <c r="BA11" s="47"/>
      <c r="BB11" s="47"/>
      <c r="BC11" s="47"/>
      <c r="BD11" s="47"/>
    </row>
    <row r="12" spans="1:56" s="50" customFormat="1" ht="12.95" customHeight="1">
      <c r="B12" s="54">
        <v>6</v>
      </c>
      <c r="C12" s="122" t="s">
        <v>157</v>
      </c>
      <c r="D12" s="56"/>
      <c r="E12" s="56"/>
      <c r="F12" s="56"/>
      <c r="G12" s="56"/>
      <c r="H12" s="56"/>
      <c r="I12" s="56"/>
      <c r="J12" s="56"/>
      <c r="K12" s="56" t="s">
        <v>58</v>
      </c>
      <c r="L12" s="56"/>
      <c r="M12" s="56"/>
      <c r="N12" s="56"/>
      <c r="O12" s="56"/>
      <c r="P12" s="56"/>
      <c r="Q12" s="56"/>
      <c r="R12" s="61"/>
      <c r="S12" s="56"/>
      <c r="T12" s="56"/>
      <c r="U12" s="56" t="s">
        <v>58</v>
      </c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 t="s">
        <v>60</v>
      </c>
      <c r="AG12" s="56"/>
      <c r="AH12" s="56"/>
      <c r="AI12" s="62">
        <f>AJ11/AI11</f>
        <v>0.89682539682539686</v>
      </c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47"/>
      <c r="AX12" s="47"/>
      <c r="AY12" s="47"/>
      <c r="AZ12" s="47"/>
      <c r="BA12" s="47"/>
      <c r="BB12" s="47"/>
      <c r="BC12" s="47"/>
      <c r="BD12" s="47"/>
    </row>
    <row r="13" spans="1:56" s="50" customFormat="1" ht="12.95" customHeight="1">
      <c r="B13" s="54">
        <v>7</v>
      </c>
      <c r="C13" s="115" t="s">
        <v>103</v>
      </c>
      <c r="D13" s="56"/>
      <c r="E13" s="56" t="s">
        <v>58</v>
      </c>
      <c r="F13" s="56"/>
      <c r="G13" s="56" t="s">
        <v>59</v>
      </c>
      <c r="H13" s="56" t="s">
        <v>58</v>
      </c>
      <c r="I13" s="56"/>
      <c r="J13" s="56"/>
      <c r="K13" s="56" t="s">
        <v>58</v>
      </c>
      <c r="L13" s="56"/>
      <c r="M13" s="56"/>
      <c r="N13" s="56" t="s">
        <v>60</v>
      </c>
      <c r="O13" s="56"/>
      <c r="P13" s="56" t="s">
        <v>59</v>
      </c>
      <c r="Q13" s="56"/>
      <c r="R13" s="56"/>
      <c r="S13" s="56" t="s">
        <v>58</v>
      </c>
      <c r="T13" s="56"/>
      <c r="U13" s="56"/>
      <c r="V13" s="56" t="s">
        <v>59</v>
      </c>
      <c r="W13" s="56"/>
      <c r="X13" s="56"/>
      <c r="Y13" s="56"/>
      <c r="Z13" s="56" t="s">
        <v>58</v>
      </c>
      <c r="AA13" s="56"/>
      <c r="AB13" s="56"/>
      <c r="AC13" s="56" t="s">
        <v>59</v>
      </c>
      <c r="AD13" s="56"/>
      <c r="AE13" s="56"/>
      <c r="AF13" s="56" t="s">
        <v>115</v>
      </c>
      <c r="AG13" s="56"/>
      <c r="AH13" s="56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47"/>
      <c r="AX13" s="47"/>
      <c r="AY13" s="47"/>
      <c r="AZ13" s="47"/>
      <c r="BA13" s="47"/>
      <c r="BB13" s="47"/>
      <c r="BC13" s="47"/>
      <c r="BD13" s="47"/>
    </row>
    <row r="14" spans="1:56" s="50" customFormat="1" ht="12.95" customHeight="1">
      <c r="B14" s="54">
        <v>8</v>
      </c>
      <c r="C14" s="55" t="s">
        <v>67</v>
      </c>
      <c r="D14" s="56"/>
      <c r="E14" s="56" t="s">
        <v>58</v>
      </c>
      <c r="F14" s="56"/>
      <c r="G14" s="56"/>
      <c r="H14" s="56"/>
      <c r="I14" s="56"/>
      <c r="J14" s="56"/>
      <c r="K14" s="56"/>
      <c r="L14" s="56" t="s">
        <v>58</v>
      </c>
      <c r="M14" s="56"/>
      <c r="N14" s="56"/>
      <c r="O14" s="56"/>
      <c r="P14" s="56" t="s">
        <v>58</v>
      </c>
      <c r="Q14" s="56"/>
      <c r="R14" s="56"/>
      <c r="S14" s="56" t="s">
        <v>58</v>
      </c>
      <c r="T14" s="56"/>
      <c r="U14" s="56"/>
      <c r="V14" s="56"/>
      <c r="W14" s="56"/>
      <c r="X14" s="56" t="s">
        <v>59</v>
      </c>
      <c r="Y14" s="56"/>
      <c r="Z14" s="56"/>
      <c r="AA14" s="56"/>
      <c r="AB14" s="56"/>
      <c r="AC14" s="56"/>
      <c r="AD14" s="56"/>
      <c r="AE14" s="56" t="s">
        <v>58</v>
      </c>
      <c r="AF14" s="56"/>
      <c r="AG14" s="56"/>
      <c r="AH14" s="56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47"/>
      <c r="AX14" s="47"/>
      <c r="AY14" s="47"/>
      <c r="AZ14" s="47"/>
      <c r="BA14" s="47"/>
      <c r="BB14" s="47"/>
      <c r="BC14" s="47"/>
      <c r="BD14" s="47"/>
    </row>
    <row r="15" spans="1:56" s="50" customFormat="1" ht="12.95" customHeight="1">
      <c r="B15" s="54">
        <v>9</v>
      </c>
      <c r="C15" s="115" t="s">
        <v>68</v>
      </c>
      <c r="D15" s="56"/>
      <c r="E15" s="56" t="s">
        <v>59</v>
      </c>
      <c r="F15" s="56"/>
      <c r="G15" s="56"/>
      <c r="H15" s="56" t="s">
        <v>59</v>
      </c>
      <c r="I15" s="56"/>
      <c r="J15" s="56"/>
      <c r="K15" s="56"/>
      <c r="L15" s="56" t="s">
        <v>59</v>
      </c>
      <c r="M15" s="56"/>
      <c r="N15" s="56"/>
      <c r="O15" s="56"/>
      <c r="P15" s="56"/>
      <c r="Q15" s="56"/>
      <c r="R15" s="56"/>
      <c r="S15" s="56" t="s">
        <v>60</v>
      </c>
      <c r="T15" s="56"/>
      <c r="U15" s="61" t="s">
        <v>59</v>
      </c>
      <c r="V15" s="56" t="s">
        <v>59</v>
      </c>
      <c r="W15" s="56"/>
      <c r="X15" s="56" t="s">
        <v>59</v>
      </c>
      <c r="Y15" s="56"/>
      <c r="Z15" s="56"/>
      <c r="AA15" s="56"/>
      <c r="AB15" s="56" t="s">
        <v>60</v>
      </c>
      <c r="AC15" s="56"/>
      <c r="AD15" s="56"/>
      <c r="AE15" s="56" t="s">
        <v>59</v>
      </c>
      <c r="AF15" s="56"/>
      <c r="AG15" s="56"/>
      <c r="AH15" s="56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47"/>
      <c r="AX15" s="47"/>
      <c r="AY15" s="47"/>
      <c r="AZ15" s="47"/>
      <c r="BA15" s="47"/>
      <c r="BB15" s="47"/>
      <c r="BC15" s="47"/>
      <c r="BD15" s="47"/>
    </row>
    <row r="16" spans="1:56" s="50" customFormat="1" ht="12.95" customHeight="1">
      <c r="B16" s="54">
        <v>10</v>
      </c>
      <c r="C16" s="115" t="s">
        <v>134</v>
      </c>
      <c r="D16" s="56"/>
      <c r="E16" s="56"/>
      <c r="F16" s="56"/>
      <c r="G16" s="56" t="s">
        <v>60</v>
      </c>
      <c r="H16" s="56"/>
      <c r="I16" s="56"/>
      <c r="J16" s="56"/>
      <c r="K16" s="56"/>
      <c r="L16" s="56"/>
      <c r="M16" s="56"/>
      <c r="N16" s="56" t="s">
        <v>58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47"/>
      <c r="AX16" s="47"/>
      <c r="AY16" s="47"/>
      <c r="AZ16" s="47"/>
      <c r="BA16" s="47"/>
      <c r="BB16" s="47"/>
      <c r="BC16" s="47"/>
      <c r="BD16" s="47"/>
    </row>
    <row r="17" spans="2:56" s="50" customFormat="1" ht="12.95" customHeight="1">
      <c r="B17" s="54">
        <v>11</v>
      </c>
      <c r="C17" s="115" t="s">
        <v>104</v>
      </c>
      <c r="D17" s="56"/>
      <c r="E17" s="56"/>
      <c r="F17" s="56"/>
      <c r="G17" s="56" t="s">
        <v>58</v>
      </c>
      <c r="H17" s="56"/>
      <c r="I17" s="56"/>
      <c r="J17" s="56"/>
      <c r="K17" s="56" t="s">
        <v>60</v>
      </c>
      <c r="L17" s="56"/>
      <c r="M17" s="56"/>
      <c r="N17" s="56"/>
      <c r="O17" s="56" t="s">
        <v>58</v>
      </c>
      <c r="P17" s="56"/>
      <c r="Q17" s="56"/>
      <c r="R17" s="56"/>
      <c r="S17" s="56"/>
      <c r="T17" s="56"/>
      <c r="U17" s="56" t="s">
        <v>60</v>
      </c>
      <c r="V17" s="56"/>
      <c r="W17" s="56"/>
      <c r="X17" s="56"/>
      <c r="Y17" s="56"/>
      <c r="Z17" s="56"/>
      <c r="AA17" s="56"/>
      <c r="AB17" s="56"/>
      <c r="AC17" s="56" t="s">
        <v>58</v>
      </c>
      <c r="AD17" s="56"/>
      <c r="AE17" s="56"/>
      <c r="AF17" s="56"/>
      <c r="AG17" s="56"/>
      <c r="AH17" s="56" t="s">
        <v>59</v>
      </c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47"/>
      <c r="AX17" s="47"/>
      <c r="AY17" s="47"/>
      <c r="AZ17" s="47"/>
      <c r="BA17" s="47"/>
      <c r="BB17" s="47"/>
      <c r="BC17" s="47"/>
      <c r="BD17" s="47"/>
    </row>
    <row r="18" spans="2:56" s="50" customFormat="1" ht="12.95" customHeight="1">
      <c r="B18" s="54">
        <v>12</v>
      </c>
      <c r="C18" s="115" t="s">
        <v>70</v>
      </c>
      <c r="D18" s="56"/>
      <c r="E18" s="56"/>
      <c r="F18" s="56"/>
      <c r="G18" s="56" t="s">
        <v>59</v>
      </c>
      <c r="H18" s="56" t="s">
        <v>58</v>
      </c>
      <c r="I18" s="56"/>
      <c r="J18" s="56" t="s">
        <v>60</v>
      </c>
      <c r="K18" s="56"/>
      <c r="L18" s="56" t="s">
        <v>59</v>
      </c>
      <c r="M18" s="56"/>
      <c r="N18" s="56"/>
      <c r="O18" s="56"/>
      <c r="P18" s="56" t="s">
        <v>59</v>
      </c>
      <c r="Q18" s="56"/>
      <c r="R18" s="56"/>
      <c r="S18" s="56"/>
      <c r="T18" s="56"/>
      <c r="U18" s="56"/>
      <c r="V18" s="56"/>
      <c r="W18" s="56" t="s">
        <v>59</v>
      </c>
      <c r="X18" s="56" t="s">
        <v>58</v>
      </c>
      <c r="Y18" s="56"/>
      <c r="Z18" s="56" t="s">
        <v>59</v>
      </c>
      <c r="AA18" s="56"/>
      <c r="AB18" s="56"/>
      <c r="AC18" s="56"/>
      <c r="AD18" s="56"/>
      <c r="AE18" s="56" t="s">
        <v>59</v>
      </c>
      <c r="AF18" s="56"/>
      <c r="AG18" s="56"/>
      <c r="AH18" s="56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47"/>
      <c r="AX18" s="47"/>
      <c r="AY18" s="47"/>
      <c r="AZ18" s="47"/>
      <c r="BA18" s="47"/>
      <c r="BB18" s="47"/>
      <c r="BC18" s="47"/>
      <c r="BD18" s="47"/>
    </row>
    <row r="19" spans="2:56" s="50" customFormat="1" ht="12.95" customHeight="1">
      <c r="B19" s="54">
        <v>13</v>
      </c>
      <c r="C19" s="115" t="s">
        <v>142</v>
      </c>
      <c r="D19" s="56"/>
      <c r="E19" s="56" t="s">
        <v>58</v>
      </c>
      <c r="F19" s="56"/>
      <c r="G19" s="56" t="s">
        <v>59</v>
      </c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 t="s">
        <v>58</v>
      </c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7" t="s">
        <v>58</v>
      </c>
      <c r="AJ19" s="58" t="s">
        <v>60</v>
      </c>
      <c r="AK19" s="59" t="s">
        <v>59</v>
      </c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47"/>
      <c r="AX19" s="47"/>
      <c r="AY19" s="47"/>
      <c r="AZ19" s="47"/>
      <c r="BA19" s="47"/>
      <c r="BB19" s="47"/>
      <c r="BC19" s="47"/>
      <c r="BD19" s="47"/>
    </row>
    <row r="20" spans="2:56" s="50" customFormat="1" ht="12.95" customHeight="1">
      <c r="B20" s="54">
        <v>14</v>
      </c>
      <c r="C20" s="116" t="s">
        <v>138</v>
      </c>
      <c r="D20" s="61"/>
      <c r="E20" s="56" t="s">
        <v>58</v>
      </c>
      <c r="F20" s="56"/>
      <c r="G20" s="56" t="s">
        <v>59</v>
      </c>
      <c r="H20" s="56"/>
      <c r="I20" s="56"/>
      <c r="J20" s="56"/>
      <c r="K20" s="56"/>
      <c r="L20" s="56"/>
      <c r="M20" s="56"/>
      <c r="N20" s="56"/>
      <c r="O20" s="56" t="s">
        <v>58</v>
      </c>
      <c r="P20" s="56"/>
      <c r="Q20" s="56"/>
      <c r="R20" s="56"/>
      <c r="S20" s="56" t="s">
        <v>58</v>
      </c>
      <c r="T20" s="56"/>
      <c r="U20" s="56"/>
      <c r="V20" s="56"/>
      <c r="W20" s="56"/>
      <c r="X20" s="56"/>
      <c r="Y20" s="56"/>
      <c r="Z20" s="56" t="s">
        <v>58</v>
      </c>
      <c r="AA20" s="56"/>
      <c r="AB20" s="56"/>
      <c r="AC20" s="56"/>
      <c r="AD20" s="56"/>
      <c r="AE20" s="56"/>
      <c r="AF20" s="56"/>
      <c r="AG20" s="56"/>
      <c r="AH20" s="56"/>
      <c r="AI20" s="60">
        <f>COUNTIF(D151:AH234,"T")</f>
        <v>21</v>
      </c>
      <c r="AJ20" s="60">
        <f>COUNTIF(D151:AH234,"TB")</f>
        <v>18</v>
      </c>
      <c r="AK20" s="60">
        <f>COUNTIF(D151:AH234,"B")</f>
        <v>34</v>
      </c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47"/>
      <c r="AX20" s="47"/>
      <c r="AY20" s="47"/>
      <c r="AZ20" s="47"/>
      <c r="BA20" s="47"/>
      <c r="BB20" s="47"/>
      <c r="BC20" s="47"/>
      <c r="BD20" s="47"/>
    </row>
    <row r="21" spans="2:56" s="50" customFormat="1" ht="12.95" customHeight="1">
      <c r="B21" s="54">
        <v>15</v>
      </c>
      <c r="C21" s="115" t="s">
        <v>71</v>
      </c>
      <c r="D21" s="56"/>
      <c r="E21" s="56"/>
      <c r="F21" s="56"/>
      <c r="G21" s="56" t="s">
        <v>58</v>
      </c>
      <c r="H21" s="56"/>
      <c r="I21" s="56"/>
      <c r="J21" s="56"/>
      <c r="K21" s="56"/>
      <c r="L21" s="56"/>
      <c r="M21" s="56"/>
      <c r="N21" s="56" t="s">
        <v>58</v>
      </c>
      <c r="O21" s="56" t="s">
        <v>59</v>
      </c>
      <c r="P21" s="56"/>
      <c r="Q21" s="61"/>
      <c r="R21" s="56" t="s">
        <v>58</v>
      </c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 t="s">
        <v>58</v>
      </c>
      <c r="AD21" s="56"/>
      <c r="AE21" s="56"/>
      <c r="AF21" s="56"/>
      <c r="AG21" s="56"/>
      <c r="AH21" s="56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47"/>
      <c r="AX21" s="47"/>
      <c r="AY21" s="47"/>
      <c r="AZ21" s="47"/>
      <c r="BA21" s="47"/>
      <c r="BB21" s="47"/>
      <c r="BC21" s="47"/>
      <c r="BD21" s="47"/>
    </row>
    <row r="22" spans="2:56" s="50" customFormat="1" ht="12.95" customHeight="1">
      <c r="B22" s="54">
        <v>16</v>
      </c>
      <c r="C22" s="115" t="s">
        <v>117</v>
      </c>
      <c r="D22" s="56"/>
      <c r="E22" s="56" t="s">
        <v>60</v>
      </c>
      <c r="F22" s="56"/>
      <c r="G22" s="56"/>
      <c r="H22" s="56"/>
      <c r="I22" s="56" t="s">
        <v>58</v>
      </c>
      <c r="J22" s="56" t="s">
        <v>59</v>
      </c>
      <c r="K22" s="56"/>
      <c r="L22" s="56"/>
      <c r="M22" s="56"/>
      <c r="N22" s="56"/>
      <c r="O22" s="56"/>
      <c r="P22" s="56"/>
      <c r="Q22" s="56"/>
      <c r="R22" s="56"/>
      <c r="S22" s="56" t="s">
        <v>60</v>
      </c>
      <c r="T22" s="56"/>
      <c r="U22" s="56"/>
      <c r="V22" s="56"/>
      <c r="W22" s="56"/>
      <c r="X22" s="56"/>
      <c r="Y22" s="56"/>
      <c r="Z22" s="56"/>
      <c r="AA22" s="56"/>
      <c r="AB22" s="56"/>
      <c r="AC22" s="56" t="s">
        <v>59</v>
      </c>
      <c r="AD22" s="56"/>
      <c r="AE22" s="56"/>
      <c r="AF22" s="56"/>
      <c r="AG22" s="56"/>
      <c r="AH22" s="56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47"/>
      <c r="AX22" s="47"/>
      <c r="AY22" s="47"/>
      <c r="AZ22" s="47"/>
      <c r="BA22" s="47"/>
      <c r="BB22" s="47"/>
      <c r="BC22" s="47"/>
      <c r="BD22" s="47"/>
    </row>
    <row r="23" spans="2:56" s="50" customFormat="1" ht="12.95" customHeight="1">
      <c r="B23" s="54">
        <v>17</v>
      </c>
      <c r="C23" s="115" t="s">
        <v>72</v>
      </c>
      <c r="D23" s="56"/>
      <c r="E23" s="56"/>
      <c r="F23" s="56"/>
      <c r="G23" s="56" t="s">
        <v>60</v>
      </c>
      <c r="H23" s="56" t="s">
        <v>58</v>
      </c>
      <c r="I23" s="56" t="s">
        <v>59</v>
      </c>
      <c r="J23" s="56" t="s">
        <v>59</v>
      </c>
      <c r="K23" s="56" t="s">
        <v>60</v>
      </c>
      <c r="L23" s="56" t="s">
        <v>59</v>
      </c>
      <c r="M23" s="56"/>
      <c r="N23" s="56"/>
      <c r="O23" s="56" t="s">
        <v>59</v>
      </c>
      <c r="P23" s="56" t="s">
        <v>60</v>
      </c>
      <c r="Q23" s="56"/>
      <c r="R23" s="56" t="s">
        <v>60</v>
      </c>
      <c r="S23" s="56" t="s">
        <v>60</v>
      </c>
      <c r="T23" s="56"/>
      <c r="U23" s="56" t="s">
        <v>58</v>
      </c>
      <c r="V23" s="56" t="s">
        <v>59</v>
      </c>
      <c r="W23" s="56" t="s">
        <v>60</v>
      </c>
      <c r="X23" s="56" t="s">
        <v>58</v>
      </c>
      <c r="Y23" s="56" t="s">
        <v>58</v>
      </c>
      <c r="Z23" s="56" t="s">
        <v>59</v>
      </c>
      <c r="AA23" s="56"/>
      <c r="AB23" s="56" t="s">
        <v>58</v>
      </c>
      <c r="AC23" s="56" t="s">
        <v>58</v>
      </c>
      <c r="AD23" s="56"/>
      <c r="AE23" s="56"/>
      <c r="AF23" s="56"/>
      <c r="AG23" s="56"/>
      <c r="AH23" s="56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47"/>
      <c r="AX23" s="47"/>
      <c r="AY23" s="47"/>
      <c r="AZ23" s="47"/>
      <c r="BA23" s="47"/>
      <c r="BB23" s="47"/>
      <c r="BC23" s="47"/>
      <c r="BD23" s="47"/>
    </row>
    <row r="24" spans="2:56" s="50" customFormat="1" ht="12.95" customHeight="1">
      <c r="B24" s="54">
        <v>18</v>
      </c>
      <c r="C24" s="115" t="s">
        <v>112</v>
      </c>
      <c r="D24" s="56"/>
      <c r="E24" s="56"/>
      <c r="F24" s="56"/>
      <c r="G24" s="56"/>
      <c r="H24" s="56" t="s">
        <v>58</v>
      </c>
      <c r="I24" s="56"/>
      <c r="J24" s="56"/>
      <c r="K24" s="56"/>
      <c r="L24" s="56"/>
      <c r="M24" s="56"/>
      <c r="N24" s="56"/>
      <c r="O24" s="56"/>
      <c r="P24" s="56" t="s">
        <v>115</v>
      </c>
      <c r="Q24" s="56"/>
      <c r="R24" s="56"/>
      <c r="S24" s="56"/>
      <c r="T24" s="56"/>
      <c r="U24" s="56"/>
      <c r="V24" s="56"/>
      <c r="W24" s="56"/>
      <c r="X24" s="56"/>
      <c r="Y24" s="56" t="s">
        <v>58</v>
      </c>
      <c r="Z24" s="56" t="s">
        <v>59</v>
      </c>
      <c r="AA24" s="56"/>
      <c r="AB24" s="56"/>
      <c r="AC24" s="56" t="s">
        <v>58</v>
      </c>
      <c r="AD24" s="56"/>
      <c r="AE24" s="56"/>
      <c r="AF24" s="56"/>
      <c r="AG24" s="56" t="s">
        <v>59</v>
      </c>
      <c r="AH24" s="56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47"/>
      <c r="AX24" s="47"/>
      <c r="AY24" s="47"/>
      <c r="AZ24" s="47"/>
      <c r="BA24" s="47"/>
      <c r="BB24" s="47"/>
      <c r="BC24" s="47"/>
      <c r="BD24" s="47"/>
    </row>
    <row r="25" spans="2:56" s="50" customFormat="1" ht="12" customHeight="1">
      <c r="B25" s="54">
        <v>19</v>
      </c>
      <c r="C25" s="115" t="s">
        <v>149</v>
      </c>
      <c r="D25" s="56"/>
      <c r="E25" s="56"/>
      <c r="F25" s="56"/>
      <c r="G25" s="56"/>
      <c r="H25" s="56"/>
      <c r="I25" s="56"/>
      <c r="J25" s="56" t="s">
        <v>58</v>
      </c>
      <c r="K25" s="56"/>
      <c r="L25" s="56"/>
      <c r="M25" s="56"/>
      <c r="N25" s="56" t="s">
        <v>58</v>
      </c>
      <c r="O25" s="56"/>
      <c r="P25" s="56"/>
      <c r="Q25" s="56"/>
      <c r="R25" s="56"/>
      <c r="S25" s="56" t="s">
        <v>59</v>
      </c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47"/>
      <c r="AX25" s="47"/>
      <c r="AY25" s="47"/>
      <c r="AZ25" s="47"/>
      <c r="BA25" s="47"/>
      <c r="BB25" s="47"/>
      <c r="BC25" s="47"/>
      <c r="BD25" s="47"/>
    </row>
    <row r="26" spans="2:56" s="50" customFormat="1" ht="12.95" customHeight="1">
      <c r="B26" s="54">
        <v>20</v>
      </c>
      <c r="C26" s="115" t="s">
        <v>140</v>
      </c>
      <c r="D26" s="56"/>
      <c r="E26" s="56"/>
      <c r="F26" s="56"/>
      <c r="G26" s="56"/>
      <c r="H26" s="56"/>
      <c r="I26" s="56"/>
      <c r="J26" s="56"/>
      <c r="K26" s="56" t="s">
        <v>58</v>
      </c>
      <c r="L26" s="56"/>
      <c r="M26" s="56"/>
      <c r="N26" s="56" t="s">
        <v>59</v>
      </c>
      <c r="O26" s="56"/>
      <c r="P26" s="56"/>
      <c r="Q26" s="56"/>
      <c r="R26" s="56"/>
      <c r="S26" s="56"/>
      <c r="T26" s="56"/>
      <c r="U26" s="56" t="s">
        <v>58</v>
      </c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47"/>
      <c r="AX26" s="47"/>
      <c r="AY26" s="47"/>
      <c r="AZ26" s="47"/>
      <c r="BA26" s="47"/>
      <c r="BB26" s="47"/>
      <c r="BC26" s="47"/>
      <c r="BD26" s="47"/>
    </row>
    <row r="27" spans="2:56" s="50" customFormat="1" ht="12.95" customHeight="1">
      <c r="B27" s="54">
        <v>21</v>
      </c>
      <c r="C27" s="115" t="s">
        <v>73</v>
      </c>
      <c r="D27" s="56"/>
      <c r="E27" s="56" t="s">
        <v>58</v>
      </c>
      <c r="F27" s="56"/>
      <c r="G27" s="56" t="s">
        <v>59</v>
      </c>
      <c r="H27" s="56"/>
      <c r="I27" s="56"/>
      <c r="J27" s="56"/>
      <c r="K27" s="56"/>
      <c r="L27" s="56" t="s">
        <v>58</v>
      </c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47"/>
      <c r="AX27" s="47"/>
      <c r="AY27" s="47"/>
      <c r="AZ27" s="47"/>
      <c r="BA27" s="47"/>
      <c r="BB27" s="47"/>
      <c r="BC27" s="47"/>
      <c r="BD27" s="47"/>
    </row>
    <row r="28" spans="2:56" s="50" customFormat="1" ht="12.95" customHeight="1">
      <c r="B28" s="54">
        <v>22</v>
      </c>
      <c r="C28" s="115" t="s">
        <v>74</v>
      </c>
      <c r="D28" s="56"/>
      <c r="E28" s="56"/>
      <c r="F28" s="56"/>
      <c r="G28" s="56" t="s">
        <v>58</v>
      </c>
      <c r="H28" s="56"/>
      <c r="I28" s="56"/>
      <c r="J28" s="56" t="s">
        <v>58</v>
      </c>
      <c r="K28" s="56"/>
      <c r="L28" s="56"/>
      <c r="M28" s="56"/>
      <c r="N28" s="56" t="s">
        <v>58</v>
      </c>
      <c r="O28" s="56"/>
      <c r="P28" s="56" t="s">
        <v>59</v>
      </c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47"/>
      <c r="AX28" s="47"/>
      <c r="AY28" s="47"/>
      <c r="AZ28" s="47"/>
      <c r="BA28" s="47"/>
      <c r="BB28" s="47"/>
      <c r="BC28" s="47"/>
      <c r="BD28" s="47"/>
    </row>
    <row r="29" spans="2:56" s="50" customFormat="1" ht="12.95" customHeight="1">
      <c r="B29" s="54">
        <v>23</v>
      </c>
      <c r="C29" s="122" t="s">
        <v>161</v>
      </c>
      <c r="D29" s="56"/>
      <c r="E29" s="56"/>
      <c r="F29" s="56"/>
      <c r="G29" s="56"/>
      <c r="H29" s="56"/>
      <c r="I29" s="56"/>
      <c r="J29" s="56"/>
      <c r="K29" s="56" t="s">
        <v>58</v>
      </c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 t="s">
        <v>58</v>
      </c>
      <c r="AG29" s="56"/>
      <c r="AH29" s="56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47"/>
      <c r="AX29" s="47"/>
      <c r="AY29" s="47"/>
      <c r="AZ29" s="47"/>
      <c r="BA29" s="47"/>
      <c r="BB29" s="47"/>
      <c r="BC29" s="47"/>
      <c r="BD29" s="47"/>
    </row>
    <row r="30" spans="2:56" s="50" customFormat="1" ht="12.95" customHeight="1">
      <c r="B30" s="54">
        <v>24</v>
      </c>
      <c r="C30" s="115" t="s">
        <v>155</v>
      </c>
      <c r="D30" s="56"/>
      <c r="E30" s="56" t="s">
        <v>58</v>
      </c>
      <c r="F30" s="56"/>
      <c r="G30" s="56"/>
      <c r="H30" s="56"/>
      <c r="I30" s="56"/>
      <c r="J30" s="56" t="s">
        <v>58</v>
      </c>
      <c r="K30" s="56"/>
      <c r="L30" s="56"/>
      <c r="M30" s="56"/>
      <c r="N30" s="56" t="s">
        <v>59</v>
      </c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 t="s">
        <v>58</v>
      </c>
      <c r="Z30" s="56"/>
      <c r="AA30" s="56"/>
      <c r="AB30" s="56"/>
      <c r="AC30" s="56"/>
      <c r="AD30" s="56"/>
      <c r="AE30" s="56"/>
      <c r="AF30" s="56"/>
      <c r="AG30" s="56" t="s">
        <v>58</v>
      </c>
      <c r="AH30" s="56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47"/>
      <c r="AX30" s="47"/>
      <c r="AY30" s="47"/>
      <c r="AZ30" s="47"/>
      <c r="BA30" s="47"/>
      <c r="BB30" s="47"/>
      <c r="BC30" s="47"/>
      <c r="BD30" s="47"/>
    </row>
    <row r="31" spans="2:56" s="50" customFormat="1" ht="12.95" customHeight="1">
      <c r="B31" s="54">
        <v>25</v>
      </c>
      <c r="C31" s="115" t="s">
        <v>144</v>
      </c>
      <c r="D31" s="56"/>
      <c r="E31" s="56" t="s">
        <v>58</v>
      </c>
      <c r="F31" s="56"/>
      <c r="G31" s="56" t="s">
        <v>59</v>
      </c>
      <c r="H31" s="56"/>
      <c r="I31" s="56"/>
      <c r="J31" s="56"/>
      <c r="K31" s="56"/>
      <c r="L31" s="56"/>
      <c r="M31" s="56"/>
      <c r="N31" s="56"/>
      <c r="O31" s="56" t="s">
        <v>58</v>
      </c>
      <c r="P31" s="56"/>
      <c r="Q31" s="56"/>
      <c r="R31" s="56"/>
      <c r="S31" s="56" t="s">
        <v>58</v>
      </c>
      <c r="T31" s="56"/>
      <c r="U31" s="56" t="s">
        <v>59</v>
      </c>
      <c r="V31" s="56"/>
      <c r="W31" s="56" t="s">
        <v>59</v>
      </c>
      <c r="X31" s="56"/>
      <c r="Y31" s="56"/>
      <c r="Z31" s="56"/>
      <c r="AA31" s="56"/>
      <c r="AB31" s="56" t="s">
        <v>59</v>
      </c>
      <c r="AC31" s="56"/>
      <c r="AD31" s="56"/>
      <c r="AE31" s="56"/>
      <c r="AF31" s="56"/>
      <c r="AG31" s="56"/>
      <c r="AH31" s="56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47"/>
      <c r="AX31" s="47"/>
      <c r="AY31" s="47"/>
      <c r="AZ31" s="47"/>
      <c r="BA31" s="47"/>
      <c r="BB31" s="47"/>
      <c r="BC31" s="47"/>
      <c r="BD31" s="47"/>
    </row>
    <row r="32" spans="2:56" s="50" customFormat="1" ht="12.95" customHeight="1">
      <c r="B32" s="54">
        <v>26</v>
      </c>
      <c r="C32" s="115" t="s">
        <v>75</v>
      </c>
      <c r="D32" s="56"/>
      <c r="E32" s="56" t="s">
        <v>59</v>
      </c>
      <c r="F32" s="56"/>
      <c r="G32" s="56" t="s">
        <v>60</v>
      </c>
      <c r="H32" s="56"/>
      <c r="I32" s="56"/>
      <c r="J32" s="56"/>
      <c r="K32" s="56"/>
      <c r="L32" s="56"/>
      <c r="M32" s="56"/>
      <c r="N32" s="56"/>
      <c r="O32" s="56"/>
      <c r="P32" s="56" t="s">
        <v>58</v>
      </c>
      <c r="Q32" s="56"/>
      <c r="R32" s="56" t="s">
        <v>58</v>
      </c>
      <c r="S32" s="56" t="s">
        <v>59</v>
      </c>
      <c r="T32" s="56"/>
      <c r="U32" s="56"/>
      <c r="V32" s="56"/>
      <c r="W32" s="56"/>
      <c r="X32" s="56" t="s">
        <v>58</v>
      </c>
      <c r="Y32" s="56" t="s">
        <v>58</v>
      </c>
      <c r="Z32" s="56" t="s">
        <v>60</v>
      </c>
      <c r="AA32" s="56"/>
      <c r="AB32" s="56"/>
      <c r="AC32" s="56"/>
      <c r="AD32" s="56"/>
      <c r="AE32" s="56"/>
      <c r="AF32" s="56"/>
      <c r="AG32" s="56"/>
      <c r="AH32" s="56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47"/>
      <c r="AX32" s="47"/>
      <c r="AY32" s="47"/>
      <c r="AZ32" s="47"/>
      <c r="BA32" s="47"/>
      <c r="BB32" s="47"/>
      <c r="BC32" s="47"/>
      <c r="BD32" s="47"/>
    </row>
    <row r="33" spans="2:56" s="50" customFormat="1" ht="12.95" customHeight="1">
      <c r="B33" s="54">
        <v>27</v>
      </c>
      <c r="C33" s="115" t="s">
        <v>143</v>
      </c>
      <c r="D33" s="56"/>
      <c r="E33" s="56"/>
      <c r="F33" s="56"/>
      <c r="G33" s="56" t="s">
        <v>58</v>
      </c>
      <c r="H33" s="56" t="s">
        <v>59</v>
      </c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60" t="s">
        <v>49</v>
      </c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47"/>
      <c r="AX33" s="47"/>
      <c r="AY33" s="47"/>
      <c r="AZ33" s="47"/>
      <c r="BA33" s="47"/>
      <c r="BB33" s="47"/>
      <c r="BC33" s="47"/>
      <c r="BD33" s="47"/>
    </row>
    <row r="34" spans="2:56" s="50" customFormat="1" ht="12.95" customHeight="1">
      <c r="B34" s="54">
        <v>28</v>
      </c>
      <c r="C34" s="115" t="s">
        <v>76</v>
      </c>
      <c r="D34" s="56"/>
      <c r="E34" s="56"/>
      <c r="F34" s="56"/>
      <c r="G34" s="56" t="s">
        <v>58</v>
      </c>
      <c r="H34" s="56" t="s">
        <v>59</v>
      </c>
      <c r="I34" s="56"/>
      <c r="J34" s="56"/>
      <c r="K34" s="56"/>
      <c r="L34" s="56" t="s">
        <v>58</v>
      </c>
      <c r="M34" s="56"/>
      <c r="N34" s="56"/>
      <c r="O34" s="56"/>
      <c r="P34" s="56"/>
      <c r="Q34" s="56"/>
      <c r="R34" s="56" t="s">
        <v>58</v>
      </c>
      <c r="S34" s="56"/>
      <c r="T34" s="56"/>
      <c r="U34" s="56"/>
      <c r="V34" s="56" t="s">
        <v>59</v>
      </c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 t="s">
        <v>58</v>
      </c>
      <c r="AH34" s="56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47"/>
      <c r="AX34" s="47"/>
      <c r="AY34" s="47"/>
      <c r="AZ34" s="47"/>
      <c r="BA34" s="47"/>
      <c r="BB34" s="47"/>
      <c r="BC34" s="47"/>
      <c r="BD34" s="47"/>
    </row>
    <row r="35" spans="2:56" s="50" customFormat="1" ht="12.95" customHeight="1">
      <c r="B35" s="54">
        <v>29</v>
      </c>
      <c r="C35" s="115" t="s">
        <v>105</v>
      </c>
      <c r="D35" s="56"/>
      <c r="E35" s="56" t="s">
        <v>59</v>
      </c>
      <c r="F35" s="56"/>
      <c r="G35" s="56" t="s">
        <v>60</v>
      </c>
      <c r="H35" s="56"/>
      <c r="I35" s="56"/>
      <c r="J35" s="56"/>
      <c r="K35" s="56"/>
      <c r="L35" s="56"/>
      <c r="M35" s="56"/>
      <c r="N35" s="56"/>
      <c r="O35" s="56"/>
      <c r="P35" s="56"/>
      <c r="Q35" s="61"/>
      <c r="R35" s="56"/>
      <c r="S35" s="56" t="s">
        <v>59</v>
      </c>
      <c r="T35" s="56"/>
      <c r="U35" s="56"/>
      <c r="V35" s="56"/>
      <c r="W35" s="56"/>
      <c r="X35" s="56"/>
      <c r="Y35" s="56" t="s">
        <v>59</v>
      </c>
      <c r="Z35" s="56"/>
      <c r="AA35" s="56"/>
      <c r="AB35" s="56" t="s">
        <v>59</v>
      </c>
      <c r="AC35" s="56"/>
      <c r="AD35" s="56"/>
      <c r="AE35" s="56"/>
      <c r="AF35" s="56"/>
      <c r="AG35" s="56"/>
      <c r="AH35" s="56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47"/>
      <c r="AX35" s="47"/>
      <c r="AY35" s="47"/>
      <c r="AZ35" s="47"/>
      <c r="BA35" s="47"/>
      <c r="BB35" s="47"/>
      <c r="BC35" s="47"/>
      <c r="BD35" s="47"/>
    </row>
    <row r="36" spans="2:56" s="50" customFormat="1" ht="12.95" customHeight="1">
      <c r="B36" s="54">
        <v>30</v>
      </c>
      <c r="C36" s="115" t="s">
        <v>125</v>
      </c>
      <c r="D36" s="56"/>
      <c r="E36" s="56"/>
      <c r="F36" s="56"/>
      <c r="G36" s="56" t="s">
        <v>60</v>
      </c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47"/>
      <c r="AX36" s="47"/>
      <c r="AY36" s="47"/>
      <c r="AZ36" s="47"/>
      <c r="BA36" s="47"/>
      <c r="BB36" s="47"/>
      <c r="BC36" s="47"/>
      <c r="BD36" s="47"/>
    </row>
    <row r="37" spans="2:56" s="50" customFormat="1" ht="12.95" customHeight="1">
      <c r="B37" s="54">
        <v>31</v>
      </c>
      <c r="C37" s="115" t="s">
        <v>133</v>
      </c>
      <c r="D37" s="56"/>
      <c r="E37" s="56"/>
      <c r="F37" s="56"/>
      <c r="G37" s="56"/>
      <c r="H37" s="56" t="s">
        <v>60</v>
      </c>
      <c r="I37" s="56"/>
      <c r="J37" s="56"/>
      <c r="K37" s="56"/>
      <c r="L37" s="56" t="s">
        <v>58</v>
      </c>
      <c r="M37" s="56"/>
      <c r="N37" s="56" t="s">
        <v>59</v>
      </c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 t="s">
        <v>58</v>
      </c>
      <c r="AH37" s="56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47"/>
      <c r="AX37" s="47"/>
      <c r="AY37" s="47"/>
      <c r="AZ37" s="47"/>
      <c r="BA37" s="47"/>
      <c r="BB37" s="47"/>
      <c r="BC37" s="47"/>
      <c r="BD37" s="47"/>
    </row>
    <row r="38" spans="2:56" s="50" customFormat="1" ht="12.95" customHeight="1">
      <c r="B38" s="54">
        <v>32</v>
      </c>
      <c r="C38" s="115" t="s">
        <v>78</v>
      </c>
      <c r="D38" s="56"/>
      <c r="E38" s="56"/>
      <c r="F38" s="56"/>
      <c r="G38" s="56"/>
      <c r="H38" s="56"/>
      <c r="I38" s="56"/>
      <c r="J38" s="61" t="s">
        <v>60</v>
      </c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 t="s">
        <v>60</v>
      </c>
      <c r="W38" s="56"/>
      <c r="X38" s="56"/>
      <c r="Y38" s="56" t="s">
        <v>58</v>
      </c>
      <c r="Z38" s="56"/>
      <c r="AA38" s="56"/>
      <c r="AB38" s="56" t="s">
        <v>59</v>
      </c>
      <c r="AC38" s="56"/>
      <c r="AD38" s="56"/>
      <c r="AE38" s="56"/>
      <c r="AF38" s="56"/>
      <c r="AG38" s="56"/>
      <c r="AH38" s="56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47"/>
      <c r="AX38" s="47"/>
      <c r="AY38" s="47"/>
      <c r="AZ38" s="47"/>
      <c r="BA38" s="47"/>
      <c r="BB38" s="47"/>
      <c r="BC38" s="47"/>
      <c r="BD38" s="47"/>
    </row>
    <row r="39" spans="2:56" s="50" customFormat="1" ht="12.95" customHeight="1">
      <c r="B39" s="54">
        <v>33</v>
      </c>
      <c r="C39" s="115" t="s">
        <v>79</v>
      </c>
      <c r="D39" s="56"/>
      <c r="E39" s="56"/>
      <c r="F39" s="56"/>
      <c r="G39" s="56"/>
      <c r="H39" s="56"/>
      <c r="I39" s="56"/>
      <c r="J39" s="56" t="s">
        <v>60</v>
      </c>
      <c r="K39" s="56"/>
      <c r="L39" s="56"/>
      <c r="M39" s="56"/>
      <c r="N39" s="56"/>
      <c r="O39" s="56"/>
      <c r="P39" s="56" t="s">
        <v>58</v>
      </c>
      <c r="Q39" s="56"/>
      <c r="R39" s="56"/>
      <c r="S39" s="56" t="s">
        <v>59</v>
      </c>
      <c r="T39" s="56"/>
      <c r="U39" s="56"/>
      <c r="V39" s="56"/>
      <c r="W39" s="56" t="s">
        <v>60</v>
      </c>
      <c r="X39" s="56" t="s">
        <v>59</v>
      </c>
      <c r="Y39" s="56"/>
      <c r="Z39" s="56"/>
      <c r="AA39" s="56"/>
      <c r="AB39" s="56"/>
      <c r="AC39" s="56"/>
      <c r="AD39" s="56"/>
      <c r="AE39" s="56" t="s">
        <v>60</v>
      </c>
      <c r="AF39" s="56"/>
      <c r="AG39" s="56"/>
      <c r="AH39" s="56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47"/>
      <c r="AX39" s="47"/>
      <c r="AY39" s="47"/>
      <c r="AZ39" s="47"/>
      <c r="BA39" s="47"/>
      <c r="BB39" s="47"/>
      <c r="BC39" s="47"/>
      <c r="BD39" s="47"/>
    </row>
    <row r="40" spans="2:56" s="50" customFormat="1" ht="12.95" customHeight="1">
      <c r="B40" s="54">
        <v>34</v>
      </c>
      <c r="C40" s="115" t="s">
        <v>80</v>
      </c>
      <c r="D40" s="56"/>
      <c r="E40" s="56"/>
      <c r="F40" s="56"/>
      <c r="G40" s="56"/>
      <c r="H40" s="56"/>
      <c r="I40" s="56"/>
      <c r="J40" s="56"/>
      <c r="K40" s="56" t="s">
        <v>58</v>
      </c>
      <c r="L40" s="56"/>
      <c r="M40" s="56"/>
      <c r="N40" s="56" t="s">
        <v>59</v>
      </c>
      <c r="O40" s="56"/>
      <c r="P40" s="56"/>
      <c r="Q40" s="56"/>
      <c r="R40" s="56"/>
      <c r="S40" s="56"/>
      <c r="T40" s="56"/>
      <c r="U40" s="56" t="s">
        <v>58</v>
      </c>
      <c r="V40" s="56"/>
      <c r="W40" s="56"/>
      <c r="X40" s="56" t="s">
        <v>59</v>
      </c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47"/>
      <c r="AX40" s="47"/>
      <c r="AY40" s="47"/>
      <c r="AZ40" s="47"/>
      <c r="BA40" s="47"/>
      <c r="BB40" s="47"/>
      <c r="BC40" s="47"/>
      <c r="BD40" s="47"/>
    </row>
    <row r="41" spans="2:56" s="50" customFormat="1" ht="12.95" customHeight="1">
      <c r="B41" s="54">
        <v>35</v>
      </c>
      <c r="C41" s="115" t="s">
        <v>159</v>
      </c>
      <c r="D41" s="56"/>
      <c r="E41" s="56"/>
      <c r="F41" s="56"/>
      <c r="G41" s="56"/>
      <c r="H41" s="56" t="s">
        <v>60</v>
      </c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47"/>
      <c r="AX41" s="47"/>
      <c r="AY41" s="47"/>
      <c r="AZ41" s="47"/>
      <c r="BA41" s="47"/>
      <c r="BB41" s="47"/>
      <c r="BC41" s="47"/>
      <c r="BD41" s="47"/>
    </row>
    <row r="42" spans="2:56" s="50" customFormat="1" ht="12.95" customHeight="1">
      <c r="B42" s="54">
        <v>36</v>
      </c>
      <c r="C42" s="122" t="s">
        <v>162</v>
      </c>
      <c r="D42" s="56"/>
      <c r="E42" s="56"/>
      <c r="F42" s="56"/>
      <c r="G42" s="56"/>
      <c r="H42" s="56"/>
      <c r="I42" s="56"/>
      <c r="J42" s="56"/>
      <c r="K42" s="56" t="s">
        <v>58</v>
      </c>
      <c r="L42" s="56"/>
      <c r="M42" s="56"/>
      <c r="N42" s="56" t="s">
        <v>58</v>
      </c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 t="s">
        <v>58</v>
      </c>
      <c r="AG42" s="56"/>
      <c r="AH42" s="56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47"/>
      <c r="AX42" s="47"/>
      <c r="AY42" s="47"/>
      <c r="AZ42" s="47"/>
      <c r="BA42" s="47"/>
      <c r="BB42" s="47"/>
      <c r="BC42" s="47"/>
      <c r="BD42" s="47"/>
    </row>
    <row r="43" spans="2:56" s="50" customFormat="1" ht="12.95" customHeight="1">
      <c r="B43" s="54">
        <v>37</v>
      </c>
      <c r="C43" s="115" t="s">
        <v>81</v>
      </c>
      <c r="D43" s="56"/>
      <c r="E43" s="56"/>
      <c r="F43" s="56"/>
      <c r="G43" s="56" t="s">
        <v>58</v>
      </c>
      <c r="H43" s="56"/>
      <c r="I43" s="56"/>
      <c r="J43" s="56"/>
      <c r="K43" s="56" t="s">
        <v>59</v>
      </c>
      <c r="L43" s="56"/>
      <c r="M43" s="56"/>
      <c r="N43" s="56"/>
      <c r="O43" s="56" t="s">
        <v>58</v>
      </c>
      <c r="P43" s="56" t="s">
        <v>59</v>
      </c>
      <c r="Q43" s="56"/>
      <c r="R43" s="56"/>
      <c r="S43" s="56"/>
      <c r="T43" s="56"/>
      <c r="U43" s="56"/>
      <c r="V43" s="56"/>
      <c r="W43" s="56"/>
      <c r="X43" s="56" t="s">
        <v>58</v>
      </c>
      <c r="Y43" s="56"/>
      <c r="Z43" s="56" t="s">
        <v>59</v>
      </c>
      <c r="AA43" s="56"/>
      <c r="AB43" s="56"/>
      <c r="AC43" s="56"/>
      <c r="AD43" s="56"/>
      <c r="AE43" s="56"/>
      <c r="AF43" s="56"/>
      <c r="AG43" s="56"/>
      <c r="AH43" s="56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47"/>
      <c r="AX43" s="47"/>
      <c r="AY43" s="47"/>
      <c r="AZ43" s="47"/>
      <c r="BA43" s="47"/>
      <c r="BB43" s="47"/>
      <c r="BC43" s="47"/>
      <c r="BD43" s="47"/>
    </row>
    <row r="44" spans="2:56" s="50" customFormat="1" ht="12.95" customHeight="1">
      <c r="B44" s="54">
        <v>38</v>
      </c>
      <c r="C44" s="115" t="s">
        <v>151</v>
      </c>
      <c r="D44" s="56"/>
      <c r="E44" s="56"/>
      <c r="F44" s="56"/>
      <c r="G44" s="56"/>
      <c r="H44" s="56"/>
      <c r="I44" s="56"/>
      <c r="J44" s="56" t="s">
        <v>60</v>
      </c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47"/>
      <c r="AX44" s="47"/>
      <c r="AY44" s="47"/>
      <c r="AZ44" s="47"/>
      <c r="BA44" s="47"/>
      <c r="BB44" s="47"/>
      <c r="BC44" s="47"/>
      <c r="BD44" s="47"/>
    </row>
    <row r="45" spans="2:56" s="50" customFormat="1" ht="12.95" customHeight="1">
      <c r="B45" s="54">
        <v>39</v>
      </c>
      <c r="C45" s="115" t="s">
        <v>82</v>
      </c>
      <c r="D45" s="56"/>
      <c r="E45" s="56"/>
      <c r="F45" s="56"/>
      <c r="G45" s="56"/>
      <c r="H45" s="56"/>
      <c r="I45" s="61"/>
      <c r="J45" s="56" t="s">
        <v>115</v>
      </c>
      <c r="K45" s="56"/>
      <c r="L45" s="56"/>
      <c r="M45" s="56"/>
      <c r="N45" s="56" t="s">
        <v>59</v>
      </c>
      <c r="O45" s="56"/>
      <c r="P45" s="56"/>
      <c r="Q45" s="56"/>
      <c r="R45" s="56"/>
      <c r="S45" s="56" t="s">
        <v>58</v>
      </c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47"/>
      <c r="AX45" s="47"/>
      <c r="AY45" s="47"/>
      <c r="AZ45" s="47"/>
      <c r="BA45" s="47"/>
      <c r="BB45" s="47"/>
      <c r="BC45" s="47"/>
      <c r="BD45" s="47"/>
    </row>
    <row r="46" spans="2:56" s="50" customFormat="1" ht="12.95" customHeight="1">
      <c r="B46" s="54">
        <v>40</v>
      </c>
      <c r="C46" s="115" t="s">
        <v>136</v>
      </c>
      <c r="D46" s="56"/>
      <c r="E46" s="56" t="s">
        <v>59</v>
      </c>
      <c r="F46" s="56"/>
      <c r="G46" s="56"/>
      <c r="H46" s="56"/>
      <c r="I46" s="56" t="s">
        <v>59</v>
      </c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 t="s">
        <v>58</v>
      </c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47"/>
      <c r="AX46" s="47"/>
      <c r="AY46" s="47"/>
      <c r="AZ46" s="47"/>
      <c r="BA46" s="47"/>
      <c r="BB46" s="47"/>
      <c r="BC46" s="47"/>
      <c r="BD46" s="47"/>
    </row>
    <row r="47" spans="2:56" s="50" customFormat="1" ht="12.95" customHeight="1">
      <c r="B47" s="54">
        <v>41</v>
      </c>
      <c r="C47" s="115" t="s">
        <v>106</v>
      </c>
      <c r="D47" s="56"/>
      <c r="E47" s="56"/>
      <c r="F47" s="56"/>
      <c r="G47" s="56" t="s">
        <v>58</v>
      </c>
      <c r="H47" s="56"/>
      <c r="I47" s="56"/>
      <c r="J47" s="56" t="s">
        <v>59</v>
      </c>
      <c r="K47" s="56"/>
      <c r="L47" s="56"/>
      <c r="M47" s="61"/>
      <c r="N47" s="56"/>
      <c r="O47" s="56" t="s">
        <v>59</v>
      </c>
      <c r="P47" s="56"/>
      <c r="Q47" s="56"/>
      <c r="R47" s="56" t="s">
        <v>59</v>
      </c>
      <c r="S47" s="56"/>
      <c r="T47" s="56"/>
      <c r="U47" s="56"/>
      <c r="V47" s="56"/>
      <c r="W47" s="56"/>
      <c r="X47" s="56"/>
      <c r="Y47" s="56"/>
      <c r="Z47" s="56" t="s">
        <v>58</v>
      </c>
      <c r="AA47" s="56"/>
      <c r="AB47" s="56"/>
      <c r="AC47" s="56"/>
      <c r="AD47" s="56"/>
      <c r="AE47" s="56" t="s">
        <v>59</v>
      </c>
      <c r="AF47" s="56"/>
      <c r="AG47" s="56"/>
      <c r="AH47" s="67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47"/>
      <c r="AW47" s="47"/>
      <c r="AX47" s="47"/>
      <c r="AY47" s="47"/>
      <c r="AZ47" s="47"/>
      <c r="BA47" s="47"/>
      <c r="BB47" s="47"/>
      <c r="BC47" s="47"/>
    </row>
    <row r="48" spans="2:56" s="50" customFormat="1" ht="12.95" customHeight="1">
      <c r="B48" s="54">
        <v>42</v>
      </c>
      <c r="C48" s="115" t="s">
        <v>83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 t="s">
        <v>58</v>
      </c>
      <c r="O48" s="56" t="s">
        <v>166</v>
      </c>
      <c r="P48" s="56"/>
      <c r="Q48" s="56"/>
      <c r="R48" s="56"/>
      <c r="S48" s="56"/>
      <c r="T48" s="56"/>
      <c r="U48" s="56"/>
      <c r="V48" s="61"/>
      <c r="W48" s="56"/>
      <c r="X48" s="56"/>
      <c r="Y48" s="56"/>
      <c r="Z48" s="56"/>
      <c r="AA48" s="56"/>
      <c r="AB48" s="56"/>
      <c r="AC48" s="56"/>
      <c r="AD48" s="56"/>
      <c r="AE48" s="56" t="s">
        <v>58</v>
      </c>
      <c r="AF48" s="56"/>
      <c r="AG48" s="56"/>
      <c r="AH48" s="56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47"/>
      <c r="AW48" s="47"/>
      <c r="AX48" s="47"/>
      <c r="AY48" s="47"/>
      <c r="AZ48" s="47"/>
      <c r="BA48" s="47"/>
      <c r="BB48" s="47"/>
      <c r="BC48" s="47"/>
    </row>
    <row r="49" spans="2:55" s="50" customFormat="1" ht="12.95" customHeight="1">
      <c r="B49" s="54">
        <v>43</v>
      </c>
      <c r="C49" s="115" t="s">
        <v>118</v>
      </c>
      <c r="D49" s="56"/>
      <c r="E49" s="56"/>
      <c r="F49" s="56"/>
      <c r="G49" s="56"/>
      <c r="H49" s="56"/>
      <c r="I49" s="56" t="s">
        <v>58</v>
      </c>
      <c r="J49" s="56"/>
      <c r="K49" s="56" t="s">
        <v>59</v>
      </c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 t="s">
        <v>60</v>
      </c>
      <c r="AH49" s="56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47"/>
      <c r="AW49" s="47"/>
      <c r="AX49" s="47"/>
      <c r="AY49" s="47"/>
      <c r="AZ49" s="47"/>
      <c r="BA49" s="47"/>
      <c r="BB49" s="47"/>
      <c r="BC49" s="47"/>
    </row>
    <row r="50" spans="2:55" s="50" customFormat="1" ht="12.95" customHeight="1">
      <c r="B50" s="54">
        <v>44</v>
      </c>
      <c r="C50" s="115" t="s">
        <v>137</v>
      </c>
      <c r="D50" s="56"/>
      <c r="E50" s="56"/>
      <c r="F50" s="56"/>
      <c r="G50" s="56"/>
      <c r="H50" s="56" t="s">
        <v>58</v>
      </c>
      <c r="I50" s="56"/>
      <c r="J50" s="56" t="s">
        <v>59</v>
      </c>
      <c r="K50" s="56" t="s">
        <v>58</v>
      </c>
      <c r="L50" s="56" t="s">
        <v>59</v>
      </c>
      <c r="M50" s="56"/>
      <c r="N50" s="56"/>
      <c r="O50" s="56"/>
      <c r="P50" s="56" t="s">
        <v>58</v>
      </c>
      <c r="Q50" s="56"/>
      <c r="R50" s="56" t="s">
        <v>58</v>
      </c>
      <c r="S50" s="56"/>
      <c r="T50" s="56"/>
      <c r="U50" s="56" t="s">
        <v>59</v>
      </c>
      <c r="V50" s="56"/>
      <c r="W50" s="56" t="s">
        <v>58</v>
      </c>
      <c r="X50" s="56"/>
      <c r="Y50" s="56"/>
      <c r="Z50" s="56" t="s">
        <v>59</v>
      </c>
      <c r="AA50" s="56"/>
      <c r="AB50" s="56"/>
      <c r="AC50" s="56"/>
      <c r="AD50" s="56"/>
      <c r="AE50" s="56" t="s">
        <v>60</v>
      </c>
      <c r="AF50" s="56"/>
      <c r="AG50" s="56"/>
      <c r="AH50" s="56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47"/>
      <c r="AW50" s="47"/>
      <c r="AX50" s="47"/>
      <c r="AY50" s="47"/>
      <c r="AZ50" s="47"/>
      <c r="BA50" s="47"/>
      <c r="BB50" s="47"/>
      <c r="BC50" s="47"/>
    </row>
    <row r="51" spans="2:55" s="50" customFormat="1" ht="12.95" customHeight="1">
      <c r="B51" s="54">
        <v>45</v>
      </c>
      <c r="C51" s="115" t="s">
        <v>85</v>
      </c>
      <c r="D51" s="56"/>
      <c r="E51" s="56"/>
      <c r="F51" s="56"/>
      <c r="G51" s="56"/>
      <c r="H51" s="56"/>
      <c r="I51" s="56" t="s">
        <v>59</v>
      </c>
      <c r="J51" s="56"/>
      <c r="K51" s="56" t="s">
        <v>58</v>
      </c>
      <c r="L51" s="56"/>
      <c r="M51" s="56"/>
      <c r="N51" s="56"/>
      <c r="O51" s="56"/>
      <c r="P51" s="56" t="s">
        <v>58</v>
      </c>
      <c r="Q51" s="56"/>
      <c r="R51" s="56"/>
      <c r="S51" s="56" t="s">
        <v>59</v>
      </c>
      <c r="T51" s="56"/>
      <c r="U51" s="56" t="s">
        <v>59</v>
      </c>
      <c r="V51" s="56"/>
      <c r="W51" s="56"/>
      <c r="X51" s="56"/>
      <c r="Y51" s="56" t="s">
        <v>59</v>
      </c>
      <c r="Z51" s="56"/>
      <c r="AA51" s="56"/>
      <c r="AB51" s="56"/>
      <c r="AC51" s="56" t="s">
        <v>59</v>
      </c>
      <c r="AD51" s="56"/>
      <c r="AE51" s="56" t="s">
        <v>58</v>
      </c>
      <c r="AF51" s="56"/>
      <c r="AG51" s="56"/>
      <c r="AH51" s="56" t="s">
        <v>59</v>
      </c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47"/>
      <c r="AW51" s="47"/>
      <c r="AX51" s="47"/>
      <c r="AY51" s="47"/>
      <c r="AZ51" s="47"/>
      <c r="BA51" s="47"/>
      <c r="BB51" s="47"/>
      <c r="BC51" s="47"/>
    </row>
    <row r="52" spans="2:55" s="50" customFormat="1" ht="12.95" customHeight="1">
      <c r="B52" s="54">
        <v>46</v>
      </c>
      <c r="C52" s="115" t="s">
        <v>86</v>
      </c>
      <c r="D52" s="56"/>
      <c r="E52" s="56" t="s">
        <v>59</v>
      </c>
      <c r="F52" s="56"/>
      <c r="G52" s="56"/>
      <c r="H52" s="56"/>
      <c r="I52" s="56" t="s">
        <v>58</v>
      </c>
      <c r="J52" s="56"/>
      <c r="K52" s="56" t="s">
        <v>58</v>
      </c>
      <c r="L52" s="56"/>
      <c r="M52" s="56"/>
      <c r="N52" s="56"/>
      <c r="O52" s="56" t="s">
        <v>58</v>
      </c>
      <c r="P52" s="56"/>
      <c r="Q52" s="56"/>
      <c r="R52" s="56" t="s">
        <v>59</v>
      </c>
      <c r="S52" s="56"/>
      <c r="T52" s="56"/>
      <c r="U52" s="56"/>
      <c r="V52" s="56"/>
      <c r="W52" s="56" t="s">
        <v>58</v>
      </c>
      <c r="X52" s="56"/>
      <c r="Y52" s="56" t="s">
        <v>58</v>
      </c>
      <c r="Z52" s="56"/>
      <c r="AA52" s="56"/>
      <c r="AB52" s="56"/>
      <c r="AC52" s="56" t="s">
        <v>60</v>
      </c>
      <c r="AD52" s="56"/>
      <c r="AE52" s="56"/>
      <c r="AF52" s="56"/>
      <c r="AG52" s="56"/>
      <c r="AH52" s="56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47"/>
      <c r="AW52" s="47"/>
      <c r="AX52" s="47"/>
      <c r="AY52" s="47"/>
      <c r="AZ52" s="47"/>
      <c r="BA52" s="47"/>
      <c r="BB52" s="47"/>
      <c r="BC52" s="47"/>
    </row>
    <row r="53" spans="2:55" s="50" customFormat="1" ht="12.95" customHeight="1">
      <c r="B53" s="54">
        <v>47</v>
      </c>
      <c r="C53" s="115" t="s">
        <v>87</v>
      </c>
      <c r="D53" s="56"/>
      <c r="E53" s="56"/>
      <c r="F53" s="56"/>
      <c r="G53" s="56"/>
      <c r="H53" s="56"/>
      <c r="I53" s="56" t="s">
        <v>58</v>
      </c>
      <c r="J53" s="56" t="s">
        <v>59</v>
      </c>
      <c r="K53" s="56"/>
      <c r="L53" s="56"/>
      <c r="M53" s="56"/>
      <c r="N53" s="56"/>
      <c r="O53" s="56"/>
      <c r="P53" s="56"/>
      <c r="Q53" s="56"/>
      <c r="R53" s="56" t="s">
        <v>58</v>
      </c>
      <c r="S53" s="56"/>
      <c r="T53" s="56"/>
      <c r="U53" s="56"/>
      <c r="V53" s="56"/>
      <c r="W53" s="56" t="s">
        <v>58</v>
      </c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47"/>
      <c r="AW53" s="47"/>
      <c r="AX53" s="47"/>
      <c r="AY53" s="47"/>
      <c r="AZ53" s="47"/>
      <c r="BA53" s="47"/>
      <c r="BB53" s="47"/>
      <c r="BC53" s="47"/>
    </row>
    <row r="54" spans="2:55" s="50" customFormat="1" ht="12.95" customHeight="1">
      <c r="B54" s="54">
        <v>48</v>
      </c>
      <c r="C54" s="115" t="s">
        <v>152</v>
      </c>
      <c r="D54" s="56"/>
      <c r="E54" s="56"/>
      <c r="F54" s="56"/>
      <c r="G54" s="56"/>
      <c r="H54" s="56"/>
      <c r="I54" s="56" t="s">
        <v>58</v>
      </c>
      <c r="J54" s="56"/>
      <c r="K54" s="56"/>
      <c r="L54" s="56"/>
      <c r="M54" s="56"/>
      <c r="N54" s="56"/>
      <c r="O54" s="56" t="s">
        <v>60</v>
      </c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47"/>
      <c r="AW54" s="47"/>
      <c r="AX54" s="47"/>
      <c r="AY54" s="47"/>
      <c r="AZ54" s="47"/>
      <c r="BA54" s="47"/>
      <c r="BB54" s="47"/>
      <c r="BC54" s="47"/>
    </row>
    <row r="55" spans="2:55" s="50" customFormat="1" ht="12.95" customHeight="1">
      <c r="B55" s="54">
        <v>49</v>
      </c>
      <c r="C55" s="115" t="s">
        <v>126</v>
      </c>
      <c r="D55" s="56"/>
      <c r="E55" s="56"/>
      <c r="F55" s="56"/>
      <c r="G55" s="56" t="s">
        <v>60</v>
      </c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 t="s">
        <v>60</v>
      </c>
      <c r="W55" s="56"/>
      <c r="X55" s="56"/>
      <c r="Y55" s="56"/>
      <c r="Z55" s="56"/>
      <c r="AA55" s="56"/>
      <c r="AB55" s="56"/>
      <c r="AC55" s="56" t="s">
        <v>58</v>
      </c>
      <c r="AD55" s="56"/>
      <c r="AE55" s="56"/>
      <c r="AF55" s="56"/>
      <c r="AG55" s="56"/>
      <c r="AH55" s="56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47"/>
      <c r="AW55" s="47"/>
      <c r="AX55" s="47"/>
      <c r="AY55" s="47"/>
      <c r="AZ55" s="47"/>
      <c r="BA55" s="47"/>
      <c r="BB55" s="47"/>
      <c r="BC55" s="47"/>
    </row>
    <row r="56" spans="2:55" s="50" customFormat="1" ht="12.95" customHeight="1">
      <c r="B56" s="54">
        <v>50</v>
      </c>
      <c r="C56" s="115" t="s">
        <v>130</v>
      </c>
      <c r="D56" s="56"/>
      <c r="E56" s="56"/>
      <c r="F56" s="56"/>
      <c r="G56" s="56"/>
      <c r="H56" s="56"/>
      <c r="I56" s="56" t="s">
        <v>60</v>
      </c>
      <c r="J56" s="56"/>
      <c r="K56" s="56"/>
      <c r="L56" s="56"/>
      <c r="M56" s="56"/>
      <c r="N56" s="56"/>
      <c r="O56" s="56" t="s">
        <v>58</v>
      </c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 t="s">
        <v>58</v>
      </c>
      <c r="AF56" s="56"/>
      <c r="AG56" s="56" t="s">
        <v>59</v>
      </c>
      <c r="AH56" s="56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47"/>
      <c r="AW56" s="47"/>
      <c r="AX56" s="47"/>
      <c r="AY56" s="47"/>
      <c r="AZ56" s="47"/>
      <c r="BA56" s="47"/>
      <c r="BB56" s="47"/>
      <c r="BC56" s="47"/>
    </row>
    <row r="57" spans="2:55" s="50" customFormat="1" ht="12.95" customHeight="1">
      <c r="B57" s="54">
        <v>51</v>
      </c>
      <c r="C57" s="115" t="s">
        <v>123</v>
      </c>
      <c r="D57" s="56"/>
      <c r="E57" s="56"/>
      <c r="F57" s="56"/>
      <c r="G57" s="56"/>
      <c r="H57" s="56"/>
      <c r="I57" s="56" t="s">
        <v>59</v>
      </c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 t="s">
        <v>58</v>
      </c>
      <c r="AC57" s="56"/>
      <c r="AD57" s="56"/>
      <c r="AE57" s="56"/>
      <c r="AF57" s="56"/>
      <c r="AG57" s="56"/>
      <c r="AH57" s="56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47"/>
      <c r="AW57" s="47"/>
      <c r="AX57" s="47"/>
      <c r="AY57" s="47"/>
      <c r="AZ57" s="47"/>
      <c r="BA57" s="47"/>
      <c r="BB57" s="47"/>
      <c r="BC57" s="47"/>
    </row>
    <row r="58" spans="2:55" s="50" customFormat="1" ht="12.95" customHeight="1">
      <c r="B58" s="54">
        <v>52</v>
      </c>
      <c r="C58" s="115" t="s">
        <v>88</v>
      </c>
      <c r="D58" s="56"/>
      <c r="E58" s="56"/>
      <c r="F58" s="56"/>
      <c r="G58" s="56"/>
      <c r="H58" s="56"/>
      <c r="I58" s="56" t="s">
        <v>60</v>
      </c>
      <c r="J58" s="56"/>
      <c r="K58" s="56"/>
      <c r="L58" s="56"/>
      <c r="M58" s="56"/>
      <c r="N58" s="56"/>
      <c r="O58" s="56"/>
      <c r="P58" s="56"/>
      <c r="Q58" s="56"/>
      <c r="R58" s="56" t="s">
        <v>58</v>
      </c>
      <c r="S58" s="56"/>
      <c r="T58" s="56"/>
      <c r="U58" s="56" t="s">
        <v>59</v>
      </c>
      <c r="V58" s="56"/>
      <c r="W58" s="56"/>
      <c r="X58" s="56"/>
      <c r="Y58" s="56"/>
      <c r="Z58" s="56"/>
      <c r="AA58" s="56"/>
      <c r="AB58" s="56"/>
      <c r="AC58" s="61" t="s">
        <v>60</v>
      </c>
      <c r="AD58" s="56"/>
      <c r="AE58" s="56"/>
      <c r="AF58" s="56"/>
      <c r="AG58" s="56"/>
      <c r="AH58" s="56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47"/>
      <c r="AW58" s="47"/>
      <c r="AX58" s="47"/>
      <c r="AY58" s="47"/>
      <c r="AZ58" s="47"/>
      <c r="BA58" s="47"/>
      <c r="BB58" s="47"/>
      <c r="BC58" s="47"/>
    </row>
    <row r="59" spans="2:55" s="50" customFormat="1" ht="12.95" customHeight="1">
      <c r="B59" s="54">
        <v>53</v>
      </c>
      <c r="C59" s="115" t="s">
        <v>89</v>
      </c>
      <c r="D59" s="56"/>
      <c r="E59" s="56"/>
      <c r="F59" s="56"/>
      <c r="G59" s="56" t="s">
        <v>59</v>
      </c>
      <c r="H59" s="56" t="s">
        <v>58</v>
      </c>
      <c r="I59" s="56"/>
      <c r="J59" s="56" t="s">
        <v>59</v>
      </c>
      <c r="K59" s="56"/>
      <c r="L59" s="56" t="s">
        <v>60</v>
      </c>
      <c r="M59" s="56"/>
      <c r="N59" s="56"/>
      <c r="O59" s="56"/>
      <c r="P59" s="56"/>
      <c r="Q59" s="56"/>
      <c r="R59" s="56" t="s">
        <v>58</v>
      </c>
      <c r="S59" s="56"/>
      <c r="T59" s="56"/>
      <c r="U59" s="56" t="s">
        <v>59</v>
      </c>
      <c r="V59" s="56"/>
      <c r="W59" s="56"/>
      <c r="X59" s="56" t="s">
        <v>58</v>
      </c>
      <c r="Y59" s="56"/>
      <c r="Z59" s="56" t="s">
        <v>59</v>
      </c>
      <c r="AA59" s="56"/>
      <c r="AB59" s="56" t="s">
        <v>58</v>
      </c>
      <c r="AC59" s="56"/>
      <c r="AD59" s="56"/>
      <c r="AE59" s="56"/>
      <c r="AF59" s="56"/>
      <c r="AG59" s="56" t="s">
        <v>58</v>
      </c>
      <c r="AH59" s="56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47"/>
      <c r="AW59" s="47"/>
      <c r="AX59" s="47"/>
      <c r="AY59" s="47"/>
      <c r="AZ59" s="47"/>
      <c r="BA59" s="47"/>
      <c r="BB59" s="47"/>
      <c r="BC59" s="47"/>
    </row>
    <row r="60" spans="2:55" s="50" customFormat="1" ht="12.95" customHeight="1">
      <c r="B60" s="54">
        <v>54</v>
      </c>
      <c r="C60" s="115" t="s">
        <v>129</v>
      </c>
      <c r="D60" s="56"/>
      <c r="E60" s="56"/>
      <c r="F60" s="56"/>
      <c r="G60" s="56"/>
      <c r="H60" s="56"/>
      <c r="I60" s="56" t="s">
        <v>58</v>
      </c>
      <c r="J60" s="56"/>
      <c r="K60" s="56"/>
      <c r="L60" s="56"/>
      <c r="M60" s="56"/>
      <c r="N60" s="56"/>
      <c r="O60" s="56"/>
      <c r="P60" s="56" t="s">
        <v>60</v>
      </c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47"/>
      <c r="AW60" s="47"/>
      <c r="AX60" s="47"/>
      <c r="AY60" s="47"/>
      <c r="AZ60" s="47"/>
      <c r="BA60" s="47"/>
      <c r="BB60" s="47"/>
      <c r="BC60" s="47"/>
    </row>
    <row r="61" spans="2:55" s="50" customFormat="1" ht="12.95" customHeight="1">
      <c r="B61" s="54">
        <v>55</v>
      </c>
      <c r="C61" s="115" t="s">
        <v>90</v>
      </c>
      <c r="D61" s="56"/>
      <c r="E61" s="56"/>
      <c r="F61" s="56"/>
      <c r="G61" s="56"/>
      <c r="H61" s="61" t="s">
        <v>60</v>
      </c>
      <c r="I61" s="56"/>
      <c r="J61" s="56" t="s">
        <v>59</v>
      </c>
      <c r="K61" s="56"/>
      <c r="L61" s="56"/>
      <c r="M61" s="56"/>
      <c r="N61" s="56" t="s">
        <v>58</v>
      </c>
      <c r="O61" s="56" t="s">
        <v>59</v>
      </c>
      <c r="P61" s="56"/>
      <c r="Q61" s="56"/>
      <c r="R61" s="56"/>
      <c r="S61" s="56"/>
      <c r="T61" s="56"/>
      <c r="U61" s="56"/>
      <c r="V61" s="56" t="s">
        <v>60</v>
      </c>
      <c r="W61" s="56"/>
      <c r="X61" s="56"/>
      <c r="Y61" s="56"/>
      <c r="Z61" s="56"/>
      <c r="AA61" s="56"/>
      <c r="AB61" s="56" t="s">
        <v>60</v>
      </c>
      <c r="AC61" s="56"/>
      <c r="AD61" s="56"/>
      <c r="AE61" s="56"/>
      <c r="AF61" s="56"/>
      <c r="AG61" s="56"/>
      <c r="AH61" s="56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47"/>
      <c r="AW61" s="47"/>
      <c r="AX61" s="47"/>
      <c r="AY61" s="47"/>
      <c r="AZ61" s="47"/>
      <c r="BA61" s="47"/>
      <c r="BB61" s="47"/>
      <c r="BC61" s="47"/>
    </row>
    <row r="62" spans="2:55" s="50" customFormat="1" ht="12.95" customHeight="1">
      <c r="B62" s="54">
        <v>56</v>
      </c>
      <c r="C62" s="55" t="s">
        <v>127</v>
      </c>
      <c r="D62" s="56"/>
      <c r="E62" s="56"/>
      <c r="F62" s="56"/>
      <c r="G62" s="56"/>
      <c r="H62" s="56"/>
      <c r="I62" s="56" t="s">
        <v>58</v>
      </c>
      <c r="J62" s="56" t="s">
        <v>59</v>
      </c>
      <c r="K62" s="56"/>
      <c r="L62" s="61" t="s">
        <v>60</v>
      </c>
      <c r="M62" s="56"/>
      <c r="N62" s="56"/>
      <c r="O62" s="56"/>
      <c r="P62" s="56"/>
      <c r="Q62" s="56"/>
      <c r="R62" s="56" t="s">
        <v>58</v>
      </c>
      <c r="S62" s="56"/>
      <c r="T62" s="56"/>
      <c r="U62" s="56"/>
      <c r="V62" s="56" t="s">
        <v>115</v>
      </c>
      <c r="W62" s="61" t="s">
        <v>59</v>
      </c>
      <c r="X62" s="56" t="s">
        <v>60</v>
      </c>
      <c r="Y62" s="56" t="s">
        <v>58</v>
      </c>
      <c r="Z62" s="56"/>
      <c r="AA62" s="56"/>
      <c r="AB62" s="56"/>
      <c r="AC62" s="56" t="s">
        <v>59</v>
      </c>
      <c r="AD62" s="56"/>
      <c r="AE62" s="56" t="s">
        <v>58</v>
      </c>
      <c r="AF62" s="56" t="s">
        <v>59</v>
      </c>
      <c r="AG62" s="56"/>
      <c r="AH62" s="67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47"/>
      <c r="AW62" s="47"/>
      <c r="AX62" s="47"/>
      <c r="AY62" s="47"/>
      <c r="AZ62" s="47"/>
      <c r="BA62" s="47"/>
      <c r="BB62" s="47"/>
      <c r="BC62" s="47"/>
    </row>
    <row r="63" spans="2:55" s="50" customFormat="1" ht="12.95" customHeight="1">
      <c r="B63" s="54">
        <v>57</v>
      </c>
      <c r="C63" s="55" t="s">
        <v>91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 t="s">
        <v>58</v>
      </c>
      <c r="AH63" s="67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47"/>
      <c r="AW63" s="47"/>
      <c r="AX63" s="47"/>
      <c r="AY63" s="47"/>
      <c r="AZ63" s="47"/>
      <c r="BA63" s="47"/>
      <c r="BB63" s="47"/>
      <c r="BC63" s="47"/>
    </row>
    <row r="64" spans="2:55" s="50" customFormat="1" ht="12.95" customHeight="1">
      <c r="B64" s="54">
        <v>58</v>
      </c>
      <c r="C64" s="55" t="s">
        <v>92</v>
      </c>
      <c r="D64" s="56"/>
      <c r="E64" s="56"/>
      <c r="F64" s="56"/>
      <c r="G64" s="56" t="s">
        <v>58</v>
      </c>
      <c r="H64" s="56"/>
      <c r="I64" s="56" t="s">
        <v>59</v>
      </c>
      <c r="J64" s="56"/>
      <c r="K64" s="56" t="s">
        <v>59</v>
      </c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 t="s">
        <v>58</v>
      </c>
      <c r="W64" s="56"/>
      <c r="X64" s="56"/>
      <c r="Y64" s="56"/>
      <c r="Z64" s="56"/>
      <c r="AA64" s="56"/>
      <c r="AB64" s="56" t="s">
        <v>58</v>
      </c>
      <c r="AC64" s="56" t="s">
        <v>59</v>
      </c>
      <c r="AD64" s="56"/>
      <c r="AE64" s="56"/>
      <c r="AF64" s="56"/>
      <c r="AG64" s="56" t="s">
        <v>59</v>
      </c>
      <c r="AH64" s="67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47"/>
      <c r="AW64" s="47"/>
      <c r="AX64" s="47"/>
      <c r="AY64" s="47"/>
      <c r="AZ64" s="47"/>
      <c r="BA64" s="47"/>
      <c r="BB64" s="47"/>
      <c r="BC64" s="47"/>
    </row>
    <row r="65" spans="2:56" s="50" customFormat="1" ht="12.95" customHeight="1">
      <c r="B65" s="54">
        <v>59</v>
      </c>
      <c r="C65" s="55" t="s">
        <v>119</v>
      </c>
      <c r="D65" s="56"/>
      <c r="E65" s="56"/>
      <c r="F65" s="56"/>
      <c r="G65" s="56"/>
      <c r="H65" s="56"/>
      <c r="I65" s="56" t="s">
        <v>58</v>
      </c>
      <c r="J65" s="56"/>
      <c r="K65" s="56"/>
      <c r="L65" s="56"/>
      <c r="M65" s="56"/>
      <c r="N65" s="56" t="s">
        <v>59</v>
      </c>
      <c r="O65" s="56" t="s">
        <v>115</v>
      </c>
      <c r="P65" s="56"/>
      <c r="Q65" s="56"/>
      <c r="R65" s="56" t="s">
        <v>59</v>
      </c>
      <c r="S65" s="56"/>
      <c r="T65" s="56"/>
      <c r="U65" s="56"/>
      <c r="V65" s="56"/>
      <c r="W65" s="56" t="s">
        <v>58</v>
      </c>
      <c r="X65" s="56"/>
      <c r="Y65" s="56"/>
      <c r="Z65" s="56"/>
      <c r="AA65" s="56"/>
      <c r="AB65" s="56"/>
      <c r="AC65" s="56"/>
      <c r="AD65" s="56"/>
      <c r="AE65" s="56"/>
      <c r="AF65" s="56" t="s">
        <v>60</v>
      </c>
      <c r="AG65" s="56"/>
      <c r="AH65" s="67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47"/>
      <c r="AW65" s="47"/>
      <c r="AX65" s="47"/>
      <c r="AY65" s="47"/>
      <c r="AZ65" s="47"/>
      <c r="BA65" s="47"/>
      <c r="BB65" s="47"/>
      <c r="BC65" s="47"/>
    </row>
    <row r="66" spans="2:56" s="50" customFormat="1" ht="12.95" customHeight="1">
      <c r="B66" s="54">
        <v>60</v>
      </c>
      <c r="C66" s="55" t="s">
        <v>93</v>
      </c>
      <c r="D66" s="56"/>
      <c r="E66" s="56"/>
      <c r="F66" s="56"/>
      <c r="G66" s="56"/>
      <c r="H66" s="56" t="s">
        <v>58</v>
      </c>
      <c r="I66" s="56"/>
      <c r="J66" s="56" t="s">
        <v>59</v>
      </c>
      <c r="K66" s="56"/>
      <c r="L66" s="56"/>
      <c r="M66" s="56"/>
      <c r="N66" s="56"/>
      <c r="O66" s="56" t="s">
        <v>60</v>
      </c>
      <c r="P66" s="56"/>
      <c r="Q66" s="56"/>
      <c r="R66" s="56"/>
      <c r="S66" s="56"/>
      <c r="T66" s="56"/>
      <c r="U66" s="56" t="s">
        <v>58</v>
      </c>
      <c r="V66" s="56" t="s">
        <v>59</v>
      </c>
      <c r="W66" s="56"/>
      <c r="X66" s="56"/>
      <c r="Y66" s="56"/>
      <c r="Z66" s="56" t="s">
        <v>58</v>
      </c>
      <c r="AA66" s="56"/>
      <c r="AB66" s="56" t="s">
        <v>58</v>
      </c>
      <c r="AC66" s="56"/>
      <c r="AD66" s="56"/>
      <c r="AE66" s="56"/>
      <c r="AF66" s="56"/>
      <c r="AG66" s="56" t="s">
        <v>58</v>
      </c>
      <c r="AH66" s="67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47"/>
      <c r="AW66" s="47"/>
      <c r="AX66" s="47"/>
      <c r="AY66" s="47"/>
      <c r="AZ66" s="47"/>
      <c r="BA66" s="47"/>
      <c r="BB66" s="47"/>
      <c r="BC66" s="47"/>
    </row>
    <row r="67" spans="2:56" s="50" customFormat="1" ht="12.95" customHeight="1">
      <c r="B67" s="54">
        <v>61</v>
      </c>
      <c r="C67" s="55" t="s">
        <v>94</v>
      </c>
      <c r="D67" s="56"/>
      <c r="E67" s="56"/>
      <c r="F67" s="56"/>
      <c r="G67" s="56"/>
      <c r="H67" s="56"/>
      <c r="I67" s="56"/>
      <c r="J67" s="56" t="s">
        <v>58</v>
      </c>
      <c r="K67" s="56"/>
      <c r="L67" s="56"/>
      <c r="M67" s="56"/>
      <c r="N67" s="56"/>
      <c r="O67" s="56" t="s">
        <v>60</v>
      </c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 t="s">
        <v>58</v>
      </c>
      <c r="AH67" s="67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47"/>
      <c r="AW67" s="47"/>
      <c r="AX67" s="47"/>
      <c r="AY67" s="47"/>
      <c r="AZ67" s="47"/>
      <c r="BA67" s="47"/>
      <c r="BB67" s="47"/>
      <c r="BC67" s="47"/>
    </row>
    <row r="68" spans="2:56" s="50" customFormat="1" ht="12.95" customHeight="1">
      <c r="B68" s="54">
        <v>62</v>
      </c>
      <c r="C68" s="55" t="s">
        <v>124</v>
      </c>
      <c r="D68" s="56"/>
      <c r="E68" s="56"/>
      <c r="F68" s="56"/>
      <c r="G68" s="56"/>
      <c r="H68" s="56"/>
      <c r="I68" s="56"/>
      <c r="J68" s="56"/>
      <c r="K68" s="56" t="s">
        <v>60</v>
      </c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67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47"/>
      <c r="AW68" s="47"/>
      <c r="AX68" s="47"/>
      <c r="AY68" s="47"/>
      <c r="AZ68" s="47"/>
      <c r="BA68" s="47"/>
      <c r="BB68" s="47"/>
      <c r="BC68" s="47"/>
    </row>
    <row r="69" spans="2:56" s="50" customFormat="1" ht="12.95" customHeight="1">
      <c r="B69" s="54">
        <v>63</v>
      </c>
      <c r="C69" s="55" t="s">
        <v>107</v>
      </c>
      <c r="D69" s="56"/>
      <c r="E69" s="61"/>
      <c r="F69" s="56"/>
      <c r="G69" s="56"/>
      <c r="H69" s="56" t="s">
        <v>60</v>
      </c>
      <c r="I69" s="56"/>
      <c r="J69" s="56"/>
      <c r="K69" s="56"/>
      <c r="L69" s="56"/>
      <c r="M69" s="56"/>
      <c r="N69" s="56"/>
      <c r="O69" s="56"/>
      <c r="P69" s="56"/>
      <c r="Q69" s="56"/>
      <c r="R69" s="56" t="s">
        <v>58</v>
      </c>
      <c r="S69" s="56"/>
      <c r="T69" s="56"/>
      <c r="U69" s="56" t="s">
        <v>59</v>
      </c>
      <c r="V69" s="56"/>
      <c r="W69" s="56"/>
      <c r="X69" s="56"/>
      <c r="Y69" s="56"/>
      <c r="Z69" s="56"/>
      <c r="AA69" s="56"/>
      <c r="AB69" s="56" t="s">
        <v>58</v>
      </c>
      <c r="AC69" s="56"/>
      <c r="AD69" s="56"/>
      <c r="AE69" s="56"/>
      <c r="AF69" s="56"/>
      <c r="AG69" s="56"/>
      <c r="AH69" s="67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47"/>
      <c r="AW69" s="47"/>
      <c r="AX69" s="47"/>
      <c r="AY69" s="47"/>
      <c r="AZ69" s="47"/>
      <c r="BA69" s="47"/>
      <c r="BB69" s="47"/>
      <c r="BC69" s="47"/>
    </row>
    <row r="70" spans="2:56" s="50" customFormat="1" ht="12.95" customHeight="1">
      <c r="B70" s="54">
        <v>64</v>
      </c>
      <c r="C70" s="55" t="s">
        <v>95</v>
      </c>
      <c r="D70" s="56"/>
      <c r="E70" s="56"/>
      <c r="F70" s="56"/>
      <c r="G70" s="56"/>
      <c r="H70" s="56"/>
      <c r="I70" s="56"/>
      <c r="J70" s="56" t="s">
        <v>58</v>
      </c>
      <c r="K70" s="56"/>
      <c r="L70" s="56" t="s">
        <v>59</v>
      </c>
      <c r="M70" s="61"/>
      <c r="N70" s="56"/>
      <c r="O70" s="56"/>
      <c r="P70" s="56"/>
      <c r="Q70" s="56"/>
      <c r="R70" s="56"/>
      <c r="S70" s="56"/>
      <c r="T70" s="56"/>
      <c r="U70" s="56"/>
      <c r="V70" s="56"/>
      <c r="W70" s="56" t="s">
        <v>58</v>
      </c>
      <c r="X70" s="56"/>
      <c r="Y70" s="56"/>
      <c r="Z70" s="56"/>
      <c r="AA70" s="56"/>
      <c r="AB70" s="56" t="s">
        <v>58</v>
      </c>
      <c r="AC70" s="56" t="s">
        <v>59</v>
      </c>
      <c r="AD70" s="56"/>
      <c r="AE70" s="56"/>
      <c r="AF70" s="56"/>
      <c r="AG70" s="56" t="s">
        <v>58</v>
      </c>
      <c r="AH70" s="67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47"/>
      <c r="AW70" s="47"/>
      <c r="AX70" s="47"/>
      <c r="AY70" s="47"/>
      <c r="AZ70" s="47"/>
      <c r="BA70" s="47"/>
      <c r="BB70" s="47"/>
      <c r="BC70" s="47"/>
    </row>
    <row r="71" spans="2:56" s="50" customFormat="1" ht="12.95" customHeight="1">
      <c r="B71" s="54">
        <v>65</v>
      </c>
      <c r="C71" s="64" t="s">
        <v>154</v>
      </c>
      <c r="D71" s="56"/>
      <c r="E71" s="56"/>
      <c r="F71" s="56"/>
      <c r="G71" s="56" t="s">
        <v>58</v>
      </c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47"/>
      <c r="AX71" s="47"/>
      <c r="AY71" s="47"/>
      <c r="AZ71" s="47"/>
      <c r="BA71" s="47"/>
      <c r="BB71" s="47"/>
      <c r="BC71" s="47"/>
      <c r="BD71" s="47"/>
    </row>
    <row r="72" spans="2:56" s="50" customFormat="1" ht="12.95" customHeight="1">
      <c r="B72" s="54">
        <v>66</v>
      </c>
      <c r="C72" s="69" t="s">
        <v>156</v>
      </c>
      <c r="D72" s="56"/>
      <c r="E72" s="56"/>
      <c r="F72" s="56"/>
      <c r="G72" s="56"/>
      <c r="H72" s="56"/>
      <c r="I72" s="56"/>
      <c r="J72" s="56"/>
      <c r="K72" s="56" t="s">
        <v>60</v>
      </c>
      <c r="L72" s="56" t="s">
        <v>59</v>
      </c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 t="s">
        <v>58</v>
      </c>
      <c r="AG72" s="56"/>
      <c r="AH72" s="56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47"/>
      <c r="AX72" s="47"/>
      <c r="AY72" s="47"/>
      <c r="AZ72" s="47"/>
      <c r="BA72" s="47"/>
      <c r="BB72" s="47"/>
      <c r="BC72" s="47"/>
      <c r="BD72" s="47"/>
    </row>
    <row r="73" spans="2:56" s="50" customFormat="1" ht="12.95" customHeight="1">
      <c r="B73" s="54">
        <v>67</v>
      </c>
      <c r="C73" s="64" t="s">
        <v>121</v>
      </c>
      <c r="D73" s="56"/>
      <c r="E73" s="56"/>
      <c r="F73" s="56"/>
      <c r="G73" s="56"/>
      <c r="H73" s="56" t="s">
        <v>59</v>
      </c>
      <c r="I73" s="56"/>
      <c r="J73" s="56"/>
      <c r="K73" s="56"/>
      <c r="L73" s="56"/>
      <c r="M73" s="56"/>
      <c r="N73" s="56" t="s">
        <v>58</v>
      </c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 t="s">
        <v>59</v>
      </c>
      <c r="AA73" s="56"/>
      <c r="AB73" s="56"/>
      <c r="AC73" s="56"/>
      <c r="AD73" s="56"/>
      <c r="AE73" s="56"/>
      <c r="AF73" s="56" t="s">
        <v>60</v>
      </c>
      <c r="AG73" s="56"/>
      <c r="AH73" s="56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47"/>
      <c r="AX73" s="47"/>
      <c r="AY73" s="47"/>
      <c r="AZ73" s="47"/>
      <c r="BA73" s="47"/>
      <c r="BB73" s="47"/>
      <c r="BC73" s="47"/>
      <c r="BD73" s="47"/>
    </row>
    <row r="74" spans="2:56" s="50" customFormat="1" ht="12.95" customHeight="1">
      <c r="B74" s="54">
        <v>68</v>
      </c>
      <c r="C74" s="69" t="s">
        <v>158</v>
      </c>
      <c r="D74" s="56"/>
      <c r="E74" s="56"/>
      <c r="F74" s="56"/>
      <c r="G74" s="56"/>
      <c r="H74" s="56"/>
      <c r="I74" s="56"/>
      <c r="J74" s="56"/>
      <c r="K74" s="56" t="s">
        <v>58</v>
      </c>
      <c r="L74" s="56" t="s">
        <v>59</v>
      </c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47"/>
      <c r="AX74" s="47"/>
      <c r="AY74" s="47"/>
      <c r="AZ74" s="47"/>
      <c r="BA74" s="47"/>
      <c r="BB74" s="47"/>
      <c r="BC74" s="47"/>
      <c r="BD74" s="47"/>
    </row>
    <row r="75" spans="2:56" s="50" customFormat="1" ht="12.95" customHeight="1">
      <c r="B75" s="54">
        <v>69</v>
      </c>
      <c r="C75" s="55" t="s">
        <v>109</v>
      </c>
      <c r="D75" s="56"/>
      <c r="E75" s="56"/>
      <c r="F75" s="56"/>
      <c r="G75" s="56"/>
      <c r="H75" s="56"/>
      <c r="I75" s="56" t="s">
        <v>58</v>
      </c>
      <c r="J75" s="56"/>
      <c r="K75" s="56"/>
      <c r="L75" s="56" t="s">
        <v>58</v>
      </c>
      <c r="M75" s="56"/>
      <c r="N75" s="56"/>
      <c r="O75" s="56"/>
      <c r="P75" s="56" t="s">
        <v>58</v>
      </c>
      <c r="Q75" s="56"/>
      <c r="R75" s="56" t="s">
        <v>58</v>
      </c>
      <c r="S75" s="56" t="s">
        <v>59</v>
      </c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47"/>
      <c r="AX75" s="47"/>
      <c r="AY75" s="47"/>
      <c r="AZ75" s="47"/>
      <c r="BA75" s="47"/>
      <c r="BB75" s="47"/>
      <c r="BC75" s="47"/>
      <c r="BD75" s="47"/>
    </row>
    <row r="76" spans="2:56" s="50" customFormat="1" ht="12.95" hidden="1" customHeight="1">
      <c r="B76" s="54">
        <v>80</v>
      </c>
      <c r="C76" s="55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47"/>
      <c r="AX76" s="47"/>
      <c r="AY76" s="47"/>
      <c r="AZ76" s="47"/>
      <c r="BA76" s="47"/>
      <c r="BB76" s="47"/>
      <c r="BC76" s="47"/>
      <c r="BD76" s="47"/>
    </row>
    <row r="77" spans="2:56" s="50" customFormat="1" ht="12.95" hidden="1" customHeight="1">
      <c r="B77" s="54">
        <v>81</v>
      </c>
      <c r="C77" s="55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47"/>
      <c r="AX77" s="47"/>
      <c r="AY77" s="47"/>
      <c r="AZ77" s="47"/>
      <c r="BA77" s="47"/>
      <c r="BB77" s="47"/>
      <c r="BC77" s="47"/>
      <c r="BD77" s="47"/>
    </row>
    <row r="78" spans="2:56" s="50" customFormat="1" ht="12.95" hidden="1" customHeight="1">
      <c r="B78" s="54">
        <v>82</v>
      </c>
      <c r="C78" s="55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61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47"/>
      <c r="AX78" s="47"/>
      <c r="AY78" s="47"/>
      <c r="AZ78" s="47"/>
      <c r="BA78" s="47"/>
      <c r="BB78" s="47"/>
      <c r="BC78" s="47"/>
      <c r="BD78" s="47"/>
    </row>
    <row r="79" spans="2:56" s="50" customFormat="1" ht="12.95" hidden="1" customHeight="1">
      <c r="B79" s="54">
        <v>83</v>
      </c>
      <c r="C79" s="55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47"/>
      <c r="AX79" s="47"/>
      <c r="AY79" s="47"/>
      <c r="AZ79" s="47"/>
      <c r="BA79" s="47"/>
      <c r="BB79" s="47"/>
      <c r="BC79" s="47"/>
      <c r="BD79" s="47"/>
    </row>
    <row r="80" spans="2:56" s="50" customFormat="1" ht="12.95" hidden="1" customHeight="1">
      <c r="B80" s="54">
        <v>84</v>
      </c>
      <c r="C80" s="55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47"/>
      <c r="AX80" s="47"/>
      <c r="AY80" s="47"/>
      <c r="AZ80" s="47"/>
      <c r="BA80" s="47"/>
      <c r="BB80" s="47"/>
      <c r="BC80" s="47"/>
      <c r="BD80" s="47"/>
    </row>
    <row r="81" spans="2:56" s="50" customFormat="1" ht="12.95" hidden="1" customHeight="1">
      <c r="B81" s="54">
        <v>85</v>
      </c>
      <c r="C81" s="55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47"/>
      <c r="AX81" s="47"/>
      <c r="AY81" s="47"/>
      <c r="AZ81" s="47"/>
      <c r="BA81" s="47"/>
      <c r="BB81" s="47"/>
      <c r="BC81" s="47"/>
      <c r="BD81" s="47"/>
    </row>
    <row r="82" spans="2:56" s="50" customFormat="1" ht="12.95" hidden="1" customHeight="1">
      <c r="B82" s="54">
        <v>86</v>
      </c>
      <c r="C82" s="55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47"/>
      <c r="AX82" s="47"/>
      <c r="AY82" s="47"/>
      <c r="AZ82" s="47"/>
      <c r="BA82" s="47"/>
      <c r="BB82" s="47"/>
      <c r="BC82" s="47"/>
      <c r="BD82" s="47"/>
    </row>
    <row r="83" spans="2:56" s="50" customFormat="1" ht="12.95" hidden="1" customHeight="1">
      <c r="B83" s="54">
        <v>87</v>
      </c>
      <c r="C83" s="55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47"/>
      <c r="AX83" s="47"/>
      <c r="AY83" s="47"/>
      <c r="AZ83" s="47"/>
      <c r="BA83" s="47"/>
      <c r="BB83" s="47"/>
      <c r="BC83" s="47"/>
      <c r="BD83" s="47"/>
    </row>
    <row r="84" spans="2:56" s="50" customFormat="1" ht="12.95" hidden="1" customHeight="1">
      <c r="B84" s="54">
        <v>88</v>
      </c>
      <c r="C84" s="55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47"/>
      <c r="AX84" s="47"/>
      <c r="AY84" s="47"/>
      <c r="AZ84" s="47"/>
      <c r="BA84" s="47"/>
      <c r="BB84" s="47"/>
      <c r="BC84" s="47"/>
      <c r="BD84" s="47"/>
    </row>
    <row r="85" spans="2:56" s="50" customFormat="1" ht="12.95" hidden="1" customHeight="1">
      <c r="B85" s="54">
        <v>89</v>
      </c>
      <c r="C85" s="55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47"/>
      <c r="AX85" s="47"/>
      <c r="AY85" s="47"/>
      <c r="AZ85" s="47"/>
      <c r="BA85" s="47"/>
      <c r="BB85" s="47"/>
      <c r="BC85" s="47"/>
      <c r="BD85" s="47"/>
    </row>
    <row r="86" spans="2:56" s="50" customFormat="1" ht="12.95" hidden="1" customHeight="1">
      <c r="B86" s="54">
        <v>90</v>
      </c>
      <c r="C86" s="55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47"/>
      <c r="AX86" s="47"/>
      <c r="AY86" s="47"/>
      <c r="AZ86" s="47"/>
      <c r="BA86" s="47"/>
      <c r="BB86" s="47"/>
      <c r="BC86" s="47"/>
      <c r="BD86" s="47"/>
    </row>
    <row r="87" spans="2:56" s="50" customFormat="1" ht="12.95" hidden="1" customHeight="1">
      <c r="B87" s="54">
        <v>91</v>
      </c>
      <c r="C87" s="55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47"/>
      <c r="AX87" s="47"/>
      <c r="AY87" s="47"/>
      <c r="AZ87" s="47"/>
      <c r="BA87" s="47"/>
      <c r="BB87" s="47"/>
      <c r="BC87" s="47"/>
      <c r="BD87" s="47"/>
    </row>
    <row r="88" spans="2:56" s="50" customFormat="1" ht="12.95" hidden="1" customHeight="1">
      <c r="B88" s="54">
        <v>92</v>
      </c>
      <c r="C88" s="55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47"/>
      <c r="AX88" s="47"/>
      <c r="AY88" s="47"/>
      <c r="AZ88" s="47"/>
      <c r="BA88" s="47"/>
      <c r="BB88" s="47"/>
      <c r="BC88" s="47"/>
      <c r="BD88" s="47"/>
    </row>
    <row r="89" spans="2:56" s="50" customFormat="1" ht="12.95" hidden="1" customHeight="1">
      <c r="B89" s="54">
        <v>93</v>
      </c>
      <c r="C89" s="55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47"/>
      <c r="AX89" s="47"/>
      <c r="AY89" s="47"/>
      <c r="AZ89" s="47"/>
      <c r="BA89" s="47"/>
      <c r="BB89" s="47"/>
      <c r="BC89" s="47"/>
      <c r="BD89" s="47"/>
    </row>
    <row r="90" spans="2:56" s="50" customFormat="1" ht="12.95" hidden="1" customHeight="1">
      <c r="B90" s="54">
        <v>94</v>
      </c>
      <c r="C90" s="55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47"/>
      <c r="AX90" s="47"/>
      <c r="AY90" s="47"/>
      <c r="AZ90" s="47"/>
      <c r="BA90" s="47"/>
      <c r="BB90" s="47"/>
      <c r="BC90" s="47"/>
      <c r="BD90" s="47"/>
    </row>
    <row r="91" spans="2:56" s="50" customFormat="1" ht="12.95" hidden="1" customHeight="1">
      <c r="B91" s="54">
        <v>95</v>
      </c>
      <c r="C91" s="55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47"/>
      <c r="AX91" s="47"/>
      <c r="AY91" s="47"/>
      <c r="AZ91" s="47"/>
      <c r="BA91" s="47"/>
      <c r="BB91" s="47"/>
      <c r="BC91" s="47"/>
      <c r="BD91" s="47"/>
    </row>
    <row r="92" spans="2:56" s="50" customFormat="1" ht="12.95" hidden="1" customHeight="1">
      <c r="B92" s="54">
        <v>96</v>
      </c>
      <c r="C92" s="55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61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47"/>
      <c r="AX92" s="47"/>
      <c r="AY92" s="47"/>
      <c r="AZ92" s="47"/>
      <c r="BA92" s="47"/>
      <c r="BB92" s="47"/>
      <c r="BC92" s="47"/>
      <c r="BD92" s="47"/>
    </row>
    <row r="93" spans="2:56" s="50" customFormat="1" ht="12.95" hidden="1" customHeight="1">
      <c r="B93" s="54">
        <v>97</v>
      </c>
      <c r="C93" s="55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47"/>
      <c r="AX93" s="47"/>
      <c r="AY93" s="47"/>
      <c r="AZ93" s="47"/>
      <c r="BA93" s="47"/>
      <c r="BB93" s="47"/>
      <c r="BC93" s="47"/>
      <c r="BD93" s="47"/>
    </row>
    <row r="94" spans="2:56" s="50" customFormat="1" ht="12.95" hidden="1" customHeight="1">
      <c r="B94" s="54">
        <v>98</v>
      </c>
      <c r="C94" s="55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47"/>
      <c r="AX94" s="47"/>
      <c r="AY94" s="47"/>
      <c r="AZ94" s="47"/>
      <c r="BA94" s="47"/>
      <c r="BB94" s="47"/>
      <c r="BC94" s="47"/>
      <c r="BD94" s="47"/>
    </row>
    <row r="95" spans="2:56" s="50" customFormat="1" ht="12.95" hidden="1" customHeight="1">
      <c r="B95" s="54">
        <v>99</v>
      </c>
      <c r="C95" s="55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47"/>
      <c r="AX95" s="47"/>
      <c r="AY95" s="47"/>
      <c r="AZ95" s="47"/>
      <c r="BA95" s="47"/>
      <c r="BB95" s="47"/>
      <c r="BC95" s="47"/>
      <c r="BD95" s="47"/>
    </row>
    <row r="96" spans="2:56" s="50" customFormat="1" ht="12.95" hidden="1" customHeight="1">
      <c r="B96" s="54">
        <v>100</v>
      </c>
      <c r="C96" s="55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61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47"/>
      <c r="AX96" s="47"/>
      <c r="AY96" s="47"/>
      <c r="AZ96" s="47"/>
      <c r="BA96" s="47"/>
      <c r="BB96" s="47"/>
      <c r="BC96" s="47"/>
      <c r="BD96" s="47"/>
    </row>
    <row r="97" spans="2:56" s="50" customFormat="1" ht="12.95" hidden="1" customHeight="1">
      <c r="B97" s="54">
        <v>101</v>
      </c>
      <c r="C97" s="55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47"/>
      <c r="AX97" s="47"/>
      <c r="AY97" s="47"/>
      <c r="AZ97" s="47"/>
      <c r="BA97" s="47"/>
      <c r="BB97" s="47"/>
      <c r="BC97" s="47"/>
      <c r="BD97" s="47"/>
    </row>
    <row r="98" spans="2:56" s="50" customFormat="1" ht="12.95" hidden="1" customHeight="1">
      <c r="B98" s="54">
        <v>102</v>
      </c>
      <c r="C98" s="55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47"/>
      <c r="AX98" s="47"/>
      <c r="AY98" s="47"/>
      <c r="AZ98" s="47"/>
      <c r="BA98" s="47"/>
      <c r="BB98" s="47"/>
      <c r="BC98" s="47"/>
      <c r="BD98" s="47"/>
    </row>
    <row r="99" spans="2:56" s="50" customFormat="1" ht="12.95" hidden="1" customHeight="1">
      <c r="B99" s="54">
        <v>103</v>
      </c>
      <c r="C99" s="55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47"/>
      <c r="AX99" s="47"/>
      <c r="AY99" s="47"/>
      <c r="AZ99" s="47"/>
      <c r="BA99" s="47"/>
      <c r="BB99" s="47"/>
      <c r="BC99" s="47"/>
      <c r="BD99" s="47"/>
    </row>
    <row r="100" spans="2:56" s="50" customFormat="1" ht="12.95" hidden="1" customHeight="1">
      <c r="B100" s="54">
        <v>104</v>
      </c>
      <c r="C100" s="55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47"/>
      <c r="AX100" s="47"/>
      <c r="AY100" s="47"/>
      <c r="AZ100" s="47"/>
      <c r="BA100" s="47"/>
      <c r="BB100" s="47"/>
      <c r="BC100" s="47"/>
      <c r="BD100" s="47"/>
    </row>
    <row r="101" spans="2:56" s="50" customFormat="1" ht="12.95" hidden="1" customHeight="1">
      <c r="B101" s="54">
        <v>105</v>
      </c>
      <c r="C101" s="55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47"/>
      <c r="AX101" s="47"/>
      <c r="AY101" s="47"/>
      <c r="AZ101" s="47"/>
      <c r="BA101" s="47"/>
      <c r="BB101" s="47"/>
      <c r="BC101" s="47"/>
      <c r="BD101" s="47"/>
    </row>
    <row r="102" spans="2:56" s="50" customFormat="1" ht="12.95" hidden="1" customHeight="1">
      <c r="B102" s="54">
        <v>106</v>
      </c>
      <c r="C102" s="55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47"/>
      <c r="AX102" s="47"/>
      <c r="AY102" s="47"/>
      <c r="AZ102" s="47"/>
      <c r="BA102" s="47"/>
      <c r="BB102" s="47"/>
      <c r="BC102" s="47"/>
      <c r="BD102" s="47"/>
    </row>
    <row r="103" spans="2:56" s="50" customFormat="1" ht="12.95" hidden="1" customHeight="1">
      <c r="B103" s="54">
        <v>107</v>
      </c>
      <c r="C103" s="55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47"/>
      <c r="AX103" s="47"/>
      <c r="AY103" s="47"/>
      <c r="AZ103" s="47"/>
      <c r="BA103" s="47"/>
      <c r="BB103" s="47"/>
      <c r="BC103" s="47"/>
      <c r="BD103" s="47"/>
    </row>
    <row r="104" spans="2:56" s="50" customFormat="1" ht="12.95" hidden="1" customHeight="1">
      <c r="B104" s="54">
        <v>108</v>
      </c>
      <c r="C104" s="55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47"/>
      <c r="AX104" s="47"/>
      <c r="AY104" s="47"/>
      <c r="AZ104" s="47"/>
      <c r="BA104" s="47"/>
      <c r="BB104" s="47"/>
      <c r="BC104" s="47"/>
      <c r="BD104" s="47"/>
    </row>
    <row r="105" spans="2:56" s="50" customFormat="1" ht="12.95" hidden="1" customHeight="1">
      <c r="B105" s="54">
        <v>109</v>
      </c>
      <c r="C105" s="55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47"/>
      <c r="AX105" s="47"/>
      <c r="AY105" s="47"/>
      <c r="AZ105" s="47"/>
      <c r="BA105" s="47"/>
      <c r="BB105" s="47"/>
      <c r="BC105" s="47"/>
      <c r="BD105" s="47"/>
    </row>
    <row r="106" spans="2:56" s="50" customFormat="1" ht="12.95" hidden="1" customHeight="1">
      <c r="B106" s="54">
        <v>110</v>
      </c>
      <c r="C106" s="55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47"/>
      <c r="AX106" s="47"/>
      <c r="AY106" s="47"/>
      <c r="AZ106" s="47"/>
      <c r="BA106" s="47"/>
      <c r="BB106" s="47"/>
      <c r="BC106" s="47"/>
      <c r="BD106" s="47"/>
    </row>
    <row r="107" spans="2:56" s="50" customFormat="1" ht="12.95" hidden="1" customHeight="1">
      <c r="B107" s="54">
        <v>111</v>
      </c>
      <c r="C107" s="55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47"/>
      <c r="AX107" s="47"/>
      <c r="AY107" s="47"/>
      <c r="AZ107" s="47"/>
      <c r="BA107" s="47"/>
      <c r="BB107" s="47"/>
      <c r="BC107" s="47"/>
      <c r="BD107" s="47"/>
    </row>
    <row r="108" spans="2:56" s="50" customFormat="1" ht="12.95" hidden="1" customHeight="1">
      <c r="B108" s="54">
        <v>112</v>
      </c>
      <c r="C108" s="55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47"/>
      <c r="AX108" s="47"/>
      <c r="AY108" s="47"/>
      <c r="AZ108" s="47"/>
      <c r="BA108" s="47"/>
      <c r="BB108" s="47"/>
      <c r="BC108" s="47"/>
      <c r="BD108" s="47"/>
    </row>
    <row r="109" spans="2:56" s="50" customFormat="1" ht="12.95" hidden="1" customHeight="1">
      <c r="B109" s="54">
        <v>113</v>
      </c>
      <c r="C109" s="55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47"/>
      <c r="AX109" s="47"/>
      <c r="AY109" s="47"/>
      <c r="AZ109" s="47"/>
      <c r="BA109" s="47"/>
      <c r="BB109" s="47"/>
      <c r="BC109" s="47"/>
      <c r="BD109" s="47"/>
    </row>
    <row r="110" spans="2:56" s="50" customFormat="1" ht="12.95" hidden="1" customHeight="1">
      <c r="B110" s="54">
        <v>114</v>
      </c>
      <c r="C110" s="55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47"/>
      <c r="AX110" s="47"/>
      <c r="AY110" s="47"/>
      <c r="AZ110" s="47"/>
      <c r="BA110" s="47"/>
      <c r="BB110" s="47"/>
      <c r="BC110" s="47"/>
      <c r="BD110" s="47"/>
    </row>
    <row r="111" spans="2:56" s="50" customFormat="1" ht="12.95" hidden="1" customHeight="1">
      <c r="B111" s="54">
        <v>115</v>
      </c>
      <c r="C111" s="55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47"/>
      <c r="AX111" s="47"/>
      <c r="AY111" s="47"/>
      <c r="AZ111" s="47"/>
      <c r="BA111" s="47"/>
      <c r="BB111" s="47"/>
      <c r="BC111" s="47"/>
      <c r="BD111" s="47"/>
    </row>
    <row r="112" spans="2:56" s="50" customFormat="1" ht="12.95" hidden="1" customHeight="1">
      <c r="B112" s="54">
        <v>116</v>
      </c>
      <c r="C112" s="55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47"/>
      <c r="AX112" s="47"/>
      <c r="AY112" s="47"/>
      <c r="AZ112" s="47"/>
      <c r="BA112" s="47"/>
      <c r="BB112" s="47"/>
      <c r="BC112" s="47"/>
      <c r="BD112" s="47"/>
    </row>
    <row r="113" spans="2:56" s="50" customFormat="1" ht="12.95" hidden="1" customHeight="1">
      <c r="B113" s="54">
        <v>117</v>
      </c>
      <c r="C113" s="55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47"/>
      <c r="AX113" s="47"/>
      <c r="AY113" s="47"/>
      <c r="AZ113" s="47"/>
      <c r="BA113" s="47"/>
      <c r="BB113" s="47"/>
      <c r="BC113" s="47"/>
      <c r="BD113" s="47"/>
    </row>
    <row r="114" spans="2:56" s="50" customFormat="1" ht="12.95" hidden="1" customHeight="1">
      <c r="B114" s="54">
        <v>118</v>
      </c>
      <c r="C114" s="63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47"/>
      <c r="AX114" s="47"/>
      <c r="AY114" s="47"/>
      <c r="AZ114" s="47"/>
      <c r="BA114" s="47"/>
      <c r="BB114" s="47"/>
      <c r="BC114" s="47"/>
      <c r="BD114" s="47"/>
    </row>
    <row r="115" spans="2:56" s="50" customFormat="1" ht="12.95" hidden="1" customHeight="1">
      <c r="B115" s="54">
        <v>119</v>
      </c>
      <c r="C115" s="55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47"/>
      <c r="AX115" s="47"/>
      <c r="AY115" s="47"/>
      <c r="AZ115" s="47"/>
      <c r="BA115" s="47"/>
      <c r="BB115" s="47"/>
      <c r="BC115" s="47"/>
      <c r="BD115" s="47"/>
    </row>
    <row r="116" spans="2:56" s="50" customFormat="1" ht="12.95" hidden="1" customHeight="1">
      <c r="B116" s="54">
        <v>120</v>
      </c>
      <c r="C116" s="55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47"/>
      <c r="AX116" s="47"/>
      <c r="AY116" s="47"/>
      <c r="AZ116" s="47"/>
      <c r="BA116" s="47"/>
      <c r="BB116" s="47"/>
      <c r="BC116" s="47"/>
      <c r="BD116" s="47"/>
    </row>
    <row r="117" spans="2:56" s="50" customFormat="1" ht="12.95" hidden="1" customHeight="1">
      <c r="B117" s="54">
        <v>121</v>
      </c>
      <c r="C117" s="55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47"/>
      <c r="AX117" s="47"/>
      <c r="AY117" s="47"/>
      <c r="AZ117" s="47"/>
      <c r="BA117" s="47"/>
      <c r="BB117" s="47"/>
      <c r="BC117" s="47"/>
      <c r="BD117" s="47"/>
    </row>
    <row r="118" spans="2:56" s="50" customFormat="1" ht="12.95" hidden="1" customHeight="1">
      <c r="B118" s="54">
        <v>122</v>
      </c>
      <c r="C118" s="55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47"/>
      <c r="AX118" s="47"/>
      <c r="AY118" s="47"/>
      <c r="AZ118" s="47"/>
      <c r="BA118" s="47"/>
      <c r="BB118" s="47"/>
      <c r="BC118" s="47"/>
      <c r="BD118" s="47"/>
    </row>
    <row r="119" spans="2:56" s="50" customFormat="1" ht="12.95" hidden="1" customHeight="1">
      <c r="B119" s="54">
        <v>123</v>
      </c>
      <c r="C119" s="55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47"/>
      <c r="AX119" s="47"/>
      <c r="AY119" s="47"/>
      <c r="AZ119" s="47"/>
      <c r="BA119" s="47"/>
      <c r="BB119" s="47"/>
      <c r="BC119" s="47"/>
      <c r="BD119" s="47"/>
    </row>
    <row r="120" spans="2:56" s="50" customFormat="1" ht="12.95" hidden="1" customHeight="1">
      <c r="B120" s="54">
        <v>124</v>
      </c>
      <c r="C120" s="55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47"/>
      <c r="AX120" s="47"/>
      <c r="AY120" s="47"/>
      <c r="AZ120" s="47"/>
      <c r="BA120" s="47"/>
      <c r="BB120" s="47"/>
      <c r="BC120" s="47"/>
      <c r="BD120" s="47"/>
    </row>
    <row r="121" spans="2:56" s="50" customFormat="1" ht="12.95" hidden="1" customHeight="1">
      <c r="B121" s="54">
        <v>125</v>
      </c>
      <c r="C121" s="63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47"/>
      <c r="AX121" s="47"/>
      <c r="AY121" s="47"/>
      <c r="AZ121" s="47"/>
      <c r="BA121" s="47"/>
      <c r="BB121" s="47"/>
      <c r="BC121" s="47"/>
      <c r="BD121" s="47"/>
    </row>
    <row r="122" spans="2:56" s="50" customFormat="1" ht="12.95" hidden="1" customHeight="1">
      <c r="B122" s="54">
        <v>126</v>
      </c>
      <c r="C122" s="64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47"/>
      <c r="AX122" s="47"/>
      <c r="AY122" s="47"/>
      <c r="AZ122" s="47"/>
      <c r="BA122" s="47"/>
      <c r="BB122" s="47"/>
      <c r="BC122" s="47"/>
      <c r="BD122" s="47"/>
    </row>
    <row r="123" spans="2:56" s="50" customFormat="1" ht="12.95" hidden="1" customHeight="1">
      <c r="B123" s="54">
        <v>127</v>
      </c>
      <c r="C123" s="64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47"/>
      <c r="AX123" s="47"/>
      <c r="AY123" s="47"/>
      <c r="AZ123" s="47"/>
      <c r="BA123" s="47"/>
      <c r="BB123" s="47"/>
      <c r="BC123" s="47"/>
      <c r="BD123" s="47"/>
    </row>
    <row r="124" spans="2:56" s="50" customFormat="1" ht="12.95" hidden="1" customHeight="1">
      <c r="B124" s="54">
        <v>128</v>
      </c>
      <c r="C124" s="64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47"/>
      <c r="AX124" s="47"/>
      <c r="AY124" s="47"/>
      <c r="AZ124" s="47"/>
      <c r="BA124" s="47"/>
      <c r="BB124" s="47"/>
      <c r="BC124" s="47"/>
      <c r="BD124" s="47"/>
    </row>
    <row r="125" spans="2:56" s="50" customFormat="1" ht="12.95" hidden="1" customHeight="1">
      <c r="B125" s="54">
        <v>129</v>
      </c>
      <c r="C125" s="64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60" t="s">
        <v>49</v>
      </c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47"/>
      <c r="AX125" s="47"/>
      <c r="AY125" s="47"/>
      <c r="AZ125" s="47"/>
      <c r="BA125" s="47"/>
      <c r="BB125" s="47"/>
      <c r="BC125" s="47"/>
      <c r="BD125" s="47"/>
    </row>
    <row r="126" spans="2:56" s="50" customFormat="1" ht="12.95" hidden="1" customHeight="1">
      <c r="B126" s="54">
        <v>130</v>
      </c>
      <c r="C126" s="64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47"/>
      <c r="AX126" s="47"/>
      <c r="AY126" s="47"/>
      <c r="AZ126" s="47"/>
      <c r="BA126" s="47"/>
      <c r="BB126" s="47"/>
      <c r="BC126" s="47"/>
      <c r="BD126" s="47"/>
    </row>
    <row r="127" spans="2:56" s="50" customFormat="1" ht="12.95" hidden="1" customHeight="1">
      <c r="B127" s="54">
        <v>131</v>
      </c>
      <c r="C127" s="64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47"/>
      <c r="AX127" s="47"/>
      <c r="AY127" s="47"/>
      <c r="AZ127" s="47"/>
      <c r="BA127" s="47"/>
      <c r="BB127" s="47"/>
      <c r="BC127" s="47"/>
      <c r="BD127" s="47"/>
    </row>
    <row r="128" spans="2:56" s="50" customFormat="1" ht="12.95" hidden="1" customHeight="1">
      <c r="B128" s="54">
        <v>132</v>
      </c>
      <c r="C128" s="64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47"/>
      <c r="AX128" s="47"/>
      <c r="AY128" s="47"/>
      <c r="AZ128" s="47"/>
      <c r="BA128" s="47"/>
      <c r="BB128" s="47"/>
      <c r="BC128" s="47"/>
      <c r="BD128" s="47"/>
    </row>
    <row r="129" spans="2:56" s="50" customFormat="1" ht="12.95" hidden="1" customHeight="1">
      <c r="B129" s="54">
        <v>133</v>
      </c>
      <c r="C129" s="64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47"/>
      <c r="AX129" s="47"/>
      <c r="AY129" s="47"/>
      <c r="AZ129" s="47"/>
      <c r="BA129" s="47"/>
      <c r="BB129" s="47"/>
      <c r="BC129" s="47"/>
      <c r="BD129" s="47"/>
    </row>
    <row r="130" spans="2:56" s="50" customFormat="1" ht="12.95" hidden="1" customHeight="1">
      <c r="B130" s="54">
        <v>134</v>
      </c>
      <c r="C130" s="64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47"/>
      <c r="AX130" s="47"/>
      <c r="AY130" s="47"/>
      <c r="AZ130" s="47"/>
      <c r="BA130" s="47"/>
      <c r="BB130" s="47"/>
      <c r="BC130" s="47"/>
      <c r="BD130" s="47"/>
    </row>
    <row r="131" spans="2:56" s="50" customFormat="1" ht="12.95" hidden="1" customHeight="1">
      <c r="B131" s="54">
        <v>135</v>
      </c>
      <c r="C131" s="64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47"/>
      <c r="AX131" s="47"/>
      <c r="AY131" s="47"/>
      <c r="AZ131" s="47"/>
      <c r="BA131" s="47"/>
      <c r="BB131" s="47"/>
      <c r="BC131" s="47"/>
      <c r="BD131" s="47"/>
    </row>
    <row r="132" spans="2:56" s="50" customFormat="1" ht="12.95" hidden="1" customHeight="1">
      <c r="B132" s="54">
        <v>136</v>
      </c>
      <c r="C132" s="64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47"/>
      <c r="AX132" s="47"/>
      <c r="AY132" s="47"/>
      <c r="AZ132" s="47"/>
      <c r="BA132" s="47"/>
      <c r="BB132" s="47"/>
      <c r="BC132" s="47"/>
      <c r="BD132" s="47"/>
    </row>
    <row r="133" spans="2:56" s="50" customFormat="1" ht="12.95" hidden="1" customHeight="1">
      <c r="B133" s="54">
        <v>137</v>
      </c>
      <c r="C133" s="64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47"/>
      <c r="AX133" s="47"/>
      <c r="AY133" s="47"/>
      <c r="AZ133" s="47"/>
      <c r="BA133" s="47"/>
      <c r="BB133" s="47"/>
      <c r="BC133" s="47"/>
      <c r="BD133" s="47"/>
    </row>
    <row r="134" spans="2:56" s="50" customFormat="1" ht="12.95" hidden="1" customHeight="1">
      <c r="B134" s="54">
        <v>138</v>
      </c>
      <c r="C134" s="64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47"/>
      <c r="AX134" s="47"/>
      <c r="AY134" s="47"/>
      <c r="AZ134" s="47"/>
      <c r="BA134" s="47"/>
      <c r="BB134" s="47"/>
      <c r="BC134" s="47"/>
      <c r="BD134" s="47"/>
    </row>
    <row r="135" spans="2:56" s="50" customFormat="1" ht="12.95" hidden="1" customHeight="1">
      <c r="B135" s="54">
        <v>139</v>
      </c>
      <c r="C135" s="64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47"/>
      <c r="AX135" s="47"/>
      <c r="AY135" s="47"/>
      <c r="AZ135" s="47"/>
      <c r="BA135" s="47"/>
      <c r="BB135" s="47"/>
      <c r="BC135" s="47"/>
      <c r="BD135" s="47"/>
    </row>
    <row r="136" spans="2:56" s="50" customFormat="1" ht="12.95" hidden="1" customHeight="1">
      <c r="B136" s="54">
        <v>140</v>
      </c>
      <c r="C136" s="64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47"/>
      <c r="AX136" s="47"/>
      <c r="AY136" s="47"/>
      <c r="AZ136" s="47"/>
      <c r="BA136" s="47"/>
      <c r="BB136" s="47"/>
      <c r="BC136" s="47"/>
      <c r="BD136" s="47"/>
    </row>
    <row r="137" spans="2:56" s="50" customFormat="1" ht="12.95" hidden="1" customHeight="1">
      <c r="B137" s="54">
        <v>141</v>
      </c>
      <c r="C137" s="64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47"/>
      <c r="AX137" s="47"/>
      <c r="AY137" s="47"/>
      <c r="AZ137" s="47"/>
      <c r="BA137" s="47"/>
      <c r="BB137" s="47"/>
      <c r="BC137" s="47"/>
      <c r="BD137" s="47"/>
    </row>
    <row r="138" spans="2:56" s="50" customFormat="1" ht="12.95" hidden="1" customHeight="1">
      <c r="B138" s="54">
        <v>142</v>
      </c>
      <c r="C138" s="64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47"/>
      <c r="AX138" s="47"/>
      <c r="AY138" s="47"/>
      <c r="AZ138" s="47"/>
      <c r="BA138" s="47"/>
      <c r="BB138" s="47"/>
      <c r="BC138" s="47"/>
      <c r="BD138" s="47"/>
    </row>
    <row r="139" spans="2:56" s="50" customFormat="1" ht="15" customHeight="1">
      <c r="B139" s="65"/>
      <c r="C139" s="66" t="s">
        <v>97</v>
      </c>
      <c r="D139" s="56">
        <f t="shared" ref="D139:AH139" si="0">COUNTA(D7:D138)</f>
        <v>0</v>
      </c>
      <c r="E139" s="56">
        <f t="shared" si="0"/>
        <v>14</v>
      </c>
      <c r="F139" s="56">
        <f t="shared" si="0"/>
        <v>0</v>
      </c>
      <c r="G139" s="56">
        <f t="shared" si="0"/>
        <v>24</v>
      </c>
      <c r="H139" s="56">
        <f t="shared" si="0"/>
        <v>15</v>
      </c>
      <c r="I139" s="56">
        <f t="shared" si="0"/>
        <v>17</v>
      </c>
      <c r="J139" s="56">
        <f t="shared" si="0"/>
        <v>21</v>
      </c>
      <c r="K139" s="56">
        <f t="shared" si="0"/>
        <v>19</v>
      </c>
      <c r="L139" s="56">
        <f t="shared" si="0"/>
        <v>16</v>
      </c>
      <c r="M139" s="56">
        <f t="shared" si="0"/>
        <v>0</v>
      </c>
      <c r="N139" s="56">
        <f t="shared" si="0"/>
        <v>17</v>
      </c>
      <c r="O139" s="56">
        <f t="shared" si="0"/>
        <v>16</v>
      </c>
      <c r="P139" s="56">
        <f t="shared" si="0"/>
        <v>15</v>
      </c>
      <c r="Q139" s="56">
        <f t="shared" si="0"/>
        <v>0</v>
      </c>
      <c r="R139" s="56">
        <f t="shared" si="0"/>
        <v>15</v>
      </c>
      <c r="S139" s="56">
        <f t="shared" si="0"/>
        <v>15</v>
      </c>
      <c r="T139" s="56">
        <f t="shared" si="0"/>
        <v>0</v>
      </c>
      <c r="U139" s="56">
        <f t="shared" si="0"/>
        <v>14</v>
      </c>
      <c r="V139" s="56">
        <f t="shared" si="0"/>
        <v>11</v>
      </c>
      <c r="W139" s="56">
        <f t="shared" si="0"/>
        <v>11</v>
      </c>
      <c r="X139" s="56">
        <f t="shared" si="0"/>
        <v>12</v>
      </c>
      <c r="Y139" s="56">
        <f t="shared" si="0"/>
        <v>12</v>
      </c>
      <c r="Z139" s="56">
        <f t="shared" si="0"/>
        <v>13</v>
      </c>
      <c r="AA139" s="56">
        <f t="shared" si="0"/>
        <v>0</v>
      </c>
      <c r="AB139" s="56">
        <f t="shared" si="0"/>
        <v>12</v>
      </c>
      <c r="AC139" s="56">
        <f t="shared" si="0"/>
        <v>14</v>
      </c>
      <c r="AD139" s="56">
        <f t="shared" si="0"/>
        <v>0</v>
      </c>
      <c r="AE139" s="56">
        <f t="shared" si="0"/>
        <v>11</v>
      </c>
      <c r="AF139" s="56">
        <f t="shared" si="0"/>
        <v>10</v>
      </c>
      <c r="AG139" s="56">
        <f t="shared" si="0"/>
        <v>12</v>
      </c>
      <c r="AH139" s="56">
        <f t="shared" si="0"/>
        <v>3</v>
      </c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47"/>
      <c r="AX139" s="47"/>
      <c r="AY139" s="47"/>
      <c r="AZ139" s="47"/>
      <c r="BA139" s="47"/>
      <c r="BB139" s="47"/>
      <c r="BC139" s="47"/>
      <c r="BD139" s="47"/>
    </row>
    <row r="140" spans="2:56" customFormat="1">
      <c r="B140" s="46"/>
      <c r="C140" s="46"/>
      <c r="D140" s="46"/>
      <c r="E140" s="46"/>
      <c r="F140" s="46"/>
      <c r="G140" s="46"/>
      <c r="H140" s="46"/>
      <c r="I140" s="46"/>
      <c r="J140" s="46" t="s">
        <v>49</v>
      </c>
      <c r="K140" s="46"/>
      <c r="L140" s="46"/>
      <c r="M140" s="46"/>
      <c r="N140" s="46"/>
      <c r="O140" s="46"/>
      <c r="P140" s="46" t="s">
        <v>49</v>
      </c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</row>
    <row r="141" spans="2:56" customFormat="1">
      <c r="B141" s="67" t="s">
        <v>60</v>
      </c>
      <c r="C141" s="68" t="s">
        <v>98</v>
      </c>
      <c r="D141" s="46"/>
      <c r="E141" s="46"/>
      <c r="F141" s="46"/>
      <c r="G141" s="46"/>
      <c r="H141" s="46"/>
      <c r="I141" s="46" t="s">
        <v>49</v>
      </c>
      <c r="J141" s="46"/>
      <c r="K141" s="46" t="s">
        <v>49</v>
      </c>
      <c r="L141" s="46"/>
      <c r="M141" s="46" t="s">
        <v>49</v>
      </c>
      <c r="N141" s="46" t="s">
        <v>49</v>
      </c>
      <c r="O141" s="46"/>
      <c r="P141" s="46" t="s">
        <v>49</v>
      </c>
      <c r="Q141" s="46"/>
      <c r="R141" s="46" t="s">
        <v>49</v>
      </c>
      <c r="S141" s="46" t="s">
        <v>49</v>
      </c>
      <c r="T141" s="46" t="s">
        <v>49</v>
      </c>
      <c r="U141" s="46" t="s">
        <v>49</v>
      </c>
      <c r="V141" s="46"/>
      <c r="W141" s="46" t="s">
        <v>49</v>
      </c>
      <c r="X141" s="46" t="s">
        <v>49</v>
      </c>
      <c r="Y141" s="46" t="s">
        <v>49</v>
      </c>
      <c r="Z141" s="46" t="s">
        <v>49</v>
      </c>
      <c r="AA141" s="46" t="s">
        <v>49</v>
      </c>
      <c r="AB141" s="46"/>
      <c r="AC141" s="46"/>
      <c r="AD141" s="46" t="s">
        <v>49</v>
      </c>
      <c r="AE141" s="46" t="s">
        <v>49</v>
      </c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</row>
    <row r="142" spans="2:56" customFormat="1">
      <c r="B142" s="67" t="s">
        <v>58</v>
      </c>
      <c r="C142" s="68" t="s">
        <v>99</v>
      </c>
      <c r="D142" s="46"/>
      <c r="E142" s="46"/>
      <c r="F142" s="46"/>
      <c r="G142" s="46"/>
      <c r="H142" s="46"/>
      <c r="I142" s="46"/>
      <c r="J142" s="46"/>
      <c r="K142" s="46" t="s">
        <v>49</v>
      </c>
      <c r="L142" s="46" t="s">
        <v>49</v>
      </c>
      <c r="M142" s="46" t="s">
        <v>49</v>
      </c>
      <c r="N142" s="46" t="s">
        <v>49</v>
      </c>
      <c r="O142" s="46" t="s">
        <v>49</v>
      </c>
      <c r="P142" s="46" t="s">
        <v>49</v>
      </c>
      <c r="Q142" s="46" t="s">
        <v>49</v>
      </c>
      <c r="R142" s="46" t="s">
        <v>49</v>
      </c>
      <c r="S142" s="46" t="s">
        <v>49</v>
      </c>
      <c r="T142" s="46" t="s">
        <v>49</v>
      </c>
      <c r="U142" s="46" t="s">
        <v>49</v>
      </c>
      <c r="V142" s="46" t="s">
        <v>49</v>
      </c>
      <c r="W142" s="46"/>
      <c r="X142" s="46" t="s">
        <v>49</v>
      </c>
      <c r="Y142" s="46" t="s">
        <v>49</v>
      </c>
      <c r="Z142" s="46" t="s">
        <v>49</v>
      </c>
      <c r="AA142" s="46" t="s">
        <v>49</v>
      </c>
      <c r="AB142" s="46" t="s">
        <v>49</v>
      </c>
      <c r="AC142" s="46"/>
      <c r="AD142" s="46" t="s">
        <v>49</v>
      </c>
      <c r="AE142" s="46"/>
      <c r="AF142" s="46"/>
      <c r="AG142" s="46"/>
      <c r="AH142" s="46"/>
      <c r="AI142" s="46"/>
      <c r="AJ142" s="46" t="s">
        <v>49</v>
      </c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</row>
    <row r="143" spans="2:56" customFormat="1">
      <c r="B143" s="67" t="s">
        <v>59</v>
      </c>
      <c r="C143" s="68" t="s">
        <v>100</v>
      </c>
      <c r="D143" s="46"/>
      <c r="E143" s="46"/>
      <c r="F143" s="46"/>
      <c r="G143" s="46"/>
      <c r="H143" s="46"/>
      <c r="I143" s="46"/>
      <c r="J143" s="46" t="s">
        <v>49</v>
      </c>
      <c r="K143" s="46" t="s">
        <v>49</v>
      </c>
      <c r="L143" s="46"/>
      <c r="M143" s="46"/>
      <c r="N143" s="46"/>
      <c r="O143" s="46"/>
      <c r="P143" s="46"/>
      <c r="Q143" s="46" t="s">
        <v>49</v>
      </c>
      <c r="R143" s="46"/>
      <c r="S143" s="46"/>
      <c r="T143" s="46" t="s">
        <v>49</v>
      </c>
      <c r="U143" s="46"/>
      <c r="V143" s="46" t="s">
        <v>49</v>
      </c>
      <c r="W143" s="46"/>
      <c r="X143" s="46" t="s">
        <v>49</v>
      </c>
      <c r="Y143" s="46"/>
      <c r="Z143" s="46" t="s">
        <v>49</v>
      </c>
      <c r="AA143" s="46" t="s">
        <v>49</v>
      </c>
      <c r="AB143" s="46"/>
      <c r="AC143" s="46"/>
      <c r="AD143" s="46"/>
      <c r="AE143" s="46" t="s">
        <v>49</v>
      </c>
      <c r="AF143" s="46"/>
      <c r="AG143" s="46" t="s">
        <v>49</v>
      </c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</row>
    <row r="144" spans="2:56" customFormat="1"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 t="s">
        <v>49</v>
      </c>
      <c r="O144" s="46" t="s">
        <v>49</v>
      </c>
      <c r="P144" s="46" t="s">
        <v>49</v>
      </c>
      <c r="Q144" s="46"/>
      <c r="R144" s="46"/>
      <c r="S144" s="46"/>
      <c r="T144" s="46"/>
      <c r="U144" s="46"/>
      <c r="V144" s="46" t="s">
        <v>49</v>
      </c>
      <c r="W144" s="46"/>
      <c r="X144" s="46"/>
      <c r="Y144" s="46"/>
      <c r="Z144" s="46"/>
      <c r="AA144" s="46"/>
      <c r="AB144" s="46" t="s">
        <v>49</v>
      </c>
      <c r="AC144" s="46"/>
      <c r="AD144" s="46" t="s">
        <v>49</v>
      </c>
      <c r="AE144" s="46" t="s">
        <v>49</v>
      </c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</row>
    <row r="145" spans="2:56" customFormat="1" ht="15.75">
      <c r="B145" s="155" t="s">
        <v>48</v>
      </c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5"/>
      <c r="AF145" s="155"/>
      <c r="AG145" s="155"/>
      <c r="AH145" s="155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</row>
    <row r="146" spans="2:56" customFormat="1">
      <c r="B146" s="156" t="s">
        <v>49</v>
      </c>
      <c r="C146" s="156"/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  <c r="AA146" s="156"/>
      <c r="AB146" s="156"/>
      <c r="AC146" s="156"/>
      <c r="AD146" s="156"/>
      <c r="AE146" s="156"/>
      <c r="AF146" s="156"/>
      <c r="AG146" s="156"/>
      <c r="AH146" s="15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</row>
    <row r="147" spans="2:56" customFormat="1">
      <c r="B147" s="47"/>
      <c r="C147" s="48" t="s">
        <v>50</v>
      </c>
      <c r="D147" s="46" t="s">
        <v>51</v>
      </c>
      <c r="E147" s="49" t="s">
        <v>45</v>
      </c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 t="s">
        <v>49</v>
      </c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</row>
    <row r="148" spans="2:56" customFormat="1">
      <c r="B148" s="48"/>
      <c r="C148" s="48" t="s">
        <v>52</v>
      </c>
      <c r="D148" s="46" t="s">
        <v>51</v>
      </c>
      <c r="E148" s="49" t="s">
        <v>53</v>
      </c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 t="s">
        <v>49</v>
      </c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 t="s">
        <v>49</v>
      </c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</row>
    <row r="149" spans="2:56" customFormat="1">
      <c r="B149" s="48"/>
      <c r="C149" s="48" t="s">
        <v>54</v>
      </c>
      <c r="D149" s="46" t="s">
        <v>51</v>
      </c>
      <c r="E149" s="49" t="s">
        <v>101</v>
      </c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</row>
    <row r="150" spans="2:56" customFormat="1">
      <c r="B150" s="51" t="s">
        <v>56</v>
      </c>
      <c r="C150" s="51" t="s">
        <v>57</v>
      </c>
      <c r="D150" s="52">
        <v>1</v>
      </c>
      <c r="E150" s="51">
        <v>2</v>
      </c>
      <c r="F150" s="52">
        <v>3</v>
      </c>
      <c r="G150" s="51">
        <v>4</v>
      </c>
      <c r="H150" s="51">
        <v>5</v>
      </c>
      <c r="I150" s="51">
        <v>6</v>
      </c>
      <c r="J150" s="51">
        <v>7</v>
      </c>
      <c r="K150" s="51">
        <v>8</v>
      </c>
      <c r="L150" s="51">
        <v>9</v>
      </c>
      <c r="M150" s="52">
        <v>10</v>
      </c>
      <c r="N150" s="51">
        <v>11</v>
      </c>
      <c r="O150" s="51">
        <v>12</v>
      </c>
      <c r="P150" s="51">
        <v>13</v>
      </c>
      <c r="Q150" s="52">
        <v>14</v>
      </c>
      <c r="R150" s="51">
        <v>15</v>
      </c>
      <c r="S150" s="51">
        <v>16</v>
      </c>
      <c r="T150" s="52">
        <v>17</v>
      </c>
      <c r="U150" s="51">
        <v>18</v>
      </c>
      <c r="V150" s="51">
        <v>19</v>
      </c>
      <c r="W150" s="51">
        <v>20</v>
      </c>
      <c r="X150" s="51">
        <v>21</v>
      </c>
      <c r="Y150" s="51">
        <v>22</v>
      </c>
      <c r="Z150" s="51">
        <v>23</v>
      </c>
      <c r="AA150" s="52">
        <v>24</v>
      </c>
      <c r="AB150" s="51">
        <v>25</v>
      </c>
      <c r="AC150" s="51">
        <v>26</v>
      </c>
      <c r="AD150" s="52">
        <v>27</v>
      </c>
      <c r="AE150" s="51">
        <v>28</v>
      </c>
      <c r="AF150" s="51">
        <v>29</v>
      </c>
      <c r="AG150" s="51">
        <v>30</v>
      </c>
      <c r="AH150" s="52">
        <v>31</v>
      </c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</row>
    <row r="151" spans="2:56" customFormat="1">
      <c r="B151" s="54">
        <v>1</v>
      </c>
      <c r="C151" s="55" t="s">
        <v>62</v>
      </c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 t="s">
        <v>58</v>
      </c>
      <c r="Z151" s="56"/>
      <c r="AA151" s="56"/>
      <c r="AB151" s="56" t="s">
        <v>59</v>
      </c>
      <c r="AC151" s="56"/>
      <c r="AD151" s="56"/>
      <c r="AE151" s="56"/>
      <c r="AF151" s="56"/>
      <c r="AG151" s="56"/>
      <c r="AH151" s="5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</row>
    <row r="152" spans="2:56" customFormat="1">
      <c r="B152" s="54">
        <v>2</v>
      </c>
      <c r="C152" s="55" t="s">
        <v>167</v>
      </c>
      <c r="D152" s="56"/>
      <c r="E152" s="56"/>
      <c r="F152" s="56"/>
      <c r="G152" s="56"/>
      <c r="H152" s="56"/>
      <c r="I152" s="56"/>
      <c r="J152" s="56"/>
      <c r="K152" s="56"/>
      <c r="L152" s="56" t="s">
        <v>59</v>
      </c>
      <c r="M152" s="56"/>
      <c r="N152" s="56"/>
      <c r="O152" s="56" t="s">
        <v>59</v>
      </c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</row>
    <row r="153" spans="2:56" customFormat="1">
      <c r="B153" s="54">
        <v>3</v>
      </c>
      <c r="C153" s="55" t="s">
        <v>102</v>
      </c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 t="s">
        <v>60</v>
      </c>
      <c r="T153" s="56"/>
      <c r="U153" s="56"/>
      <c r="V153" s="56"/>
      <c r="W153" s="56"/>
      <c r="X153" s="56"/>
      <c r="Y153" s="56"/>
      <c r="Z153" s="56"/>
      <c r="AA153" s="56"/>
      <c r="AB153" s="56" t="s">
        <v>59</v>
      </c>
      <c r="AC153" s="56"/>
      <c r="AD153" s="56"/>
      <c r="AE153" s="56"/>
      <c r="AF153" s="56"/>
      <c r="AG153" s="56"/>
      <c r="AH153" s="56"/>
      <c r="AI153" s="46"/>
      <c r="AJ153" s="46" t="s">
        <v>49</v>
      </c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</row>
    <row r="154" spans="2:56" customFormat="1">
      <c r="B154" s="54">
        <v>4</v>
      </c>
      <c r="C154" s="55" t="s">
        <v>163</v>
      </c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 t="s">
        <v>58</v>
      </c>
      <c r="Z154" s="56"/>
      <c r="AA154" s="56"/>
      <c r="AB154" s="56"/>
      <c r="AC154" s="56"/>
      <c r="AD154" s="56"/>
      <c r="AE154" s="56"/>
      <c r="AF154" s="56"/>
      <c r="AG154" s="56"/>
      <c r="AH154" s="5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</row>
    <row r="155" spans="2:56" customFormat="1">
      <c r="B155" s="54">
        <v>5</v>
      </c>
      <c r="C155" s="55" t="s">
        <v>65</v>
      </c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 t="s">
        <v>60</v>
      </c>
      <c r="P155" s="56"/>
      <c r="Q155" s="56"/>
      <c r="R155" s="56"/>
      <c r="S155" s="56"/>
      <c r="T155" s="56"/>
      <c r="U155" s="56"/>
      <c r="V155" s="56" t="s">
        <v>58</v>
      </c>
      <c r="W155" s="56"/>
      <c r="X155" s="56"/>
      <c r="Y155" s="56" t="s">
        <v>59</v>
      </c>
      <c r="Z155" s="56"/>
      <c r="AA155" s="56"/>
      <c r="AB155" s="56"/>
      <c r="AC155" s="56"/>
      <c r="AD155" s="56"/>
      <c r="AE155" s="56"/>
      <c r="AF155" s="56"/>
      <c r="AG155" s="56"/>
      <c r="AH155" s="5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</row>
    <row r="156" spans="2:56" customFormat="1">
      <c r="B156" s="54">
        <v>6</v>
      </c>
      <c r="C156" s="55" t="s">
        <v>113</v>
      </c>
      <c r="D156" s="56"/>
      <c r="E156" s="56"/>
      <c r="F156" s="56"/>
      <c r="G156" s="56"/>
      <c r="H156" s="56"/>
      <c r="I156" s="56"/>
      <c r="J156" s="56"/>
      <c r="K156" s="56"/>
      <c r="L156" s="56" t="s">
        <v>60</v>
      </c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 t="s">
        <v>60</v>
      </c>
      <c r="AF156" s="56"/>
      <c r="AG156" s="56"/>
      <c r="AH156" s="5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</row>
    <row r="157" spans="2:56" customFormat="1">
      <c r="B157" s="54">
        <v>7</v>
      </c>
      <c r="C157" s="55" t="s">
        <v>66</v>
      </c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 t="s">
        <v>58</v>
      </c>
      <c r="P157" s="56"/>
      <c r="Q157" s="56"/>
      <c r="R157" s="56"/>
      <c r="S157" s="56"/>
      <c r="T157" s="56"/>
      <c r="U157" s="56"/>
      <c r="V157" s="56"/>
      <c r="W157" s="56" t="s">
        <v>59</v>
      </c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</row>
    <row r="158" spans="2:56" customFormat="1">
      <c r="B158" s="54">
        <v>8</v>
      </c>
      <c r="C158" s="55" t="s">
        <v>69</v>
      </c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 t="s">
        <v>58</v>
      </c>
      <c r="T158" s="56"/>
      <c r="U158" s="56"/>
      <c r="V158" s="56" t="s">
        <v>59</v>
      </c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</row>
    <row r="159" spans="2:56" customFormat="1">
      <c r="B159" s="54">
        <v>9</v>
      </c>
      <c r="C159" s="55" t="s">
        <v>168</v>
      </c>
      <c r="D159" s="56"/>
      <c r="E159" s="56" t="s">
        <v>59</v>
      </c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</row>
    <row r="160" spans="2:56" customFormat="1">
      <c r="B160" s="54">
        <v>10</v>
      </c>
      <c r="C160" s="55" t="s">
        <v>141</v>
      </c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 t="s">
        <v>60</v>
      </c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 t="s">
        <v>58</v>
      </c>
      <c r="Z160" s="56"/>
      <c r="AA160" s="56"/>
      <c r="AB160" s="56"/>
      <c r="AC160" s="56"/>
      <c r="AD160" s="56"/>
      <c r="AE160" s="56" t="s">
        <v>60</v>
      </c>
      <c r="AF160" s="56"/>
      <c r="AG160" s="56"/>
      <c r="AH160" s="56"/>
      <c r="AI160" s="46"/>
      <c r="AJ160" s="46"/>
      <c r="AK160" s="46"/>
      <c r="AL160" s="46"/>
      <c r="AM160" s="46"/>
      <c r="AN160" s="46"/>
      <c r="AO160" s="46" t="s">
        <v>49</v>
      </c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</row>
    <row r="161" spans="2:56" customFormat="1">
      <c r="B161" s="54">
        <v>11</v>
      </c>
      <c r="C161" s="55" t="s">
        <v>169</v>
      </c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 t="s">
        <v>59</v>
      </c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</row>
    <row r="162" spans="2:56" customFormat="1">
      <c r="B162" s="54">
        <v>12</v>
      </c>
      <c r="C162" s="55" t="s">
        <v>77</v>
      </c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 t="s">
        <v>58</v>
      </c>
      <c r="Z162" s="56"/>
      <c r="AA162" s="56"/>
      <c r="AB162" s="56"/>
      <c r="AC162" s="56"/>
      <c r="AD162" s="56"/>
      <c r="AE162" s="56"/>
      <c r="AF162" s="56"/>
      <c r="AG162" s="56"/>
      <c r="AH162" s="5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</row>
    <row r="163" spans="2:56" customFormat="1">
      <c r="B163" s="54">
        <v>13</v>
      </c>
      <c r="C163" s="55" t="s">
        <v>170</v>
      </c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 t="s">
        <v>59</v>
      </c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</row>
    <row r="164" spans="2:56" customFormat="1">
      <c r="B164" s="54">
        <v>14</v>
      </c>
      <c r="C164" s="55" t="s">
        <v>150</v>
      </c>
      <c r="D164" s="56"/>
      <c r="E164" s="56" t="s">
        <v>59</v>
      </c>
      <c r="F164" s="56"/>
      <c r="G164" s="56"/>
      <c r="H164" s="56" t="s">
        <v>59</v>
      </c>
      <c r="I164" s="56"/>
      <c r="J164" s="56" t="s">
        <v>60</v>
      </c>
      <c r="K164" s="56"/>
      <c r="L164" s="56" t="s">
        <v>59</v>
      </c>
      <c r="M164" s="56"/>
      <c r="N164" s="56" t="s">
        <v>60</v>
      </c>
      <c r="O164" s="56"/>
      <c r="P164" s="56"/>
      <c r="Q164" s="56"/>
      <c r="R164" s="56"/>
      <c r="S164" s="56"/>
      <c r="T164" s="56"/>
      <c r="U164" s="56"/>
      <c r="V164" s="56" t="s">
        <v>58</v>
      </c>
      <c r="W164" s="56"/>
      <c r="X164" s="56"/>
      <c r="Y164" s="56" t="s">
        <v>58</v>
      </c>
      <c r="Z164" s="56"/>
      <c r="AA164" s="56"/>
      <c r="AB164" s="56"/>
      <c r="AC164" s="56" t="s">
        <v>60</v>
      </c>
      <c r="AD164" s="56"/>
      <c r="AE164" s="56"/>
      <c r="AF164" s="56"/>
      <c r="AG164" s="56" t="s">
        <v>59</v>
      </c>
      <c r="AH164" s="5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</row>
    <row r="165" spans="2:56" customFormat="1">
      <c r="B165" s="54">
        <v>15</v>
      </c>
      <c r="C165" s="55" t="s">
        <v>171</v>
      </c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 t="s">
        <v>58</v>
      </c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 t="s">
        <v>59</v>
      </c>
      <c r="AG165" s="56"/>
      <c r="AH165" s="5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</row>
    <row r="166" spans="2:56" customFormat="1">
      <c r="B166" s="54">
        <v>16</v>
      </c>
      <c r="C166" s="55" t="s">
        <v>84</v>
      </c>
      <c r="D166" s="56"/>
      <c r="E166" s="56" t="s">
        <v>59</v>
      </c>
      <c r="F166" s="56"/>
      <c r="G166" s="56"/>
      <c r="H166" s="56" t="s">
        <v>60</v>
      </c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 t="s">
        <v>58</v>
      </c>
      <c r="T166" s="56"/>
      <c r="U166" s="56"/>
      <c r="V166" s="56" t="s">
        <v>58</v>
      </c>
      <c r="W166" s="56"/>
      <c r="X166" s="56"/>
      <c r="Y166" s="56"/>
      <c r="Z166" s="56"/>
      <c r="AA166" s="56"/>
      <c r="AB166" s="56" t="s">
        <v>59</v>
      </c>
      <c r="AC166" s="56" t="s">
        <v>59</v>
      </c>
      <c r="AD166" s="56"/>
      <c r="AE166" s="56"/>
      <c r="AF166" s="56"/>
      <c r="AG166" s="56"/>
      <c r="AH166" s="5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</row>
    <row r="167" spans="2:56" customFormat="1">
      <c r="B167" s="54">
        <v>17</v>
      </c>
      <c r="C167" s="55" t="s">
        <v>128</v>
      </c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 t="s">
        <v>58</v>
      </c>
      <c r="AF167" s="56"/>
      <c r="AG167" s="56"/>
      <c r="AH167" s="5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</row>
    <row r="168" spans="2:56" customFormat="1">
      <c r="B168" s="54">
        <v>18</v>
      </c>
      <c r="C168" s="55" t="s">
        <v>172</v>
      </c>
      <c r="D168" s="56"/>
      <c r="E168" s="56"/>
      <c r="F168" s="56"/>
      <c r="G168" s="56"/>
      <c r="H168" s="56"/>
      <c r="I168" s="56"/>
      <c r="J168" s="56" t="s">
        <v>60</v>
      </c>
      <c r="K168" s="56"/>
      <c r="L168" s="56"/>
      <c r="M168" s="56"/>
      <c r="N168" s="56"/>
      <c r="O168" s="56"/>
      <c r="P168" s="56"/>
      <c r="Q168" s="56"/>
      <c r="R168" s="56" t="s">
        <v>58</v>
      </c>
      <c r="S168" s="56"/>
      <c r="T168" s="56"/>
      <c r="U168" s="56"/>
      <c r="V168" s="56"/>
      <c r="W168" s="56"/>
      <c r="X168" s="56" t="s">
        <v>59</v>
      </c>
      <c r="Y168" s="56"/>
      <c r="Z168" s="56"/>
      <c r="AA168" s="56"/>
      <c r="AB168" s="56"/>
      <c r="AC168" s="56"/>
      <c r="AD168" s="56"/>
      <c r="AE168" s="56" t="s">
        <v>60</v>
      </c>
      <c r="AF168" s="56"/>
      <c r="AG168" s="56"/>
      <c r="AH168" s="5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</row>
    <row r="169" spans="2:56" customFormat="1">
      <c r="B169" s="54">
        <v>19</v>
      </c>
      <c r="C169" s="55" t="s">
        <v>153</v>
      </c>
      <c r="D169" s="56"/>
      <c r="E169" s="56"/>
      <c r="F169" s="56"/>
      <c r="G169" s="56"/>
      <c r="H169" s="56" t="s">
        <v>60</v>
      </c>
      <c r="I169" s="56"/>
      <c r="J169" s="56" t="s">
        <v>59</v>
      </c>
      <c r="K169" s="56"/>
      <c r="L169" s="56"/>
      <c r="M169" s="56"/>
      <c r="N169" s="56"/>
      <c r="O169" s="56"/>
      <c r="P169" s="56" t="s">
        <v>59</v>
      </c>
      <c r="Q169" s="56"/>
      <c r="R169" s="56" t="s">
        <v>59</v>
      </c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</row>
    <row r="170" spans="2:56" customFormat="1">
      <c r="B170" s="54">
        <v>20</v>
      </c>
      <c r="C170" s="55" t="s">
        <v>173</v>
      </c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 t="s">
        <v>58</v>
      </c>
      <c r="AC170" s="56" t="s">
        <v>59</v>
      </c>
      <c r="AD170" s="56"/>
      <c r="AE170" s="56"/>
      <c r="AF170" s="56"/>
      <c r="AG170" s="56"/>
      <c r="AH170" s="5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</row>
    <row r="171" spans="2:56" customFormat="1">
      <c r="B171" s="54">
        <v>21</v>
      </c>
      <c r="C171" s="55" t="s">
        <v>132</v>
      </c>
      <c r="D171" s="56"/>
      <c r="E171" s="56"/>
      <c r="F171" s="56"/>
      <c r="G171" s="56" t="s">
        <v>60</v>
      </c>
      <c r="H171" s="56"/>
      <c r="I171" s="56"/>
      <c r="J171" s="56"/>
      <c r="K171" s="56"/>
      <c r="L171" s="56"/>
      <c r="M171" s="56"/>
      <c r="N171" s="56" t="s">
        <v>60</v>
      </c>
      <c r="O171" s="56"/>
      <c r="P171" s="56"/>
      <c r="Q171" s="56"/>
      <c r="R171" s="56"/>
      <c r="S171" s="56"/>
      <c r="T171" s="56"/>
      <c r="U171" s="56"/>
      <c r="V171" s="56" t="s">
        <v>58</v>
      </c>
      <c r="W171" s="56"/>
      <c r="X171" s="56"/>
      <c r="Y171" s="56"/>
      <c r="Z171" s="56"/>
      <c r="AA171" s="56"/>
      <c r="AB171" s="56"/>
      <c r="AC171" s="56"/>
      <c r="AD171" s="56"/>
      <c r="AE171" s="56"/>
      <c r="AF171" s="56" t="s">
        <v>60</v>
      </c>
      <c r="AG171" s="56"/>
      <c r="AH171" s="5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</row>
    <row r="172" spans="2:56" customFormat="1">
      <c r="B172" s="54">
        <v>22</v>
      </c>
      <c r="C172" s="55" t="s">
        <v>122</v>
      </c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 t="s">
        <v>60</v>
      </c>
      <c r="AA172" s="56"/>
      <c r="AB172" s="56"/>
      <c r="AC172" s="56"/>
      <c r="AD172" s="56"/>
      <c r="AE172" s="56"/>
      <c r="AF172" s="56"/>
      <c r="AG172" s="56"/>
      <c r="AH172" s="5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</row>
    <row r="173" spans="2:56" customFormat="1">
      <c r="B173" s="54">
        <v>23</v>
      </c>
      <c r="C173" s="55" t="s">
        <v>174</v>
      </c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 t="s">
        <v>58</v>
      </c>
      <c r="AC173" s="56" t="s">
        <v>59</v>
      </c>
      <c r="AD173" s="56"/>
      <c r="AE173" s="56"/>
      <c r="AF173" s="56"/>
      <c r="AG173" s="56"/>
      <c r="AH173" s="5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</row>
    <row r="174" spans="2:56" customFormat="1">
      <c r="B174" s="54">
        <v>24</v>
      </c>
      <c r="C174" s="55" t="s">
        <v>146</v>
      </c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 t="s">
        <v>59</v>
      </c>
      <c r="Q174" s="56"/>
      <c r="R174" s="56"/>
      <c r="S174" s="56"/>
      <c r="T174" s="56"/>
      <c r="U174" s="56"/>
      <c r="V174" s="56" t="s">
        <v>58</v>
      </c>
      <c r="W174" s="56"/>
      <c r="X174" s="56" t="s">
        <v>59</v>
      </c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</row>
    <row r="175" spans="2:56" customFormat="1">
      <c r="B175" s="54">
        <v>25</v>
      </c>
      <c r="C175" s="55" t="s">
        <v>175</v>
      </c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 t="s">
        <v>59</v>
      </c>
      <c r="Y175" s="56"/>
      <c r="Z175" s="56"/>
      <c r="AA175" s="56"/>
      <c r="AB175" s="56" t="s">
        <v>58</v>
      </c>
      <c r="AC175" s="56"/>
      <c r="AD175" s="56"/>
      <c r="AE175" s="56"/>
      <c r="AF175" s="56"/>
      <c r="AG175" s="56"/>
      <c r="AH175" s="5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</row>
    <row r="176" spans="2:56" customFormat="1">
      <c r="B176" s="54">
        <v>26</v>
      </c>
      <c r="C176" s="55" t="s">
        <v>120</v>
      </c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 t="s">
        <v>59</v>
      </c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 t="s">
        <v>59</v>
      </c>
      <c r="AF176" s="56"/>
      <c r="AG176" s="56"/>
      <c r="AH176" s="5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</row>
    <row r="177" spans="2:56" customFormat="1">
      <c r="B177" s="54">
        <v>27</v>
      </c>
      <c r="C177" s="55" t="s">
        <v>135</v>
      </c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 t="s">
        <v>59</v>
      </c>
      <c r="Q177" s="56"/>
      <c r="R177" s="56"/>
      <c r="S177" s="56"/>
      <c r="T177" s="56"/>
      <c r="U177" s="56" t="s">
        <v>59</v>
      </c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46" t="s">
        <v>49</v>
      </c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</row>
    <row r="178" spans="2:56" customFormat="1">
      <c r="B178" s="54">
        <v>28</v>
      </c>
      <c r="C178" s="55" t="s">
        <v>176</v>
      </c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 t="s">
        <v>58</v>
      </c>
      <c r="AC178" s="56"/>
      <c r="AD178" s="56"/>
      <c r="AE178" s="56"/>
      <c r="AF178" s="56" t="s">
        <v>59</v>
      </c>
      <c r="AG178" s="56"/>
      <c r="AH178" s="5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</row>
    <row r="179" spans="2:56" customFormat="1">
      <c r="B179" s="54">
        <v>29</v>
      </c>
      <c r="C179" s="55" t="s">
        <v>96</v>
      </c>
      <c r="D179" s="56"/>
      <c r="E179" s="56"/>
      <c r="F179" s="56"/>
      <c r="G179" s="56" t="s">
        <v>59</v>
      </c>
      <c r="H179" s="56"/>
      <c r="I179" s="56"/>
      <c r="J179" s="56"/>
      <c r="K179" s="56"/>
      <c r="L179" s="56"/>
      <c r="M179" s="56"/>
      <c r="N179" s="56"/>
      <c r="O179" s="56"/>
      <c r="P179" s="56" t="s">
        <v>59</v>
      </c>
      <c r="Q179" s="56"/>
      <c r="R179" s="56" t="s">
        <v>58</v>
      </c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</row>
    <row r="180" spans="2:56" customFormat="1">
      <c r="B180" s="54">
        <v>30</v>
      </c>
      <c r="C180" s="55" t="s">
        <v>148</v>
      </c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 t="s">
        <v>60</v>
      </c>
      <c r="AH180" s="5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</row>
    <row r="181" spans="2:56" customFormat="1">
      <c r="B181" s="54">
        <v>31</v>
      </c>
      <c r="C181" s="55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</row>
    <row r="182" spans="2:56" customFormat="1">
      <c r="B182" s="54">
        <v>32</v>
      </c>
      <c r="C182" s="55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</row>
    <row r="183" spans="2:56" customFormat="1" hidden="1">
      <c r="B183" s="54">
        <v>35</v>
      </c>
      <c r="C183" s="55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</row>
    <row r="184" spans="2:56" customFormat="1" hidden="1">
      <c r="B184" s="54">
        <v>36</v>
      </c>
      <c r="C184" s="55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</row>
    <row r="185" spans="2:56" customFormat="1" hidden="1">
      <c r="B185" s="54">
        <v>37</v>
      </c>
      <c r="C185" s="55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</row>
    <row r="186" spans="2:56" customFormat="1" hidden="1">
      <c r="B186" s="54">
        <v>38</v>
      </c>
      <c r="C186" s="55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</row>
    <row r="187" spans="2:56" customFormat="1" hidden="1">
      <c r="B187" s="54">
        <v>39</v>
      </c>
      <c r="C187" s="55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</row>
    <row r="188" spans="2:56" customFormat="1" hidden="1">
      <c r="B188" s="54">
        <v>40</v>
      </c>
      <c r="C188" s="64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</row>
    <row r="189" spans="2:56" customFormat="1" hidden="1">
      <c r="B189" s="54">
        <v>41</v>
      </c>
      <c r="C189" s="64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</row>
    <row r="190" spans="2:56" customFormat="1" hidden="1">
      <c r="B190" s="54">
        <v>42</v>
      </c>
      <c r="C190" s="64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</row>
    <row r="191" spans="2:56" customFormat="1" hidden="1">
      <c r="B191" s="54">
        <v>43</v>
      </c>
      <c r="C191" s="64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</row>
    <row r="192" spans="2:56" customFormat="1" hidden="1">
      <c r="B192" s="54">
        <v>44</v>
      </c>
      <c r="C192" s="64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</row>
    <row r="193" spans="2:56" customFormat="1" hidden="1">
      <c r="B193" s="54">
        <v>45</v>
      </c>
      <c r="C193" s="64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</row>
    <row r="194" spans="2:56" customFormat="1" hidden="1">
      <c r="B194" s="54">
        <v>46</v>
      </c>
      <c r="C194" s="64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</row>
    <row r="195" spans="2:56" customFormat="1" hidden="1">
      <c r="B195" s="54">
        <v>47</v>
      </c>
      <c r="C195" s="64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</row>
    <row r="196" spans="2:56" customFormat="1" hidden="1">
      <c r="B196" s="54">
        <v>48</v>
      </c>
      <c r="C196" s="64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</row>
    <row r="197" spans="2:56" customFormat="1" hidden="1">
      <c r="B197" s="54">
        <v>49</v>
      </c>
      <c r="C197" s="64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</row>
    <row r="198" spans="2:56" customFormat="1" hidden="1">
      <c r="B198" s="54">
        <v>50</v>
      </c>
      <c r="C198" s="64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</row>
    <row r="199" spans="2:56" customFormat="1" hidden="1">
      <c r="B199" s="54">
        <v>51</v>
      </c>
      <c r="C199" s="64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</row>
    <row r="200" spans="2:56" customFormat="1" hidden="1">
      <c r="B200" s="54">
        <v>52</v>
      </c>
      <c r="C200" s="64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</row>
    <row r="201" spans="2:56" customFormat="1" hidden="1">
      <c r="B201" s="54">
        <v>53</v>
      </c>
      <c r="C201" s="64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</row>
    <row r="202" spans="2:56" customFormat="1" hidden="1">
      <c r="B202" s="54">
        <v>54</v>
      </c>
      <c r="C202" s="64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</row>
    <row r="203" spans="2:56" customFormat="1" hidden="1">
      <c r="B203" s="54">
        <v>55</v>
      </c>
      <c r="C203" s="64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</row>
    <row r="204" spans="2:56" customFormat="1" hidden="1">
      <c r="B204" s="54">
        <v>56</v>
      </c>
      <c r="C204" s="64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</row>
    <row r="205" spans="2:56" customFormat="1" hidden="1">
      <c r="B205" s="54">
        <v>57</v>
      </c>
      <c r="C205" s="64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</row>
    <row r="206" spans="2:56" customFormat="1" hidden="1">
      <c r="B206" s="54">
        <v>58</v>
      </c>
      <c r="C206" s="64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</row>
    <row r="207" spans="2:56" customFormat="1" hidden="1">
      <c r="B207" s="54">
        <v>59</v>
      </c>
      <c r="C207" s="64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</row>
    <row r="208" spans="2:56" customFormat="1" hidden="1">
      <c r="B208" s="54">
        <v>60</v>
      </c>
      <c r="C208" s="64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</row>
    <row r="209" spans="2:56" customFormat="1" hidden="1">
      <c r="B209" s="54">
        <v>61</v>
      </c>
      <c r="C209" s="64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</row>
    <row r="210" spans="2:56" customFormat="1" hidden="1">
      <c r="B210" s="54">
        <v>62</v>
      </c>
      <c r="C210" s="64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</row>
    <row r="211" spans="2:56" customFormat="1" hidden="1">
      <c r="B211" s="54">
        <v>63</v>
      </c>
      <c r="C211" s="64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</row>
    <row r="212" spans="2:56" customFormat="1" hidden="1">
      <c r="B212" s="54">
        <v>64</v>
      </c>
      <c r="C212" s="64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</row>
    <row r="213" spans="2:56" customFormat="1" hidden="1">
      <c r="B213" s="54">
        <v>65</v>
      </c>
      <c r="C213" s="64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</row>
    <row r="214" spans="2:56" customFormat="1" hidden="1">
      <c r="B214" s="54">
        <v>66</v>
      </c>
      <c r="C214" s="64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</row>
    <row r="215" spans="2:56" customFormat="1" hidden="1">
      <c r="B215" s="54">
        <v>67</v>
      </c>
      <c r="C215" s="64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</row>
    <row r="216" spans="2:56" customFormat="1" hidden="1">
      <c r="B216" s="54">
        <v>68</v>
      </c>
      <c r="C216" s="64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</row>
    <row r="217" spans="2:56" customFormat="1" hidden="1">
      <c r="B217" s="54">
        <v>69</v>
      </c>
      <c r="C217" s="64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</row>
    <row r="218" spans="2:56" customFormat="1" hidden="1">
      <c r="B218" s="54">
        <v>70</v>
      </c>
      <c r="C218" s="64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</row>
    <row r="219" spans="2:56" customFormat="1" hidden="1">
      <c r="B219" s="54">
        <v>71</v>
      </c>
      <c r="C219" s="64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</row>
    <row r="220" spans="2:56" customFormat="1" hidden="1">
      <c r="B220" s="54">
        <v>72</v>
      </c>
      <c r="C220" s="64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</row>
    <row r="221" spans="2:56" customFormat="1" hidden="1">
      <c r="B221" s="54">
        <v>73</v>
      </c>
      <c r="C221" s="64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</row>
    <row r="222" spans="2:56" customFormat="1" hidden="1">
      <c r="B222" s="54">
        <v>74</v>
      </c>
      <c r="C222" s="64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</row>
    <row r="223" spans="2:56" customFormat="1" hidden="1">
      <c r="B223" s="54">
        <v>75</v>
      </c>
      <c r="C223" s="64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</row>
    <row r="224" spans="2:56" customFormat="1" hidden="1">
      <c r="B224" s="54">
        <v>76</v>
      </c>
      <c r="C224" s="64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</row>
    <row r="225" spans="2:56" customFormat="1" hidden="1">
      <c r="B225" s="54">
        <v>77</v>
      </c>
      <c r="C225" s="64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</row>
    <row r="226" spans="2:56" customFormat="1" hidden="1">
      <c r="B226" s="54">
        <v>78</v>
      </c>
      <c r="C226" s="64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</row>
    <row r="227" spans="2:56" customFormat="1" hidden="1">
      <c r="B227" s="54">
        <v>79</v>
      </c>
      <c r="C227" s="64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</row>
    <row r="228" spans="2:56" customFormat="1" hidden="1">
      <c r="B228" s="54">
        <v>80</v>
      </c>
      <c r="C228" s="64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</row>
    <row r="229" spans="2:56" customFormat="1" hidden="1">
      <c r="B229" s="54">
        <v>81</v>
      </c>
      <c r="C229" s="64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</row>
    <row r="230" spans="2:56" customFormat="1" hidden="1">
      <c r="B230" s="54">
        <v>82</v>
      </c>
      <c r="C230" s="64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</row>
    <row r="231" spans="2:56" customFormat="1" hidden="1">
      <c r="B231" s="54">
        <v>83</v>
      </c>
      <c r="C231" s="64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</row>
    <row r="232" spans="2:56" customFormat="1" hidden="1">
      <c r="B232" s="54">
        <v>84</v>
      </c>
      <c r="C232" s="64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</row>
    <row r="233" spans="2:56" customFormat="1" hidden="1">
      <c r="B233" s="54">
        <v>85</v>
      </c>
      <c r="C233" s="64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</row>
    <row r="234" spans="2:56" customFormat="1" hidden="1">
      <c r="B234" s="54">
        <v>86</v>
      </c>
      <c r="C234" s="64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</row>
    <row r="235" spans="2:56" customFormat="1">
      <c r="B235" s="54"/>
      <c r="C235" s="69" t="s">
        <v>110</v>
      </c>
      <c r="D235" s="56">
        <f>COUNTA(D151:D234)</f>
        <v>0</v>
      </c>
      <c r="E235" s="56">
        <f>COUNTA(E151:E234)</f>
        <v>3</v>
      </c>
      <c r="F235" s="56">
        <f>COUNTA(F151:F234)</f>
        <v>0</v>
      </c>
      <c r="G235" s="56">
        <f t="shared" ref="G235:AH235" si="1">COUNTA(G151:G234)</f>
        <v>2</v>
      </c>
      <c r="H235" s="56">
        <f t="shared" si="1"/>
        <v>3</v>
      </c>
      <c r="I235" s="56">
        <f t="shared" si="1"/>
        <v>0</v>
      </c>
      <c r="J235" s="56">
        <f t="shared" si="1"/>
        <v>3</v>
      </c>
      <c r="K235" s="56">
        <f t="shared" si="1"/>
        <v>0</v>
      </c>
      <c r="L235" s="56">
        <f t="shared" si="1"/>
        <v>3</v>
      </c>
      <c r="M235" s="56">
        <f t="shared" si="1"/>
        <v>0</v>
      </c>
      <c r="N235" s="56">
        <f t="shared" si="1"/>
        <v>4</v>
      </c>
      <c r="O235" s="56">
        <f t="shared" si="1"/>
        <v>4</v>
      </c>
      <c r="P235" s="56">
        <f t="shared" si="1"/>
        <v>4</v>
      </c>
      <c r="Q235" s="56">
        <f t="shared" si="1"/>
        <v>0</v>
      </c>
      <c r="R235" s="56">
        <f t="shared" si="1"/>
        <v>4</v>
      </c>
      <c r="S235" s="56">
        <f t="shared" si="1"/>
        <v>3</v>
      </c>
      <c r="T235" s="56">
        <f t="shared" si="1"/>
        <v>0</v>
      </c>
      <c r="U235" s="56">
        <f t="shared" si="1"/>
        <v>1</v>
      </c>
      <c r="V235" s="56">
        <f t="shared" si="1"/>
        <v>7</v>
      </c>
      <c r="W235" s="56">
        <f t="shared" si="1"/>
        <v>1</v>
      </c>
      <c r="X235" s="56">
        <f t="shared" si="1"/>
        <v>3</v>
      </c>
      <c r="Y235" s="56">
        <f t="shared" si="1"/>
        <v>6</v>
      </c>
      <c r="Z235" s="56">
        <f t="shared" si="1"/>
        <v>1</v>
      </c>
      <c r="AA235" s="56">
        <f t="shared" si="1"/>
        <v>0</v>
      </c>
      <c r="AB235" s="56">
        <f t="shared" si="1"/>
        <v>7</v>
      </c>
      <c r="AC235" s="56">
        <f t="shared" si="1"/>
        <v>4</v>
      </c>
      <c r="AD235" s="56">
        <f t="shared" si="1"/>
        <v>0</v>
      </c>
      <c r="AE235" s="56">
        <f t="shared" si="1"/>
        <v>5</v>
      </c>
      <c r="AF235" s="56">
        <f t="shared" si="1"/>
        <v>3</v>
      </c>
      <c r="AG235" s="56">
        <f t="shared" si="1"/>
        <v>2</v>
      </c>
      <c r="AH235" s="56">
        <f t="shared" si="1"/>
        <v>0</v>
      </c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</row>
    <row r="236" spans="2:56" customFormat="1"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</row>
    <row r="237" spans="2:56" customFormat="1">
      <c r="B237" s="67" t="s">
        <v>60</v>
      </c>
      <c r="C237" s="68" t="s">
        <v>98</v>
      </c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 t="s">
        <v>49</v>
      </c>
      <c r="O237" s="46"/>
      <c r="P237" s="46" t="s">
        <v>49</v>
      </c>
      <c r="Q237" s="46" t="s">
        <v>49</v>
      </c>
      <c r="R237" s="46"/>
      <c r="S237" s="46" t="s">
        <v>49</v>
      </c>
      <c r="T237" s="46"/>
      <c r="U237" s="46" t="s">
        <v>49</v>
      </c>
      <c r="V237" s="46" t="s">
        <v>49</v>
      </c>
      <c r="W237" s="46" t="s">
        <v>49</v>
      </c>
      <c r="X237" s="46"/>
      <c r="Y237" s="46"/>
      <c r="Z237" s="46" t="s">
        <v>49</v>
      </c>
      <c r="AA237" s="46"/>
      <c r="AB237" s="46"/>
      <c r="AC237" s="46" t="s">
        <v>49</v>
      </c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</row>
    <row r="238" spans="2:56" customFormat="1">
      <c r="B238" s="67" t="s">
        <v>58</v>
      </c>
      <c r="C238" s="68" t="s">
        <v>99</v>
      </c>
      <c r="D238" s="46"/>
      <c r="E238" s="46"/>
      <c r="F238" s="46"/>
      <c r="G238" s="46"/>
      <c r="H238" s="46"/>
      <c r="I238" s="46"/>
      <c r="J238" s="46"/>
      <c r="K238" s="46" t="s">
        <v>49</v>
      </c>
      <c r="L238" s="46" t="s">
        <v>49</v>
      </c>
      <c r="M238" s="46" t="s">
        <v>49</v>
      </c>
      <c r="N238" s="46" t="s">
        <v>49</v>
      </c>
      <c r="O238" s="46"/>
      <c r="P238" s="46" t="s">
        <v>49</v>
      </c>
      <c r="Q238" s="46" t="s">
        <v>49</v>
      </c>
      <c r="R238" s="46"/>
      <c r="S238" s="46" t="s">
        <v>49</v>
      </c>
      <c r="T238" s="46" t="s">
        <v>49</v>
      </c>
      <c r="U238" s="46" t="s">
        <v>49</v>
      </c>
      <c r="V238" s="46" t="s">
        <v>49</v>
      </c>
      <c r="W238" s="46"/>
      <c r="X238" s="46" t="s">
        <v>49</v>
      </c>
      <c r="Y238" s="46" t="s">
        <v>49</v>
      </c>
      <c r="Z238" s="46" t="s">
        <v>49</v>
      </c>
      <c r="AA238" s="46" t="s">
        <v>49</v>
      </c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</row>
    <row r="239" spans="2:56" customFormat="1">
      <c r="B239" s="67" t="s">
        <v>59</v>
      </c>
      <c r="C239" s="68" t="s">
        <v>100</v>
      </c>
      <c r="D239" s="46"/>
      <c r="E239" s="46"/>
      <c r="F239" s="46"/>
      <c r="G239" s="46"/>
      <c r="H239" s="46"/>
      <c r="I239" s="46"/>
      <c r="J239" s="46" t="s">
        <v>49</v>
      </c>
      <c r="K239" s="46"/>
      <c r="L239" s="46"/>
      <c r="M239" s="46" t="s">
        <v>49</v>
      </c>
      <c r="N239" s="46"/>
      <c r="O239" s="46" t="s">
        <v>49</v>
      </c>
      <c r="P239" s="46" t="s">
        <v>49</v>
      </c>
      <c r="Q239" s="46"/>
      <c r="R239" s="46" t="s">
        <v>49</v>
      </c>
      <c r="S239" s="46" t="s">
        <v>49</v>
      </c>
      <c r="T239" s="46" t="s">
        <v>49</v>
      </c>
      <c r="U239" s="46"/>
      <c r="V239" s="46"/>
      <c r="W239" s="46"/>
      <c r="X239" s="46" t="s">
        <v>49</v>
      </c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</row>
    <row r="240" spans="2:56" customFormat="1">
      <c r="B240" s="46"/>
      <c r="C240" s="46"/>
      <c r="D240" s="46"/>
      <c r="E240" s="46"/>
      <c r="F240" s="46"/>
      <c r="G240" s="46"/>
      <c r="H240" s="46"/>
      <c r="I240" s="46"/>
      <c r="J240" s="46"/>
      <c r="K240" s="46" t="s">
        <v>49</v>
      </c>
      <c r="L240" s="46"/>
      <c r="M240" s="46" t="s">
        <v>49</v>
      </c>
      <c r="N240" s="46"/>
      <c r="O240" s="46" t="s">
        <v>49</v>
      </c>
      <c r="P240" s="46"/>
      <c r="Q240" s="46" t="s">
        <v>49</v>
      </c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 t="s">
        <v>49</v>
      </c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</row>
    <row r="241" spans="2:56" customFormat="1"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 t="s">
        <v>49</v>
      </c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</row>
    <row r="242" spans="2:56" customFormat="1"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 t="s">
        <v>49</v>
      </c>
      <c r="P242" s="46" t="s">
        <v>49</v>
      </c>
      <c r="Q242" s="46"/>
      <c r="R242" s="46"/>
      <c r="S242" s="46"/>
      <c r="T242" s="46" t="s">
        <v>49</v>
      </c>
      <c r="U242" s="46"/>
      <c r="V242" s="46"/>
      <c r="W242" s="46"/>
      <c r="X242" s="46" t="s">
        <v>49</v>
      </c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</row>
    <row r="243" spans="2:56" customFormat="1"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</row>
    <row r="244" spans="2:56" customFormat="1"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 t="s">
        <v>49</v>
      </c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</row>
    <row r="245" spans="2:56" customFormat="1"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</row>
    <row r="246" spans="2:56" customFormat="1"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 t="s">
        <v>49</v>
      </c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</row>
    <row r="247" spans="2:56" customFormat="1"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 t="s">
        <v>49</v>
      </c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</row>
    <row r="248" spans="2:56" customFormat="1"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</row>
    <row r="249" spans="2:56" customFormat="1"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</row>
    <row r="250" spans="2:56" customFormat="1"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</row>
    <row r="251" spans="2:56" customFormat="1"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 t="s">
        <v>49</v>
      </c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</row>
    <row r="252" spans="2:56" customFormat="1"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</row>
    <row r="253" spans="2:56" customFormat="1"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</row>
    <row r="254" spans="2:56" customFormat="1"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</row>
    <row r="255" spans="2:56" customFormat="1"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</row>
    <row r="256" spans="2:56" customFormat="1"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</row>
    <row r="257" spans="2:56" customFormat="1"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</row>
    <row r="258" spans="2:56" customFormat="1"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</row>
    <row r="259" spans="2:56" customFormat="1"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</row>
    <row r="260" spans="2:56" customFormat="1"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</row>
    <row r="261" spans="2:56" customFormat="1"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</row>
    <row r="262" spans="2:56" customFormat="1"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</row>
    <row r="263" spans="2:56" customFormat="1"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</row>
    <row r="264" spans="2:56" customFormat="1"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</row>
    <row r="265" spans="2:56" customFormat="1"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</row>
    <row r="266" spans="2:56" customFormat="1"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</row>
    <row r="267" spans="2:56" customFormat="1"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</row>
    <row r="268" spans="2:56" customFormat="1"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</row>
    <row r="269" spans="2:56" customFormat="1"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</row>
    <row r="270" spans="2:56" customFormat="1"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</row>
    <row r="271" spans="2:56" customFormat="1"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</row>
    <row r="272" spans="2:56" customFormat="1"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</row>
    <row r="273" spans="2:56" customFormat="1"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</row>
    <row r="274" spans="2:56" customFormat="1"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</row>
    <row r="275" spans="2:56" customFormat="1"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</row>
    <row r="276" spans="2:56" customFormat="1"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</row>
    <row r="277" spans="2:56" customFormat="1"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6"/>
    </row>
    <row r="278" spans="2:56" customFormat="1"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</row>
    <row r="279" spans="2:56" customFormat="1"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6"/>
    </row>
    <row r="280" spans="2:56" customFormat="1"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</row>
    <row r="281" spans="2:56" customFormat="1"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</row>
    <row r="282" spans="2:56" customFormat="1"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</row>
    <row r="283" spans="2:56" customFormat="1"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6"/>
    </row>
    <row r="284" spans="2:56" customFormat="1"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</row>
    <row r="285" spans="2:56" customFormat="1"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</row>
    <row r="286" spans="2:56" customFormat="1"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</row>
    <row r="287" spans="2:56" customFormat="1"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</row>
    <row r="288" spans="2:56" customFormat="1"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</row>
    <row r="289" spans="2:56" customFormat="1"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6"/>
    </row>
    <row r="290" spans="2:56" customFormat="1"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</row>
    <row r="291" spans="2:56" customFormat="1"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</row>
    <row r="292" spans="2:56" customFormat="1"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</row>
    <row r="293" spans="2:56" customFormat="1"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</row>
    <row r="294" spans="2:56" customFormat="1"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</row>
    <row r="295" spans="2:56" customFormat="1"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</row>
    <row r="296" spans="2:56" customFormat="1"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</row>
    <row r="297" spans="2:56" customFormat="1"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</row>
    <row r="298" spans="2:56" customFormat="1"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</row>
    <row r="299" spans="2:56" customFormat="1"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</row>
    <row r="300" spans="2:56" customFormat="1"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</row>
    <row r="301" spans="2:56" customFormat="1"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6"/>
    </row>
    <row r="302" spans="2:56" customFormat="1"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</row>
    <row r="303" spans="2:56" customFormat="1"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6"/>
    </row>
    <row r="304" spans="2:56" customFormat="1"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</row>
    <row r="305" spans="2:56" customFormat="1"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46"/>
    </row>
    <row r="306" spans="2:56" customFormat="1"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</row>
    <row r="307" spans="2:56" customFormat="1"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6"/>
    </row>
    <row r="308" spans="2:56" customFormat="1"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</row>
    <row r="309" spans="2:56" customFormat="1"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</row>
    <row r="310" spans="2:56" customFormat="1"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</row>
    <row r="311" spans="2:56" customFormat="1"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46"/>
    </row>
    <row r="312" spans="2:56" customFormat="1"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</row>
    <row r="313" spans="2:56" customFormat="1"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46"/>
    </row>
    <row r="314" spans="2:56" customFormat="1"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</row>
    <row r="315" spans="2:56" customFormat="1"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</row>
    <row r="316" spans="2:56" customFormat="1"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</row>
    <row r="317" spans="2:56" customFormat="1"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46"/>
    </row>
    <row r="318" spans="2:56" customFormat="1"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6"/>
    </row>
    <row r="319" spans="2:56" customFormat="1"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46"/>
    </row>
    <row r="320" spans="2:56" customFormat="1"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</row>
    <row r="321" spans="2:56" customFormat="1"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6"/>
    </row>
    <row r="322" spans="2:56" customFormat="1"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</row>
    <row r="323" spans="2:56" customFormat="1"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46"/>
    </row>
    <row r="324" spans="2:56" customFormat="1"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</row>
    <row r="325" spans="2:56" customFormat="1"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</row>
    <row r="326" spans="2:56" customFormat="1"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</row>
    <row r="327" spans="2:56" customFormat="1"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</row>
    <row r="328" spans="2:56" customFormat="1"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</row>
    <row r="329" spans="2:56" customFormat="1"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</row>
    <row r="330" spans="2:56" customFormat="1"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</row>
    <row r="331" spans="2:56" customFormat="1"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</row>
    <row r="332" spans="2:56" customFormat="1"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</row>
    <row r="333" spans="2:56" customFormat="1"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</row>
    <row r="334" spans="2:56" customFormat="1"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</row>
    <row r="335" spans="2:56" customFormat="1"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</row>
  </sheetData>
  <mergeCells count="4">
    <mergeCell ref="B1:AH1"/>
    <mergeCell ref="B2:AH2"/>
    <mergeCell ref="B145:AH145"/>
    <mergeCell ref="B146:AH146"/>
  </mergeCells>
  <conditionalFormatting sqref="M7:AH7 D24 O25:AH25 D30 O27:AH29 O31:AH32 D33:D34 D37:D38 N49:AG49 N52:AG53 N55:AG56 K62:AG62 N61:AG61 K65:AG65 O63:AG63 N66:AG66 D106 N69:AG69 D110 O111:AH112 D113:D115 P113:AH114 D118:D119 O116:AH117 D121:D124 O120:AH120 K57:AG58 N64:AG64 L108:AH109 D138:AH138 D126:D137 F126:AH137 E59:AG60 F121:AH124 F118:AH119 F115:AH115 F110:AH110 F106:AH106 E67:AG68 E54:AG54 E50:AG51 E48:AG48 F37:AH38 F33:AH34 F30:AH30 F24:AH24 O104:AH105 D107:AH107 D14:AH17 F21:AD21 AF21:AH21 AE22 D47:AG47 D71:AH71 D70:AG70 D26:AH26 D151:AH165 O39:AH46 D39:N41 D35:AH36 D168:N175 O166:AH172">
    <cfRule type="containsText" dxfId="471" priority="455" operator="containsText" text="B">
      <formula>NOT(ISERROR(SEARCH("B",D7)))</formula>
    </cfRule>
    <cfRule type="containsText" dxfId="470" priority="456" operator="containsText" text="TB">
      <formula>NOT(ISERROR(SEARCH("TB",D7)))</formula>
    </cfRule>
    <cfRule type="containsText" dxfId="469" priority="457" operator="containsText" text="T">
      <formula>NOT(ISERROR(SEARCH("T",D7)))</formula>
    </cfRule>
  </conditionalFormatting>
  <conditionalFormatting sqref="M7:AH7 D24 O25:AH25 D30 O27:AH29 O31:AH32 D33:D34 D37:D38 N49:AG49 N52:AG53 N55:AG56 K62:AG62 N61:AG61 K65:AG65 O63:AG63 N66:AG66 D106 N69:AG69 D110 O111:AH112 D113:D115 P113:AH114 D118:D119 O116:AH117 D121:D124 O120:AH120 K57:AG58 N64:AG64 L108:AH109 D126:D137 F126:AH137 E59:AG60 F121:AH124 F118:AH119 F115:AH115 F110:AH110 F106:AH106 E67:AG68 E54:AG54 E50:AG51 E48:AG48 F37:AH38 F33:AH34 F30:AH30 F24:AH24 D138:AH138 O104:AH105 D107:AH107 D14:AH17 F21:AD21 AF21:AH21 AE22 D47:AG47 D71:AH71 D70:AG70 D26:AH26 D151:AH165 O39:AH46 D39:N41 D35:AH36 D168:N175 O166:AH172">
    <cfRule type="containsText" dxfId="468" priority="454" operator="containsText" text="TB">
      <formula>NOT(ISERROR(SEARCH("TB",D7)))</formula>
    </cfRule>
  </conditionalFormatting>
  <conditionalFormatting sqref="B141:B143">
    <cfRule type="containsText" dxfId="467" priority="451" operator="containsText" text="B">
      <formula>NOT(ISERROR(SEARCH("B",B141)))</formula>
    </cfRule>
    <cfRule type="containsText" dxfId="466" priority="452" operator="containsText" text="TB">
      <formula>NOT(ISERROR(SEARCH("TB",B141)))</formula>
    </cfRule>
    <cfRule type="containsText" dxfId="465" priority="453" operator="containsText" text="T">
      <formula>NOT(ISERROR(SEARCH("T",B141)))</formula>
    </cfRule>
  </conditionalFormatting>
  <conditionalFormatting sqref="B141:B143">
    <cfRule type="containsText" dxfId="464" priority="450" operator="containsText" text="TB">
      <formula>NOT(ISERROR(SEARCH("TB",B141)))</formula>
    </cfRule>
  </conditionalFormatting>
  <conditionalFormatting sqref="D176:AH234 O173:AH175">
    <cfRule type="containsText" dxfId="463" priority="447" operator="containsText" text="B">
      <formula>NOT(ISERROR(SEARCH("B",D173)))</formula>
    </cfRule>
    <cfRule type="containsText" dxfId="462" priority="448" operator="containsText" text="TB">
      <formula>NOT(ISERROR(SEARCH("TB",D173)))</formula>
    </cfRule>
    <cfRule type="containsText" dxfId="461" priority="449" operator="containsText" text="T">
      <formula>NOT(ISERROR(SEARCH("T",D173)))</formula>
    </cfRule>
  </conditionalFormatting>
  <conditionalFormatting sqref="O173:AH175 D176:AH235">
    <cfRule type="containsText" dxfId="460" priority="446" operator="containsText" text="TB">
      <formula>NOT(ISERROR(SEARCH("TB",D173)))</formula>
    </cfRule>
  </conditionalFormatting>
  <conditionalFormatting sqref="B237:B239">
    <cfRule type="containsText" dxfId="459" priority="443" operator="containsText" text="B">
      <formula>NOT(ISERROR(SEARCH("B",B237)))</formula>
    </cfRule>
    <cfRule type="containsText" dxfId="458" priority="444" operator="containsText" text="TB">
      <formula>NOT(ISERROR(SEARCH("TB",B237)))</formula>
    </cfRule>
    <cfRule type="containsText" dxfId="457" priority="445" operator="containsText" text="T">
      <formula>NOT(ISERROR(SEARCH("T",B237)))</formula>
    </cfRule>
  </conditionalFormatting>
  <conditionalFormatting sqref="B237:B239">
    <cfRule type="containsText" dxfId="456" priority="442" operator="containsText" text="TB">
      <formula>NOT(ISERROR(SEARCH("TB",B237)))</formula>
    </cfRule>
  </conditionalFormatting>
  <conditionalFormatting sqref="D8:D11 M12:AH13 D19 D21 O20:AH20 D23 O22:AD22 F23:AH23 F19:AH19 F8:AH11 M18:AH18 AF22:AH22">
    <cfRule type="containsText" dxfId="455" priority="439" operator="containsText" text="B">
      <formula>NOT(ISERROR(SEARCH("B",D8)))</formula>
    </cfRule>
    <cfRule type="containsText" dxfId="454" priority="440" operator="containsText" text="TB">
      <formula>NOT(ISERROR(SEARCH("TB",D8)))</formula>
    </cfRule>
    <cfRule type="containsText" dxfId="453" priority="441" operator="containsText" text="T">
      <formula>NOT(ISERROR(SEARCH("T",D8)))</formula>
    </cfRule>
  </conditionalFormatting>
  <conditionalFormatting sqref="D8:D11 M12:AH13 D19 D21 O20:AH20 D23 O22:AD22 F23:AH23 F19:AH19 F8:AH11 M18:AH18 AF22:AH22">
    <cfRule type="containsText" dxfId="452" priority="438" operator="containsText" text="TB">
      <formula>NOT(ISERROR(SEARCH("TB",D8)))</formula>
    </cfRule>
  </conditionalFormatting>
  <conditionalFormatting sqref="D7 F7:L7">
    <cfRule type="containsText" dxfId="451" priority="435" operator="containsText" text="B">
      <formula>NOT(ISERROR(SEARCH("B",D7)))</formula>
    </cfRule>
    <cfRule type="containsText" dxfId="450" priority="436" operator="containsText" text="TB">
      <formula>NOT(ISERROR(SEARCH("TB",D7)))</formula>
    </cfRule>
    <cfRule type="containsText" dxfId="449" priority="437" operator="containsText" text="T">
      <formula>NOT(ISERROR(SEARCH("T",D7)))</formula>
    </cfRule>
  </conditionalFormatting>
  <conditionalFormatting sqref="D7 F7:L7">
    <cfRule type="containsText" dxfId="448" priority="434" operator="containsText" text="TB">
      <formula>NOT(ISERROR(SEARCH("TB",D7)))</formula>
    </cfRule>
  </conditionalFormatting>
  <conditionalFormatting sqref="D12:D13 F12:L13">
    <cfRule type="containsText" dxfId="447" priority="431" operator="containsText" text="B">
      <formula>NOT(ISERROR(SEARCH("B",D12)))</formula>
    </cfRule>
    <cfRule type="containsText" dxfId="446" priority="432" operator="containsText" text="TB">
      <formula>NOT(ISERROR(SEARCH("TB",D12)))</formula>
    </cfRule>
    <cfRule type="containsText" dxfId="445" priority="433" operator="containsText" text="T">
      <formula>NOT(ISERROR(SEARCH("T",D12)))</formula>
    </cfRule>
  </conditionalFormatting>
  <conditionalFormatting sqref="D12:D13 F12:L13">
    <cfRule type="containsText" dxfId="444" priority="430" operator="containsText" text="TB">
      <formula>NOT(ISERROR(SEARCH("TB",D12)))</formula>
    </cfRule>
  </conditionalFormatting>
  <conditionalFormatting sqref="D18 F18:L18">
    <cfRule type="containsText" dxfId="443" priority="427" operator="containsText" text="B">
      <formula>NOT(ISERROR(SEARCH("B",D18)))</formula>
    </cfRule>
    <cfRule type="containsText" dxfId="442" priority="428" operator="containsText" text="TB">
      <formula>NOT(ISERROR(SEARCH("TB",D18)))</formula>
    </cfRule>
    <cfRule type="containsText" dxfId="441" priority="429" operator="containsText" text="T">
      <formula>NOT(ISERROR(SEARCH("T",D18)))</formula>
    </cfRule>
  </conditionalFormatting>
  <conditionalFormatting sqref="D18 F18:L18">
    <cfRule type="containsText" dxfId="440" priority="426" operator="containsText" text="TB">
      <formula>NOT(ISERROR(SEARCH("TB",D18)))</formula>
    </cfRule>
  </conditionalFormatting>
  <conditionalFormatting sqref="D20 F20:N20">
    <cfRule type="containsText" dxfId="439" priority="423" operator="containsText" text="B">
      <formula>NOT(ISERROR(SEARCH("B",D20)))</formula>
    </cfRule>
    <cfRule type="containsText" dxfId="438" priority="424" operator="containsText" text="TB">
      <formula>NOT(ISERROR(SEARCH("TB",D20)))</formula>
    </cfRule>
    <cfRule type="containsText" dxfId="437" priority="425" operator="containsText" text="T">
      <formula>NOT(ISERROR(SEARCH("T",D20)))</formula>
    </cfRule>
  </conditionalFormatting>
  <conditionalFormatting sqref="D20 F20:N20">
    <cfRule type="containsText" dxfId="436" priority="422" operator="containsText" text="TB">
      <formula>NOT(ISERROR(SEARCH("TB",D20)))</formula>
    </cfRule>
  </conditionalFormatting>
  <conditionalFormatting sqref="D22 F22:N22">
    <cfRule type="containsText" dxfId="435" priority="419" operator="containsText" text="B">
      <formula>NOT(ISERROR(SEARCH("B",D22)))</formula>
    </cfRule>
    <cfRule type="containsText" dxfId="434" priority="420" operator="containsText" text="TB">
      <formula>NOT(ISERROR(SEARCH("TB",D22)))</formula>
    </cfRule>
    <cfRule type="containsText" dxfId="433" priority="421" operator="containsText" text="T">
      <formula>NOT(ISERROR(SEARCH("T",D22)))</formula>
    </cfRule>
  </conditionalFormatting>
  <conditionalFormatting sqref="D22 F22:N22">
    <cfRule type="containsText" dxfId="432" priority="418" operator="containsText" text="TB">
      <formula>NOT(ISERROR(SEARCH("TB",D22)))</formula>
    </cfRule>
  </conditionalFormatting>
  <conditionalFormatting sqref="D25 F25:N25">
    <cfRule type="containsText" dxfId="431" priority="415" operator="containsText" text="B">
      <formula>NOT(ISERROR(SEARCH("B",D25)))</formula>
    </cfRule>
    <cfRule type="containsText" dxfId="430" priority="416" operator="containsText" text="TB">
      <formula>NOT(ISERROR(SEARCH("TB",D25)))</formula>
    </cfRule>
    <cfRule type="containsText" dxfId="429" priority="417" operator="containsText" text="T">
      <formula>NOT(ISERROR(SEARCH("T",D25)))</formula>
    </cfRule>
  </conditionalFormatting>
  <conditionalFormatting sqref="D25 F25:N25">
    <cfRule type="containsText" dxfId="428" priority="414" operator="containsText" text="TB">
      <formula>NOT(ISERROR(SEARCH("TB",D25)))</formula>
    </cfRule>
  </conditionalFormatting>
  <conditionalFormatting sqref="D27:D29 F27:N29">
    <cfRule type="containsText" dxfId="427" priority="411" operator="containsText" text="B">
      <formula>NOT(ISERROR(SEARCH("B",D27)))</formula>
    </cfRule>
    <cfRule type="containsText" dxfId="426" priority="412" operator="containsText" text="TB">
      <formula>NOT(ISERROR(SEARCH("TB",D27)))</formula>
    </cfRule>
    <cfRule type="containsText" dxfId="425" priority="413" operator="containsText" text="T">
      <formula>NOT(ISERROR(SEARCH("T",D27)))</formula>
    </cfRule>
  </conditionalFormatting>
  <conditionalFormatting sqref="D27:D29 F27:N29">
    <cfRule type="containsText" dxfId="424" priority="410" operator="containsText" text="TB">
      <formula>NOT(ISERROR(SEARCH("TB",D27)))</formula>
    </cfRule>
  </conditionalFormatting>
  <conditionalFormatting sqref="D31:D32 F31:N32">
    <cfRule type="containsText" dxfId="423" priority="407" operator="containsText" text="B">
      <formula>NOT(ISERROR(SEARCH("B",D31)))</formula>
    </cfRule>
    <cfRule type="containsText" dxfId="422" priority="408" operator="containsText" text="TB">
      <formula>NOT(ISERROR(SEARCH("TB",D31)))</formula>
    </cfRule>
    <cfRule type="containsText" dxfId="421" priority="409" operator="containsText" text="T">
      <formula>NOT(ISERROR(SEARCH("T",D31)))</formula>
    </cfRule>
  </conditionalFormatting>
  <conditionalFormatting sqref="D31:D32 F31:N32">
    <cfRule type="containsText" dxfId="420" priority="406" operator="containsText" text="TB">
      <formula>NOT(ISERROR(SEARCH("TB",D31)))</formula>
    </cfRule>
  </conditionalFormatting>
  <conditionalFormatting sqref="D42:D43 F42:N43">
    <cfRule type="containsText" dxfId="419" priority="403" operator="containsText" text="B">
      <formula>NOT(ISERROR(SEARCH("B",D42)))</formula>
    </cfRule>
    <cfRule type="containsText" dxfId="418" priority="404" operator="containsText" text="TB">
      <formula>NOT(ISERROR(SEARCH("TB",D42)))</formula>
    </cfRule>
    <cfRule type="containsText" dxfId="417" priority="405" operator="containsText" text="T">
      <formula>NOT(ISERROR(SEARCH("T",D42)))</formula>
    </cfRule>
  </conditionalFormatting>
  <conditionalFormatting sqref="D42:D43 F42:N43">
    <cfRule type="containsText" dxfId="416" priority="402" operator="containsText" text="TB">
      <formula>NOT(ISERROR(SEARCH("TB",D42)))</formula>
    </cfRule>
  </conditionalFormatting>
  <conditionalFormatting sqref="D44:D46 F44:N46">
    <cfRule type="containsText" dxfId="415" priority="399" operator="containsText" text="B">
      <formula>NOT(ISERROR(SEARCH("B",D44)))</formula>
    </cfRule>
    <cfRule type="containsText" dxfId="414" priority="400" operator="containsText" text="TB">
      <formula>NOT(ISERROR(SEARCH("TB",D44)))</formula>
    </cfRule>
    <cfRule type="containsText" dxfId="413" priority="401" operator="containsText" text="T">
      <formula>NOT(ISERROR(SEARCH("T",D44)))</formula>
    </cfRule>
  </conditionalFormatting>
  <conditionalFormatting sqref="D44:D46 F44:N46">
    <cfRule type="containsText" dxfId="412" priority="398" operator="containsText" text="TB">
      <formula>NOT(ISERROR(SEARCH("TB",D44)))</formula>
    </cfRule>
  </conditionalFormatting>
  <conditionalFormatting sqref="E49:M49">
    <cfRule type="containsText" dxfId="411" priority="395" operator="containsText" text="B">
      <formula>NOT(ISERROR(SEARCH("B",E49)))</formula>
    </cfRule>
    <cfRule type="containsText" dxfId="410" priority="396" operator="containsText" text="TB">
      <formula>NOT(ISERROR(SEARCH("TB",E49)))</formula>
    </cfRule>
    <cfRule type="containsText" dxfId="409" priority="397" operator="containsText" text="T">
      <formula>NOT(ISERROR(SEARCH("T",E49)))</formula>
    </cfRule>
  </conditionalFormatting>
  <conditionalFormatting sqref="E49:M49">
    <cfRule type="containsText" dxfId="408" priority="394" operator="containsText" text="TB">
      <formula>NOT(ISERROR(SEARCH("TB",E49)))</formula>
    </cfRule>
  </conditionalFormatting>
  <conditionalFormatting sqref="E52:M52">
    <cfRule type="containsText" dxfId="407" priority="391" operator="containsText" text="B">
      <formula>NOT(ISERROR(SEARCH("B",E52)))</formula>
    </cfRule>
    <cfRule type="containsText" dxfId="406" priority="392" operator="containsText" text="TB">
      <formula>NOT(ISERROR(SEARCH("TB",E52)))</formula>
    </cfRule>
    <cfRule type="containsText" dxfId="405" priority="393" operator="containsText" text="T">
      <formula>NOT(ISERROR(SEARCH("T",E52)))</formula>
    </cfRule>
  </conditionalFormatting>
  <conditionalFormatting sqref="E52:M52">
    <cfRule type="containsText" dxfId="404" priority="390" operator="containsText" text="TB">
      <formula>NOT(ISERROR(SEARCH("TB",E52)))</formula>
    </cfRule>
  </conditionalFormatting>
  <conditionalFormatting sqref="E53:M53">
    <cfRule type="containsText" dxfId="403" priority="387" operator="containsText" text="B">
      <formula>NOT(ISERROR(SEARCH("B",E53)))</formula>
    </cfRule>
    <cfRule type="containsText" dxfId="402" priority="388" operator="containsText" text="TB">
      <formula>NOT(ISERROR(SEARCH("TB",E53)))</formula>
    </cfRule>
    <cfRule type="containsText" dxfId="401" priority="389" operator="containsText" text="T">
      <formula>NOT(ISERROR(SEARCH("T",E53)))</formula>
    </cfRule>
  </conditionalFormatting>
  <conditionalFormatting sqref="E53:M53">
    <cfRule type="containsText" dxfId="400" priority="386" operator="containsText" text="TB">
      <formula>NOT(ISERROR(SEARCH("TB",E53)))</formula>
    </cfRule>
  </conditionalFormatting>
  <conditionalFormatting sqref="E55:M56">
    <cfRule type="containsText" dxfId="399" priority="383" operator="containsText" text="B">
      <formula>NOT(ISERROR(SEARCH("B",E55)))</formula>
    </cfRule>
    <cfRule type="containsText" dxfId="398" priority="384" operator="containsText" text="TB">
      <formula>NOT(ISERROR(SEARCH("TB",E55)))</formula>
    </cfRule>
    <cfRule type="containsText" dxfId="397" priority="385" operator="containsText" text="T">
      <formula>NOT(ISERROR(SEARCH("T",E55)))</formula>
    </cfRule>
  </conditionalFormatting>
  <conditionalFormatting sqref="E55:M56">
    <cfRule type="containsText" dxfId="396" priority="382" operator="containsText" text="TB">
      <formula>NOT(ISERROR(SEARCH("TB",E55)))</formula>
    </cfRule>
  </conditionalFormatting>
  <conditionalFormatting sqref="E61:M61">
    <cfRule type="containsText" dxfId="395" priority="379" operator="containsText" text="B">
      <formula>NOT(ISERROR(SEARCH("B",E61)))</formula>
    </cfRule>
    <cfRule type="containsText" dxfId="394" priority="380" operator="containsText" text="TB">
      <formula>NOT(ISERROR(SEARCH("TB",E61)))</formula>
    </cfRule>
    <cfRule type="containsText" dxfId="393" priority="381" operator="containsText" text="T">
      <formula>NOT(ISERROR(SEARCH("T",E61)))</formula>
    </cfRule>
  </conditionalFormatting>
  <conditionalFormatting sqref="E61:M61">
    <cfRule type="containsText" dxfId="392" priority="378" operator="containsText" text="TB">
      <formula>NOT(ISERROR(SEARCH("TB",E61)))</formula>
    </cfRule>
  </conditionalFormatting>
  <conditionalFormatting sqref="E63:N63">
    <cfRule type="containsText" dxfId="391" priority="375" operator="containsText" text="B">
      <formula>NOT(ISERROR(SEARCH("B",E63)))</formula>
    </cfRule>
    <cfRule type="containsText" dxfId="390" priority="376" operator="containsText" text="TB">
      <formula>NOT(ISERROR(SEARCH("TB",E63)))</formula>
    </cfRule>
    <cfRule type="containsText" dxfId="389" priority="377" operator="containsText" text="T">
      <formula>NOT(ISERROR(SEARCH("T",E63)))</formula>
    </cfRule>
  </conditionalFormatting>
  <conditionalFormatting sqref="E63:N63">
    <cfRule type="containsText" dxfId="388" priority="374" operator="containsText" text="TB">
      <formula>NOT(ISERROR(SEARCH("TB",E63)))</formula>
    </cfRule>
  </conditionalFormatting>
  <conditionalFormatting sqref="E66:M66">
    <cfRule type="containsText" dxfId="387" priority="371" operator="containsText" text="B">
      <formula>NOT(ISERROR(SEARCH("B",E66)))</formula>
    </cfRule>
    <cfRule type="containsText" dxfId="386" priority="372" operator="containsText" text="TB">
      <formula>NOT(ISERROR(SEARCH("TB",E66)))</formula>
    </cfRule>
    <cfRule type="containsText" dxfId="385" priority="373" operator="containsText" text="T">
      <formula>NOT(ISERROR(SEARCH("T",E66)))</formula>
    </cfRule>
  </conditionalFormatting>
  <conditionalFormatting sqref="E66:M66">
    <cfRule type="containsText" dxfId="384" priority="370" operator="containsText" text="TB">
      <formula>NOT(ISERROR(SEARCH("TB",E66)))</formula>
    </cfRule>
  </conditionalFormatting>
  <conditionalFormatting sqref="E69:M69">
    <cfRule type="containsText" dxfId="383" priority="367" operator="containsText" text="B">
      <formula>NOT(ISERROR(SEARCH("B",E69)))</formula>
    </cfRule>
    <cfRule type="containsText" dxfId="382" priority="368" operator="containsText" text="TB">
      <formula>NOT(ISERROR(SEARCH("TB",E69)))</formula>
    </cfRule>
    <cfRule type="containsText" dxfId="381" priority="369" operator="containsText" text="T">
      <formula>NOT(ISERROR(SEARCH("T",E69)))</formula>
    </cfRule>
  </conditionalFormatting>
  <conditionalFormatting sqref="E69:M69">
    <cfRule type="containsText" dxfId="380" priority="366" operator="containsText" text="TB">
      <formula>NOT(ISERROR(SEARCH("TB",E69)))</formula>
    </cfRule>
  </conditionalFormatting>
  <conditionalFormatting sqref="D104:D105 F104:N105">
    <cfRule type="containsText" dxfId="379" priority="363" operator="containsText" text="B">
      <formula>NOT(ISERROR(SEARCH("B",D104)))</formula>
    </cfRule>
    <cfRule type="containsText" dxfId="378" priority="364" operator="containsText" text="TB">
      <formula>NOT(ISERROR(SEARCH("TB",D104)))</formula>
    </cfRule>
    <cfRule type="containsText" dxfId="377" priority="365" operator="containsText" text="T">
      <formula>NOT(ISERROR(SEARCH("T",D104)))</formula>
    </cfRule>
  </conditionalFormatting>
  <conditionalFormatting sqref="D104:D105 F104:N105">
    <cfRule type="containsText" dxfId="376" priority="362" operator="containsText" text="TB">
      <formula>NOT(ISERROR(SEARCH("TB",D104)))</formula>
    </cfRule>
  </conditionalFormatting>
  <conditionalFormatting sqref="D111 F111:N111">
    <cfRule type="containsText" dxfId="375" priority="359" operator="containsText" text="B">
      <formula>NOT(ISERROR(SEARCH("B",D111)))</formula>
    </cfRule>
    <cfRule type="containsText" dxfId="374" priority="360" operator="containsText" text="TB">
      <formula>NOT(ISERROR(SEARCH("TB",D111)))</formula>
    </cfRule>
    <cfRule type="containsText" dxfId="373" priority="361" operator="containsText" text="T">
      <formula>NOT(ISERROR(SEARCH("T",D111)))</formula>
    </cfRule>
  </conditionalFormatting>
  <conditionalFormatting sqref="D111 F111:N111">
    <cfRule type="containsText" dxfId="372" priority="358" operator="containsText" text="TB">
      <formula>NOT(ISERROR(SEARCH("TB",D111)))</formula>
    </cfRule>
  </conditionalFormatting>
  <conditionalFormatting sqref="D112 F112:N112">
    <cfRule type="containsText" dxfId="371" priority="355" operator="containsText" text="B">
      <formula>NOT(ISERROR(SEARCH("B",D112)))</formula>
    </cfRule>
    <cfRule type="containsText" dxfId="370" priority="356" operator="containsText" text="TB">
      <formula>NOT(ISERROR(SEARCH("TB",D112)))</formula>
    </cfRule>
    <cfRule type="containsText" dxfId="369" priority="357" operator="containsText" text="T">
      <formula>NOT(ISERROR(SEARCH("T",D112)))</formula>
    </cfRule>
  </conditionalFormatting>
  <conditionalFormatting sqref="D112 F112:N112">
    <cfRule type="containsText" dxfId="368" priority="354" operator="containsText" text="TB">
      <formula>NOT(ISERROR(SEARCH("TB",D112)))</formula>
    </cfRule>
  </conditionalFormatting>
  <conditionalFormatting sqref="F113:O114">
    <cfRule type="containsText" dxfId="367" priority="351" operator="containsText" text="B">
      <formula>NOT(ISERROR(SEARCH("B",F113)))</formula>
    </cfRule>
    <cfRule type="containsText" dxfId="366" priority="352" operator="containsText" text="TB">
      <formula>NOT(ISERROR(SEARCH("TB",F113)))</formula>
    </cfRule>
    <cfRule type="containsText" dxfId="365" priority="353" operator="containsText" text="T">
      <formula>NOT(ISERROR(SEARCH("T",F113)))</formula>
    </cfRule>
  </conditionalFormatting>
  <conditionalFormatting sqref="F113:O114">
    <cfRule type="containsText" dxfId="364" priority="350" operator="containsText" text="TB">
      <formula>NOT(ISERROR(SEARCH("TB",F113)))</formula>
    </cfRule>
  </conditionalFormatting>
  <conditionalFormatting sqref="D116:D117 F116:N117">
    <cfRule type="containsText" dxfId="363" priority="347" operator="containsText" text="B">
      <formula>NOT(ISERROR(SEARCH("B",D116)))</formula>
    </cfRule>
    <cfRule type="containsText" dxfId="362" priority="348" operator="containsText" text="TB">
      <formula>NOT(ISERROR(SEARCH("TB",D116)))</formula>
    </cfRule>
    <cfRule type="containsText" dxfId="361" priority="349" operator="containsText" text="T">
      <formula>NOT(ISERROR(SEARCH("T",D116)))</formula>
    </cfRule>
  </conditionalFormatting>
  <conditionalFormatting sqref="D116:D117 F116:N117">
    <cfRule type="containsText" dxfId="360" priority="346" operator="containsText" text="TB">
      <formula>NOT(ISERROR(SEARCH("TB",D116)))</formula>
    </cfRule>
  </conditionalFormatting>
  <conditionalFormatting sqref="D120 F120:N120">
    <cfRule type="containsText" dxfId="359" priority="343" operator="containsText" text="B">
      <formula>NOT(ISERROR(SEARCH("B",D120)))</formula>
    </cfRule>
    <cfRule type="containsText" dxfId="358" priority="344" operator="containsText" text="TB">
      <formula>NOT(ISERROR(SEARCH("TB",D120)))</formula>
    </cfRule>
    <cfRule type="containsText" dxfId="357" priority="345" operator="containsText" text="T">
      <formula>NOT(ISERROR(SEARCH("T",D120)))</formula>
    </cfRule>
  </conditionalFormatting>
  <conditionalFormatting sqref="D120 F120:N120">
    <cfRule type="containsText" dxfId="356" priority="342" operator="containsText" text="TB">
      <formula>NOT(ISERROR(SEARCH("TB",D120)))</formula>
    </cfRule>
  </conditionalFormatting>
  <conditionalFormatting sqref="E57:J58">
    <cfRule type="containsText" dxfId="355" priority="339" operator="containsText" text="B">
      <formula>NOT(ISERROR(SEARCH("B",E57)))</formula>
    </cfRule>
    <cfRule type="containsText" dxfId="354" priority="340" operator="containsText" text="TB">
      <formula>NOT(ISERROR(SEARCH("TB",E57)))</formula>
    </cfRule>
    <cfRule type="containsText" dxfId="353" priority="341" operator="containsText" text="T">
      <formula>NOT(ISERROR(SEARCH("T",E57)))</formula>
    </cfRule>
  </conditionalFormatting>
  <conditionalFormatting sqref="E57:J58">
    <cfRule type="containsText" dxfId="352" priority="338" operator="containsText" text="TB">
      <formula>NOT(ISERROR(SEARCH("TB",E57)))</formula>
    </cfRule>
  </conditionalFormatting>
  <conditionalFormatting sqref="E62:J62">
    <cfRule type="containsText" dxfId="351" priority="335" operator="containsText" text="B">
      <formula>NOT(ISERROR(SEARCH("B",E62)))</formula>
    </cfRule>
    <cfRule type="containsText" dxfId="350" priority="336" operator="containsText" text="TB">
      <formula>NOT(ISERROR(SEARCH("TB",E62)))</formula>
    </cfRule>
    <cfRule type="containsText" dxfId="349" priority="337" operator="containsText" text="T">
      <formula>NOT(ISERROR(SEARCH("T",E62)))</formula>
    </cfRule>
  </conditionalFormatting>
  <conditionalFormatting sqref="E62:J62">
    <cfRule type="containsText" dxfId="348" priority="334" operator="containsText" text="TB">
      <formula>NOT(ISERROR(SEARCH("TB",E62)))</formula>
    </cfRule>
  </conditionalFormatting>
  <conditionalFormatting sqref="E64:M64">
    <cfRule type="containsText" dxfId="347" priority="331" operator="containsText" text="B">
      <formula>NOT(ISERROR(SEARCH("B",E64)))</formula>
    </cfRule>
    <cfRule type="containsText" dxfId="346" priority="332" operator="containsText" text="TB">
      <formula>NOT(ISERROR(SEARCH("TB",E64)))</formula>
    </cfRule>
    <cfRule type="containsText" dxfId="345" priority="333" operator="containsText" text="T">
      <formula>NOT(ISERROR(SEARCH("T",E64)))</formula>
    </cfRule>
  </conditionalFormatting>
  <conditionalFormatting sqref="E64:M64">
    <cfRule type="containsText" dxfId="344" priority="330" operator="containsText" text="TB">
      <formula>NOT(ISERROR(SEARCH("TB",E64)))</formula>
    </cfRule>
  </conditionalFormatting>
  <conditionalFormatting sqref="E65:J65">
    <cfRule type="containsText" dxfId="343" priority="327" operator="containsText" text="B">
      <formula>NOT(ISERROR(SEARCH("B",E65)))</formula>
    </cfRule>
    <cfRule type="containsText" dxfId="342" priority="328" operator="containsText" text="TB">
      <formula>NOT(ISERROR(SEARCH("TB",E65)))</formula>
    </cfRule>
    <cfRule type="containsText" dxfId="341" priority="329" operator="containsText" text="T">
      <formula>NOT(ISERROR(SEARCH("T",E65)))</formula>
    </cfRule>
  </conditionalFormatting>
  <conditionalFormatting sqref="E65:J65">
    <cfRule type="containsText" dxfId="340" priority="326" operator="containsText" text="TB">
      <formula>NOT(ISERROR(SEARCH("TB",E65)))</formula>
    </cfRule>
  </conditionalFormatting>
  <conditionalFormatting sqref="D108:D109 F108:K109">
    <cfRule type="containsText" dxfId="339" priority="323" operator="containsText" text="B">
      <formula>NOT(ISERROR(SEARCH("B",D108)))</formula>
    </cfRule>
    <cfRule type="containsText" dxfId="338" priority="324" operator="containsText" text="TB">
      <formula>NOT(ISERROR(SEARCH("TB",D108)))</formula>
    </cfRule>
    <cfRule type="containsText" dxfId="337" priority="325" operator="containsText" text="T">
      <formula>NOT(ISERROR(SEARCH("T",D108)))</formula>
    </cfRule>
  </conditionalFormatting>
  <conditionalFormatting sqref="D108:D109 F108:K109">
    <cfRule type="containsText" dxfId="336" priority="322" operator="containsText" text="TB">
      <formula>NOT(ISERROR(SEARCH("TB",D108)))</formula>
    </cfRule>
  </conditionalFormatting>
  <conditionalFormatting sqref="D166:N167">
    <cfRule type="containsText" dxfId="335" priority="319" operator="containsText" text="B">
      <formula>NOT(ISERROR(SEARCH("B",D166)))</formula>
    </cfRule>
    <cfRule type="containsText" dxfId="334" priority="320" operator="containsText" text="TB">
      <formula>NOT(ISERROR(SEARCH("TB",D166)))</formula>
    </cfRule>
    <cfRule type="containsText" dxfId="333" priority="321" operator="containsText" text="T">
      <formula>NOT(ISERROR(SEARCH("T",D166)))</formula>
    </cfRule>
  </conditionalFormatting>
  <conditionalFormatting sqref="D166:N167">
    <cfRule type="containsText" dxfId="332" priority="318" operator="containsText" text="TB">
      <formula>NOT(ISERROR(SEARCH("TB",D166)))</formula>
    </cfRule>
  </conditionalFormatting>
  <conditionalFormatting sqref="D125 F125:AH125">
    <cfRule type="containsText" dxfId="331" priority="315" operator="containsText" text="B">
      <formula>NOT(ISERROR(SEARCH("B",D125)))</formula>
    </cfRule>
    <cfRule type="containsText" dxfId="330" priority="316" operator="containsText" text="TB">
      <formula>NOT(ISERROR(SEARCH("TB",D125)))</formula>
    </cfRule>
    <cfRule type="containsText" dxfId="329" priority="317" operator="containsText" text="T">
      <formula>NOT(ISERROR(SEARCH("T",D125)))</formula>
    </cfRule>
  </conditionalFormatting>
  <conditionalFormatting sqref="D125 F125:AH125">
    <cfRule type="containsText" dxfId="328" priority="314" operator="containsText" text="TB">
      <formula>NOT(ISERROR(SEARCH("TB",D125)))</formula>
    </cfRule>
  </conditionalFormatting>
  <conditionalFormatting sqref="E24 E30 E33:E34 E37:E38 D48 D50:D51 D54 D67:D68 E106 E110 E113:E115 E118:E119 E121:E124 D59:D60 E126:E137">
    <cfRule type="containsText" dxfId="327" priority="311" operator="containsText" text="B">
      <formula>NOT(ISERROR(SEARCH("B",D24)))</formula>
    </cfRule>
    <cfRule type="containsText" dxfId="326" priority="312" operator="containsText" text="TB">
      <formula>NOT(ISERROR(SEARCH("TB",D24)))</formula>
    </cfRule>
    <cfRule type="containsText" dxfId="325" priority="313" operator="containsText" text="T">
      <formula>NOT(ISERROR(SEARCH("T",D24)))</formula>
    </cfRule>
  </conditionalFormatting>
  <conditionalFormatting sqref="E24 E30 E33:E34 E37:E38 D48 D50:D51 D54 D67:D68 E106 E110 E113:E115 E118:E119 E121:E124 D59:D60 E126:E137">
    <cfRule type="containsText" dxfId="324" priority="310" operator="containsText" text="TB">
      <formula>NOT(ISERROR(SEARCH("TB",D24)))</formula>
    </cfRule>
  </conditionalFormatting>
  <conditionalFormatting sqref="E8:E11 E19 E21 E23">
    <cfRule type="containsText" dxfId="323" priority="307" operator="containsText" text="B">
      <formula>NOT(ISERROR(SEARCH("B",E8)))</formula>
    </cfRule>
    <cfRule type="containsText" dxfId="322" priority="308" operator="containsText" text="TB">
      <formula>NOT(ISERROR(SEARCH("TB",E8)))</formula>
    </cfRule>
    <cfRule type="containsText" dxfId="321" priority="309" operator="containsText" text="T">
      <formula>NOT(ISERROR(SEARCH("T",E8)))</formula>
    </cfRule>
  </conditionalFormatting>
  <conditionalFormatting sqref="E8:E11 E19 E21 E23">
    <cfRule type="containsText" dxfId="320" priority="306" operator="containsText" text="TB">
      <formula>NOT(ISERROR(SEARCH("TB",E8)))</formula>
    </cfRule>
  </conditionalFormatting>
  <conditionalFormatting sqref="E7">
    <cfRule type="containsText" dxfId="319" priority="303" operator="containsText" text="B">
      <formula>NOT(ISERROR(SEARCH("B",E7)))</formula>
    </cfRule>
    <cfRule type="containsText" dxfId="318" priority="304" operator="containsText" text="TB">
      <formula>NOT(ISERROR(SEARCH("TB",E7)))</formula>
    </cfRule>
    <cfRule type="containsText" dxfId="317" priority="305" operator="containsText" text="T">
      <formula>NOT(ISERROR(SEARCH("T",E7)))</formula>
    </cfRule>
  </conditionalFormatting>
  <conditionalFormatting sqref="E7">
    <cfRule type="containsText" dxfId="316" priority="302" operator="containsText" text="TB">
      <formula>NOT(ISERROR(SEARCH("TB",E7)))</formula>
    </cfRule>
  </conditionalFormatting>
  <conditionalFormatting sqref="E12:E13">
    <cfRule type="containsText" dxfId="315" priority="299" operator="containsText" text="B">
      <formula>NOT(ISERROR(SEARCH("B",E12)))</formula>
    </cfRule>
    <cfRule type="containsText" dxfId="314" priority="300" operator="containsText" text="TB">
      <formula>NOT(ISERROR(SEARCH("TB",E12)))</formula>
    </cfRule>
    <cfRule type="containsText" dxfId="313" priority="301" operator="containsText" text="T">
      <formula>NOT(ISERROR(SEARCH("T",E12)))</formula>
    </cfRule>
  </conditionalFormatting>
  <conditionalFormatting sqref="E12:E13">
    <cfRule type="containsText" dxfId="312" priority="298" operator="containsText" text="TB">
      <formula>NOT(ISERROR(SEARCH("TB",E12)))</formula>
    </cfRule>
  </conditionalFormatting>
  <conditionalFormatting sqref="E18">
    <cfRule type="containsText" dxfId="311" priority="295" operator="containsText" text="B">
      <formula>NOT(ISERROR(SEARCH("B",E18)))</formula>
    </cfRule>
    <cfRule type="containsText" dxfId="310" priority="296" operator="containsText" text="TB">
      <formula>NOT(ISERROR(SEARCH("TB",E18)))</formula>
    </cfRule>
    <cfRule type="containsText" dxfId="309" priority="297" operator="containsText" text="T">
      <formula>NOT(ISERROR(SEARCH("T",E18)))</formula>
    </cfRule>
  </conditionalFormatting>
  <conditionalFormatting sqref="E18">
    <cfRule type="containsText" dxfId="308" priority="294" operator="containsText" text="TB">
      <formula>NOT(ISERROR(SEARCH("TB",E18)))</formula>
    </cfRule>
  </conditionalFormatting>
  <conditionalFormatting sqref="E20">
    <cfRule type="containsText" dxfId="307" priority="291" operator="containsText" text="B">
      <formula>NOT(ISERROR(SEARCH("B",E20)))</formula>
    </cfRule>
    <cfRule type="containsText" dxfId="306" priority="292" operator="containsText" text="TB">
      <formula>NOT(ISERROR(SEARCH("TB",E20)))</formula>
    </cfRule>
    <cfRule type="containsText" dxfId="305" priority="293" operator="containsText" text="T">
      <formula>NOT(ISERROR(SEARCH("T",E20)))</formula>
    </cfRule>
  </conditionalFormatting>
  <conditionalFormatting sqref="E20">
    <cfRule type="containsText" dxfId="304" priority="290" operator="containsText" text="TB">
      <formula>NOT(ISERROR(SEARCH("TB",E20)))</formula>
    </cfRule>
  </conditionalFormatting>
  <conditionalFormatting sqref="E22">
    <cfRule type="containsText" dxfId="303" priority="287" operator="containsText" text="B">
      <formula>NOT(ISERROR(SEARCH("B",E22)))</formula>
    </cfRule>
    <cfRule type="containsText" dxfId="302" priority="288" operator="containsText" text="TB">
      <formula>NOT(ISERROR(SEARCH("TB",E22)))</formula>
    </cfRule>
    <cfRule type="containsText" dxfId="301" priority="289" operator="containsText" text="T">
      <formula>NOT(ISERROR(SEARCH("T",E22)))</formula>
    </cfRule>
  </conditionalFormatting>
  <conditionalFormatting sqref="E22">
    <cfRule type="containsText" dxfId="300" priority="286" operator="containsText" text="TB">
      <formula>NOT(ISERROR(SEARCH("TB",E22)))</formula>
    </cfRule>
  </conditionalFormatting>
  <conditionalFormatting sqref="E25">
    <cfRule type="containsText" dxfId="299" priority="283" operator="containsText" text="B">
      <formula>NOT(ISERROR(SEARCH("B",E25)))</formula>
    </cfRule>
    <cfRule type="containsText" dxfId="298" priority="284" operator="containsText" text="TB">
      <formula>NOT(ISERROR(SEARCH("TB",E25)))</formula>
    </cfRule>
    <cfRule type="containsText" dxfId="297" priority="285" operator="containsText" text="T">
      <formula>NOT(ISERROR(SEARCH("T",E25)))</formula>
    </cfRule>
  </conditionalFormatting>
  <conditionalFormatting sqref="E25">
    <cfRule type="containsText" dxfId="296" priority="282" operator="containsText" text="TB">
      <formula>NOT(ISERROR(SEARCH("TB",E25)))</formula>
    </cfRule>
  </conditionalFormatting>
  <conditionalFormatting sqref="E27:E29">
    <cfRule type="containsText" dxfId="295" priority="279" operator="containsText" text="B">
      <formula>NOT(ISERROR(SEARCH("B",E27)))</formula>
    </cfRule>
    <cfRule type="containsText" dxfId="294" priority="280" operator="containsText" text="TB">
      <formula>NOT(ISERROR(SEARCH("TB",E27)))</formula>
    </cfRule>
    <cfRule type="containsText" dxfId="293" priority="281" operator="containsText" text="T">
      <formula>NOT(ISERROR(SEARCH("T",E27)))</formula>
    </cfRule>
  </conditionalFormatting>
  <conditionalFormatting sqref="E27:E29">
    <cfRule type="containsText" dxfId="292" priority="278" operator="containsText" text="TB">
      <formula>NOT(ISERROR(SEARCH("TB",E27)))</formula>
    </cfRule>
  </conditionalFormatting>
  <conditionalFormatting sqref="E31:E32">
    <cfRule type="containsText" dxfId="291" priority="275" operator="containsText" text="B">
      <formula>NOT(ISERROR(SEARCH("B",E31)))</formula>
    </cfRule>
    <cfRule type="containsText" dxfId="290" priority="276" operator="containsText" text="TB">
      <formula>NOT(ISERROR(SEARCH("TB",E31)))</formula>
    </cfRule>
    <cfRule type="containsText" dxfId="289" priority="277" operator="containsText" text="T">
      <formula>NOT(ISERROR(SEARCH("T",E31)))</formula>
    </cfRule>
  </conditionalFormatting>
  <conditionalFormatting sqref="E31:E32">
    <cfRule type="containsText" dxfId="288" priority="274" operator="containsText" text="TB">
      <formula>NOT(ISERROR(SEARCH("TB",E31)))</formula>
    </cfRule>
  </conditionalFormatting>
  <conditionalFormatting sqref="E42:E43">
    <cfRule type="containsText" dxfId="287" priority="271" operator="containsText" text="B">
      <formula>NOT(ISERROR(SEARCH("B",E42)))</formula>
    </cfRule>
    <cfRule type="containsText" dxfId="286" priority="272" operator="containsText" text="TB">
      <formula>NOT(ISERROR(SEARCH("TB",E42)))</formula>
    </cfRule>
    <cfRule type="containsText" dxfId="285" priority="273" operator="containsText" text="T">
      <formula>NOT(ISERROR(SEARCH("T",E42)))</formula>
    </cfRule>
  </conditionalFormatting>
  <conditionalFormatting sqref="E42:E43">
    <cfRule type="containsText" dxfId="284" priority="270" operator="containsText" text="TB">
      <formula>NOT(ISERROR(SEARCH("TB",E42)))</formula>
    </cfRule>
  </conditionalFormatting>
  <conditionalFormatting sqref="E44:E46">
    <cfRule type="containsText" dxfId="283" priority="267" operator="containsText" text="B">
      <formula>NOT(ISERROR(SEARCH("B",E44)))</formula>
    </cfRule>
    <cfRule type="containsText" dxfId="282" priority="268" operator="containsText" text="TB">
      <formula>NOT(ISERROR(SEARCH("TB",E44)))</formula>
    </cfRule>
    <cfRule type="containsText" dxfId="281" priority="269" operator="containsText" text="T">
      <formula>NOT(ISERROR(SEARCH("T",E44)))</formula>
    </cfRule>
  </conditionalFormatting>
  <conditionalFormatting sqref="E44:E46">
    <cfRule type="containsText" dxfId="280" priority="266" operator="containsText" text="TB">
      <formula>NOT(ISERROR(SEARCH("TB",E44)))</formula>
    </cfRule>
  </conditionalFormatting>
  <conditionalFormatting sqref="D49">
    <cfRule type="containsText" dxfId="279" priority="263" operator="containsText" text="B">
      <formula>NOT(ISERROR(SEARCH("B",D49)))</formula>
    </cfRule>
    <cfRule type="containsText" dxfId="278" priority="264" operator="containsText" text="TB">
      <formula>NOT(ISERROR(SEARCH("TB",D49)))</formula>
    </cfRule>
    <cfRule type="containsText" dxfId="277" priority="265" operator="containsText" text="T">
      <formula>NOT(ISERROR(SEARCH("T",D49)))</formula>
    </cfRule>
  </conditionalFormatting>
  <conditionalFormatting sqref="D49">
    <cfRule type="containsText" dxfId="276" priority="262" operator="containsText" text="TB">
      <formula>NOT(ISERROR(SEARCH("TB",D49)))</formula>
    </cfRule>
  </conditionalFormatting>
  <conditionalFormatting sqref="D52">
    <cfRule type="containsText" dxfId="275" priority="259" operator="containsText" text="B">
      <formula>NOT(ISERROR(SEARCH("B",D52)))</formula>
    </cfRule>
    <cfRule type="containsText" dxfId="274" priority="260" operator="containsText" text="TB">
      <formula>NOT(ISERROR(SEARCH("TB",D52)))</formula>
    </cfRule>
    <cfRule type="containsText" dxfId="273" priority="261" operator="containsText" text="T">
      <formula>NOT(ISERROR(SEARCH("T",D52)))</formula>
    </cfRule>
  </conditionalFormatting>
  <conditionalFormatting sqref="D52">
    <cfRule type="containsText" dxfId="272" priority="258" operator="containsText" text="TB">
      <formula>NOT(ISERROR(SEARCH("TB",D52)))</formula>
    </cfRule>
  </conditionalFormatting>
  <conditionalFormatting sqref="D53">
    <cfRule type="containsText" dxfId="271" priority="255" operator="containsText" text="B">
      <formula>NOT(ISERROR(SEARCH("B",D53)))</formula>
    </cfRule>
    <cfRule type="containsText" dxfId="270" priority="256" operator="containsText" text="TB">
      <formula>NOT(ISERROR(SEARCH("TB",D53)))</formula>
    </cfRule>
    <cfRule type="containsText" dxfId="269" priority="257" operator="containsText" text="T">
      <formula>NOT(ISERROR(SEARCH("T",D53)))</formula>
    </cfRule>
  </conditionalFormatting>
  <conditionalFormatting sqref="D53">
    <cfRule type="containsText" dxfId="268" priority="254" operator="containsText" text="TB">
      <formula>NOT(ISERROR(SEARCH("TB",D53)))</formula>
    </cfRule>
  </conditionalFormatting>
  <conditionalFormatting sqref="D55:D56">
    <cfRule type="containsText" dxfId="267" priority="251" operator="containsText" text="B">
      <formula>NOT(ISERROR(SEARCH("B",D55)))</formula>
    </cfRule>
    <cfRule type="containsText" dxfId="266" priority="252" operator="containsText" text="TB">
      <formula>NOT(ISERROR(SEARCH("TB",D55)))</formula>
    </cfRule>
    <cfRule type="containsText" dxfId="265" priority="253" operator="containsText" text="T">
      <formula>NOT(ISERROR(SEARCH("T",D55)))</formula>
    </cfRule>
  </conditionalFormatting>
  <conditionalFormatting sqref="D55:D56">
    <cfRule type="containsText" dxfId="264" priority="250" operator="containsText" text="TB">
      <formula>NOT(ISERROR(SEARCH("TB",D55)))</formula>
    </cfRule>
  </conditionalFormatting>
  <conditionalFormatting sqref="D61">
    <cfRule type="containsText" dxfId="263" priority="247" operator="containsText" text="B">
      <formula>NOT(ISERROR(SEARCH("B",D61)))</formula>
    </cfRule>
    <cfRule type="containsText" dxfId="262" priority="248" operator="containsText" text="TB">
      <formula>NOT(ISERROR(SEARCH("TB",D61)))</formula>
    </cfRule>
    <cfRule type="containsText" dxfId="261" priority="249" operator="containsText" text="T">
      <formula>NOT(ISERROR(SEARCH("T",D61)))</formula>
    </cfRule>
  </conditionalFormatting>
  <conditionalFormatting sqref="D61">
    <cfRule type="containsText" dxfId="260" priority="246" operator="containsText" text="TB">
      <formula>NOT(ISERROR(SEARCH("TB",D61)))</formula>
    </cfRule>
  </conditionalFormatting>
  <conditionalFormatting sqref="D63">
    <cfRule type="containsText" dxfId="259" priority="243" operator="containsText" text="B">
      <formula>NOT(ISERROR(SEARCH("B",D63)))</formula>
    </cfRule>
    <cfRule type="containsText" dxfId="258" priority="244" operator="containsText" text="TB">
      <formula>NOT(ISERROR(SEARCH("TB",D63)))</formula>
    </cfRule>
    <cfRule type="containsText" dxfId="257" priority="245" operator="containsText" text="T">
      <formula>NOT(ISERROR(SEARCH("T",D63)))</formula>
    </cfRule>
  </conditionalFormatting>
  <conditionalFormatting sqref="D63">
    <cfRule type="containsText" dxfId="256" priority="242" operator="containsText" text="TB">
      <formula>NOT(ISERROR(SEARCH("TB",D63)))</formula>
    </cfRule>
  </conditionalFormatting>
  <conditionalFormatting sqref="D66">
    <cfRule type="containsText" dxfId="255" priority="239" operator="containsText" text="B">
      <formula>NOT(ISERROR(SEARCH("B",D66)))</formula>
    </cfRule>
    <cfRule type="containsText" dxfId="254" priority="240" operator="containsText" text="TB">
      <formula>NOT(ISERROR(SEARCH("TB",D66)))</formula>
    </cfRule>
    <cfRule type="containsText" dxfId="253" priority="241" operator="containsText" text="T">
      <formula>NOT(ISERROR(SEARCH("T",D66)))</formula>
    </cfRule>
  </conditionalFormatting>
  <conditionalFormatting sqref="D66">
    <cfRule type="containsText" dxfId="252" priority="238" operator="containsText" text="TB">
      <formula>NOT(ISERROR(SEARCH("TB",D66)))</formula>
    </cfRule>
  </conditionalFormatting>
  <conditionalFormatting sqref="D69">
    <cfRule type="containsText" dxfId="251" priority="235" operator="containsText" text="B">
      <formula>NOT(ISERROR(SEARCH("B",D69)))</formula>
    </cfRule>
    <cfRule type="containsText" dxfId="250" priority="236" operator="containsText" text="TB">
      <formula>NOT(ISERROR(SEARCH("TB",D69)))</formula>
    </cfRule>
    <cfRule type="containsText" dxfId="249" priority="237" operator="containsText" text="T">
      <formula>NOT(ISERROR(SEARCH("T",D69)))</formula>
    </cfRule>
  </conditionalFormatting>
  <conditionalFormatting sqref="D69">
    <cfRule type="containsText" dxfId="248" priority="234" operator="containsText" text="TB">
      <formula>NOT(ISERROR(SEARCH("TB",D69)))</formula>
    </cfRule>
  </conditionalFormatting>
  <conditionalFormatting sqref="E104:E105">
    <cfRule type="containsText" dxfId="247" priority="231" operator="containsText" text="B">
      <formula>NOT(ISERROR(SEARCH("B",E104)))</formula>
    </cfRule>
    <cfRule type="containsText" dxfId="246" priority="232" operator="containsText" text="TB">
      <formula>NOT(ISERROR(SEARCH("TB",E104)))</formula>
    </cfRule>
    <cfRule type="containsText" dxfId="245" priority="233" operator="containsText" text="T">
      <formula>NOT(ISERROR(SEARCH("T",E104)))</formula>
    </cfRule>
  </conditionalFormatting>
  <conditionalFormatting sqref="E104:E105">
    <cfRule type="containsText" dxfId="244" priority="230" operator="containsText" text="TB">
      <formula>NOT(ISERROR(SEARCH("TB",E104)))</formula>
    </cfRule>
  </conditionalFormatting>
  <conditionalFormatting sqref="E111">
    <cfRule type="containsText" dxfId="243" priority="227" operator="containsText" text="B">
      <formula>NOT(ISERROR(SEARCH("B",E111)))</formula>
    </cfRule>
    <cfRule type="containsText" dxfId="242" priority="228" operator="containsText" text="TB">
      <formula>NOT(ISERROR(SEARCH("TB",E111)))</formula>
    </cfRule>
    <cfRule type="containsText" dxfId="241" priority="229" operator="containsText" text="T">
      <formula>NOT(ISERROR(SEARCH("T",E111)))</formula>
    </cfRule>
  </conditionalFormatting>
  <conditionalFormatting sqref="E111">
    <cfRule type="containsText" dxfId="240" priority="226" operator="containsText" text="TB">
      <formula>NOT(ISERROR(SEARCH("TB",E111)))</formula>
    </cfRule>
  </conditionalFormatting>
  <conditionalFormatting sqref="E112">
    <cfRule type="containsText" dxfId="239" priority="223" operator="containsText" text="B">
      <formula>NOT(ISERROR(SEARCH("B",E112)))</formula>
    </cfRule>
    <cfRule type="containsText" dxfId="238" priority="224" operator="containsText" text="TB">
      <formula>NOT(ISERROR(SEARCH("TB",E112)))</formula>
    </cfRule>
    <cfRule type="containsText" dxfId="237" priority="225" operator="containsText" text="T">
      <formula>NOT(ISERROR(SEARCH("T",E112)))</formula>
    </cfRule>
  </conditionalFormatting>
  <conditionalFormatting sqref="E112">
    <cfRule type="containsText" dxfId="236" priority="222" operator="containsText" text="TB">
      <formula>NOT(ISERROR(SEARCH("TB",E112)))</formula>
    </cfRule>
  </conditionalFormatting>
  <conditionalFormatting sqref="E116:E117">
    <cfRule type="containsText" dxfId="235" priority="219" operator="containsText" text="B">
      <formula>NOT(ISERROR(SEARCH("B",E116)))</formula>
    </cfRule>
    <cfRule type="containsText" dxfId="234" priority="220" operator="containsText" text="TB">
      <formula>NOT(ISERROR(SEARCH("TB",E116)))</formula>
    </cfRule>
    <cfRule type="containsText" dxfId="233" priority="221" operator="containsText" text="T">
      <formula>NOT(ISERROR(SEARCH("T",E116)))</formula>
    </cfRule>
  </conditionalFormatting>
  <conditionalFormatting sqref="E116:E117">
    <cfRule type="containsText" dxfId="232" priority="218" operator="containsText" text="TB">
      <formula>NOT(ISERROR(SEARCH("TB",E116)))</formula>
    </cfRule>
  </conditionalFormatting>
  <conditionalFormatting sqref="E120">
    <cfRule type="containsText" dxfId="231" priority="215" operator="containsText" text="B">
      <formula>NOT(ISERROR(SEARCH("B",E120)))</formula>
    </cfRule>
    <cfRule type="containsText" dxfId="230" priority="216" operator="containsText" text="TB">
      <formula>NOT(ISERROR(SEARCH("TB",E120)))</formula>
    </cfRule>
    <cfRule type="containsText" dxfId="229" priority="217" operator="containsText" text="T">
      <formula>NOT(ISERROR(SEARCH("T",E120)))</formula>
    </cfRule>
  </conditionalFormatting>
  <conditionalFormatting sqref="E120">
    <cfRule type="containsText" dxfId="228" priority="214" operator="containsText" text="TB">
      <formula>NOT(ISERROR(SEARCH("TB",E120)))</formula>
    </cfRule>
  </conditionalFormatting>
  <conditionalFormatting sqref="D57:D58">
    <cfRule type="containsText" dxfId="227" priority="211" operator="containsText" text="B">
      <formula>NOT(ISERROR(SEARCH("B",D57)))</formula>
    </cfRule>
    <cfRule type="containsText" dxfId="226" priority="212" operator="containsText" text="TB">
      <formula>NOT(ISERROR(SEARCH("TB",D57)))</formula>
    </cfRule>
    <cfRule type="containsText" dxfId="225" priority="213" operator="containsText" text="T">
      <formula>NOT(ISERROR(SEARCH("T",D57)))</formula>
    </cfRule>
  </conditionalFormatting>
  <conditionalFormatting sqref="D57:D58">
    <cfRule type="containsText" dxfId="224" priority="210" operator="containsText" text="TB">
      <formula>NOT(ISERROR(SEARCH("TB",D57)))</formula>
    </cfRule>
  </conditionalFormatting>
  <conditionalFormatting sqref="D62">
    <cfRule type="containsText" dxfId="223" priority="207" operator="containsText" text="B">
      <formula>NOT(ISERROR(SEARCH("B",D62)))</formula>
    </cfRule>
    <cfRule type="containsText" dxfId="222" priority="208" operator="containsText" text="TB">
      <formula>NOT(ISERROR(SEARCH("TB",D62)))</formula>
    </cfRule>
    <cfRule type="containsText" dxfId="221" priority="209" operator="containsText" text="T">
      <formula>NOT(ISERROR(SEARCH("T",D62)))</formula>
    </cfRule>
  </conditionalFormatting>
  <conditionalFormatting sqref="D62">
    <cfRule type="containsText" dxfId="220" priority="206" operator="containsText" text="TB">
      <formula>NOT(ISERROR(SEARCH("TB",D62)))</formula>
    </cfRule>
  </conditionalFormatting>
  <conditionalFormatting sqref="D64">
    <cfRule type="containsText" dxfId="219" priority="203" operator="containsText" text="B">
      <formula>NOT(ISERROR(SEARCH("B",D64)))</formula>
    </cfRule>
    <cfRule type="containsText" dxfId="218" priority="204" operator="containsText" text="TB">
      <formula>NOT(ISERROR(SEARCH("TB",D64)))</formula>
    </cfRule>
    <cfRule type="containsText" dxfId="217" priority="205" operator="containsText" text="T">
      <formula>NOT(ISERROR(SEARCH("T",D64)))</formula>
    </cfRule>
  </conditionalFormatting>
  <conditionalFormatting sqref="D64">
    <cfRule type="containsText" dxfId="216" priority="202" operator="containsText" text="TB">
      <formula>NOT(ISERROR(SEARCH("TB",D64)))</formula>
    </cfRule>
  </conditionalFormatting>
  <conditionalFormatting sqref="D65">
    <cfRule type="containsText" dxfId="215" priority="199" operator="containsText" text="B">
      <formula>NOT(ISERROR(SEARCH("B",D65)))</formula>
    </cfRule>
    <cfRule type="containsText" dxfId="214" priority="200" operator="containsText" text="TB">
      <formula>NOT(ISERROR(SEARCH("TB",D65)))</formula>
    </cfRule>
    <cfRule type="containsText" dxfId="213" priority="201" operator="containsText" text="T">
      <formula>NOT(ISERROR(SEARCH("T",D65)))</formula>
    </cfRule>
  </conditionalFormatting>
  <conditionalFormatting sqref="D65">
    <cfRule type="containsText" dxfId="212" priority="198" operator="containsText" text="TB">
      <formula>NOT(ISERROR(SEARCH("TB",D65)))</formula>
    </cfRule>
  </conditionalFormatting>
  <conditionalFormatting sqref="E108:E109">
    <cfRule type="containsText" dxfId="211" priority="195" operator="containsText" text="B">
      <formula>NOT(ISERROR(SEARCH("B",E108)))</formula>
    </cfRule>
    <cfRule type="containsText" dxfId="210" priority="196" operator="containsText" text="TB">
      <formula>NOT(ISERROR(SEARCH("TB",E108)))</formula>
    </cfRule>
    <cfRule type="containsText" dxfId="209" priority="197" operator="containsText" text="T">
      <formula>NOT(ISERROR(SEARCH("T",E108)))</formula>
    </cfRule>
  </conditionalFormatting>
  <conditionalFormatting sqref="E108:E109">
    <cfRule type="containsText" dxfId="208" priority="194" operator="containsText" text="TB">
      <formula>NOT(ISERROR(SEARCH("TB",E108)))</formula>
    </cfRule>
  </conditionalFormatting>
  <conditionalFormatting sqref="E125">
    <cfRule type="containsText" dxfId="207" priority="191" operator="containsText" text="B">
      <formula>NOT(ISERROR(SEARCH("B",E125)))</formula>
    </cfRule>
    <cfRule type="containsText" dxfId="206" priority="192" operator="containsText" text="TB">
      <formula>NOT(ISERROR(SEARCH("TB",E125)))</formula>
    </cfRule>
    <cfRule type="containsText" dxfId="205" priority="193" operator="containsText" text="T">
      <formula>NOT(ISERROR(SEARCH("T",E125)))</formula>
    </cfRule>
  </conditionalFormatting>
  <conditionalFormatting sqref="E125">
    <cfRule type="containsText" dxfId="204" priority="190" operator="containsText" text="TB">
      <formula>NOT(ISERROR(SEARCH("TB",E125)))</formula>
    </cfRule>
  </conditionalFormatting>
  <conditionalFormatting sqref="D139:AH139">
    <cfRule type="containsText" dxfId="203" priority="189" operator="containsText" text="TB">
      <formula>NOT(ISERROR(SEARCH("TB",D139)))</formula>
    </cfRule>
  </conditionalFormatting>
  <conditionalFormatting sqref="D72 D75 O76:AH77 D78:D80 P78:AH79 D83:D84 O81:AH82 D86:D89 O85:AH85 L73:AH74 D103:AH103 D91:D102 F91:AH102 F86:AH89 F83:AH84 F80:AH80 F75:AH75 F72:AH72">
    <cfRule type="containsText" dxfId="202" priority="186" operator="containsText" text="B">
      <formula>NOT(ISERROR(SEARCH("B",D72)))</formula>
    </cfRule>
    <cfRule type="containsText" dxfId="201" priority="187" operator="containsText" text="TB">
      <formula>NOT(ISERROR(SEARCH("TB",D72)))</formula>
    </cfRule>
    <cfRule type="containsText" dxfId="200" priority="188" operator="containsText" text="T">
      <formula>NOT(ISERROR(SEARCH("T",D72)))</formula>
    </cfRule>
  </conditionalFormatting>
  <conditionalFormatting sqref="D72 D75 O76:AH77 D78:D80 P78:AH79 D83:D84 O81:AH82 D86:D89 O85:AH85 L73:AH74 D91:D102 F91:AH102 F86:AH89 F83:AH84 F80:AH80 F75:AH75 F72:AH72 D103:AH103">
    <cfRule type="containsText" dxfId="199" priority="185" operator="containsText" text="TB">
      <formula>NOT(ISERROR(SEARCH("TB",D72)))</formula>
    </cfRule>
  </conditionalFormatting>
  <conditionalFormatting sqref="D76 F76:N76">
    <cfRule type="containsText" dxfId="198" priority="182" operator="containsText" text="B">
      <formula>NOT(ISERROR(SEARCH("B",D76)))</formula>
    </cfRule>
    <cfRule type="containsText" dxfId="197" priority="183" operator="containsText" text="TB">
      <formula>NOT(ISERROR(SEARCH("TB",D76)))</formula>
    </cfRule>
    <cfRule type="containsText" dxfId="196" priority="184" operator="containsText" text="T">
      <formula>NOT(ISERROR(SEARCH("T",D76)))</formula>
    </cfRule>
  </conditionalFormatting>
  <conditionalFormatting sqref="D76 F76:N76">
    <cfRule type="containsText" dxfId="195" priority="181" operator="containsText" text="TB">
      <formula>NOT(ISERROR(SEARCH("TB",D76)))</formula>
    </cfRule>
  </conditionalFormatting>
  <conditionalFormatting sqref="D77 F77:N77">
    <cfRule type="containsText" dxfId="194" priority="178" operator="containsText" text="B">
      <formula>NOT(ISERROR(SEARCH("B",D77)))</formula>
    </cfRule>
    <cfRule type="containsText" dxfId="193" priority="179" operator="containsText" text="TB">
      <formula>NOT(ISERROR(SEARCH("TB",D77)))</formula>
    </cfRule>
    <cfRule type="containsText" dxfId="192" priority="180" operator="containsText" text="T">
      <formula>NOT(ISERROR(SEARCH("T",D77)))</formula>
    </cfRule>
  </conditionalFormatting>
  <conditionalFormatting sqref="D77 F77:N77">
    <cfRule type="containsText" dxfId="191" priority="177" operator="containsText" text="TB">
      <formula>NOT(ISERROR(SEARCH("TB",D77)))</formula>
    </cfRule>
  </conditionalFormatting>
  <conditionalFormatting sqref="F78:O79">
    <cfRule type="containsText" dxfId="190" priority="174" operator="containsText" text="B">
      <formula>NOT(ISERROR(SEARCH("B",F78)))</formula>
    </cfRule>
    <cfRule type="containsText" dxfId="189" priority="175" operator="containsText" text="TB">
      <formula>NOT(ISERROR(SEARCH("TB",F78)))</formula>
    </cfRule>
    <cfRule type="containsText" dxfId="188" priority="176" operator="containsText" text="T">
      <formula>NOT(ISERROR(SEARCH("T",F78)))</formula>
    </cfRule>
  </conditionalFormatting>
  <conditionalFormatting sqref="F78:O79">
    <cfRule type="containsText" dxfId="187" priority="173" operator="containsText" text="TB">
      <formula>NOT(ISERROR(SEARCH("TB",F78)))</formula>
    </cfRule>
  </conditionalFormatting>
  <conditionalFormatting sqref="D81:D82 F81:N82">
    <cfRule type="containsText" dxfId="186" priority="170" operator="containsText" text="B">
      <formula>NOT(ISERROR(SEARCH("B",D81)))</formula>
    </cfRule>
    <cfRule type="containsText" dxfId="185" priority="171" operator="containsText" text="TB">
      <formula>NOT(ISERROR(SEARCH("TB",D81)))</formula>
    </cfRule>
    <cfRule type="containsText" dxfId="184" priority="172" operator="containsText" text="T">
      <formula>NOT(ISERROR(SEARCH("T",D81)))</formula>
    </cfRule>
  </conditionalFormatting>
  <conditionalFormatting sqref="D81:D82 F81:N82">
    <cfRule type="containsText" dxfId="183" priority="169" operator="containsText" text="TB">
      <formula>NOT(ISERROR(SEARCH("TB",D81)))</formula>
    </cfRule>
  </conditionalFormatting>
  <conditionalFormatting sqref="D85 F85:N85">
    <cfRule type="containsText" dxfId="182" priority="166" operator="containsText" text="B">
      <formula>NOT(ISERROR(SEARCH("B",D85)))</formula>
    </cfRule>
    <cfRule type="containsText" dxfId="181" priority="167" operator="containsText" text="TB">
      <formula>NOT(ISERROR(SEARCH("TB",D85)))</formula>
    </cfRule>
    <cfRule type="containsText" dxfId="180" priority="168" operator="containsText" text="T">
      <formula>NOT(ISERROR(SEARCH("T",D85)))</formula>
    </cfRule>
  </conditionalFormatting>
  <conditionalFormatting sqref="D85 F85:N85">
    <cfRule type="containsText" dxfId="179" priority="165" operator="containsText" text="TB">
      <formula>NOT(ISERROR(SEARCH("TB",D85)))</formula>
    </cfRule>
  </conditionalFormatting>
  <conditionalFormatting sqref="D73:D74 F73:K74">
    <cfRule type="containsText" dxfId="178" priority="162" operator="containsText" text="B">
      <formula>NOT(ISERROR(SEARCH("B",D73)))</formula>
    </cfRule>
    <cfRule type="containsText" dxfId="177" priority="163" operator="containsText" text="TB">
      <formula>NOT(ISERROR(SEARCH("TB",D73)))</formula>
    </cfRule>
    <cfRule type="containsText" dxfId="176" priority="164" operator="containsText" text="T">
      <formula>NOT(ISERROR(SEARCH("T",D73)))</formula>
    </cfRule>
  </conditionalFormatting>
  <conditionalFormatting sqref="D73:D74 F73:K74">
    <cfRule type="containsText" dxfId="175" priority="161" operator="containsText" text="TB">
      <formula>NOT(ISERROR(SEARCH("TB",D73)))</formula>
    </cfRule>
  </conditionalFormatting>
  <conditionalFormatting sqref="D90 F90:AH90">
    <cfRule type="containsText" dxfId="174" priority="158" operator="containsText" text="B">
      <formula>NOT(ISERROR(SEARCH("B",D90)))</formula>
    </cfRule>
    <cfRule type="containsText" dxfId="173" priority="159" operator="containsText" text="TB">
      <formula>NOT(ISERROR(SEARCH("TB",D90)))</formula>
    </cfRule>
    <cfRule type="containsText" dxfId="172" priority="160" operator="containsText" text="T">
      <formula>NOT(ISERROR(SEARCH("T",D90)))</formula>
    </cfRule>
  </conditionalFormatting>
  <conditionalFormatting sqref="D90 F90:AH90">
    <cfRule type="containsText" dxfId="171" priority="157" operator="containsText" text="TB">
      <formula>NOT(ISERROR(SEARCH("TB",D90)))</formula>
    </cfRule>
  </conditionalFormatting>
  <conditionalFormatting sqref="E72 E75 E78:E80 E83:E84 E86:E89 E91:E102">
    <cfRule type="containsText" dxfId="170" priority="154" operator="containsText" text="B">
      <formula>NOT(ISERROR(SEARCH("B",E72)))</formula>
    </cfRule>
    <cfRule type="containsText" dxfId="169" priority="155" operator="containsText" text="TB">
      <formula>NOT(ISERROR(SEARCH("TB",E72)))</formula>
    </cfRule>
    <cfRule type="containsText" dxfId="168" priority="156" operator="containsText" text="T">
      <formula>NOT(ISERROR(SEARCH("T",E72)))</formula>
    </cfRule>
  </conditionalFormatting>
  <conditionalFormatting sqref="E72 E75 E78:E80 E83:E84 E86:E89 E91:E102">
    <cfRule type="containsText" dxfId="167" priority="153" operator="containsText" text="TB">
      <formula>NOT(ISERROR(SEARCH("TB",E72)))</formula>
    </cfRule>
  </conditionalFormatting>
  <conditionalFormatting sqref="E76">
    <cfRule type="containsText" dxfId="166" priority="150" operator="containsText" text="B">
      <formula>NOT(ISERROR(SEARCH("B",E76)))</formula>
    </cfRule>
    <cfRule type="containsText" dxfId="165" priority="151" operator="containsText" text="TB">
      <formula>NOT(ISERROR(SEARCH("TB",E76)))</formula>
    </cfRule>
    <cfRule type="containsText" dxfId="164" priority="152" operator="containsText" text="T">
      <formula>NOT(ISERROR(SEARCH("T",E76)))</formula>
    </cfRule>
  </conditionalFormatting>
  <conditionalFormatting sqref="E76">
    <cfRule type="containsText" dxfId="163" priority="149" operator="containsText" text="TB">
      <formula>NOT(ISERROR(SEARCH("TB",E76)))</formula>
    </cfRule>
  </conditionalFormatting>
  <conditionalFormatting sqref="E77">
    <cfRule type="containsText" dxfId="162" priority="146" operator="containsText" text="B">
      <formula>NOT(ISERROR(SEARCH("B",E77)))</formula>
    </cfRule>
    <cfRule type="containsText" dxfId="161" priority="147" operator="containsText" text="TB">
      <formula>NOT(ISERROR(SEARCH("TB",E77)))</formula>
    </cfRule>
    <cfRule type="containsText" dxfId="160" priority="148" operator="containsText" text="T">
      <formula>NOT(ISERROR(SEARCH("T",E77)))</formula>
    </cfRule>
  </conditionalFormatting>
  <conditionalFormatting sqref="E77">
    <cfRule type="containsText" dxfId="159" priority="145" operator="containsText" text="TB">
      <formula>NOT(ISERROR(SEARCH("TB",E77)))</formula>
    </cfRule>
  </conditionalFormatting>
  <conditionalFormatting sqref="E81:E82">
    <cfRule type="containsText" dxfId="158" priority="142" operator="containsText" text="B">
      <formula>NOT(ISERROR(SEARCH("B",E81)))</formula>
    </cfRule>
    <cfRule type="containsText" dxfId="157" priority="143" operator="containsText" text="TB">
      <formula>NOT(ISERROR(SEARCH("TB",E81)))</formula>
    </cfRule>
    <cfRule type="containsText" dxfId="156" priority="144" operator="containsText" text="T">
      <formula>NOT(ISERROR(SEARCH("T",E81)))</formula>
    </cfRule>
  </conditionalFormatting>
  <conditionalFormatting sqref="E81:E82">
    <cfRule type="containsText" dxfId="155" priority="141" operator="containsText" text="TB">
      <formula>NOT(ISERROR(SEARCH("TB",E81)))</formula>
    </cfRule>
  </conditionalFormatting>
  <conditionalFormatting sqref="E85">
    <cfRule type="containsText" dxfId="154" priority="138" operator="containsText" text="B">
      <formula>NOT(ISERROR(SEARCH("B",E85)))</formula>
    </cfRule>
    <cfRule type="containsText" dxfId="153" priority="139" operator="containsText" text="TB">
      <formula>NOT(ISERROR(SEARCH("TB",E85)))</formula>
    </cfRule>
    <cfRule type="containsText" dxfId="152" priority="140" operator="containsText" text="T">
      <formula>NOT(ISERROR(SEARCH("T",E85)))</formula>
    </cfRule>
  </conditionalFormatting>
  <conditionalFormatting sqref="E85">
    <cfRule type="containsText" dxfId="151" priority="137" operator="containsText" text="TB">
      <formula>NOT(ISERROR(SEARCH("TB",E85)))</formula>
    </cfRule>
  </conditionalFormatting>
  <conditionalFormatting sqref="E73:E74">
    <cfRule type="containsText" dxfId="150" priority="134" operator="containsText" text="B">
      <formula>NOT(ISERROR(SEARCH("B",E73)))</formula>
    </cfRule>
    <cfRule type="containsText" dxfId="149" priority="135" operator="containsText" text="TB">
      <formula>NOT(ISERROR(SEARCH("TB",E73)))</formula>
    </cfRule>
    <cfRule type="containsText" dxfId="148" priority="136" operator="containsText" text="T">
      <formula>NOT(ISERROR(SEARCH("T",E73)))</formula>
    </cfRule>
  </conditionalFormatting>
  <conditionalFormatting sqref="E73:E74">
    <cfRule type="containsText" dxfId="147" priority="133" operator="containsText" text="TB">
      <formula>NOT(ISERROR(SEARCH("TB",E73)))</formula>
    </cfRule>
  </conditionalFormatting>
  <conditionalFormatting sqref="E90">
    <cfRule type="containsText" dxfId="146" priority="130" operator="containsText" text="B">
      <formula>NOT(ISERROR(SEARCH("B",E90)))</formula>
    </cfRule>
    <cfRule type="containsText" dxfId="145" priority="131" operator="containsText" text="TB">
      <formula>NOT(ISERROR(SEARCH("TB",E90)))</formula>
    </cfRule>
    <cfRule type="containsText" dxfId="144" priority="132" operator="containsText" text="T">
      <formula>NOT(ISERROR(SEARCH("T",E90)))</formula>
    </cfRule>
  </conditionalFormatting>
  <conditionalFormatting sqref="E90">
    <cfRule type="containsText" dxfId="143" priority="129" operator="containsText" text="TB">
      <formula>NOT(ISERROR(SEARCH("TB",E90)))</formula>
    </cfRule>
  </conditionalFormatting>
  <conditionalFormatting sqref="C75:C121">
    <cfRule type="expression" dxfId="142" priority="126">
      <formula>AND($AL75&gt;0,$X75&gt;89)</formula>
    </cfRule>
    <cfRule type="expression" dxfId="141" priority="127">
      <formula>AND($AL75&gt;0,$X75&gt;59)</formula>
    </cfRule>
    <cfRule type="expression" dxfId="140" priority="128">
      <formula>AND($AL75&gt;0,$X75&gt;44)</formula>
    </cfRule>
  </conditionalFormatting>
  <conditionalFormatting sqref="AE21">
    <cfRule type="containsText" dxfId="139" priority="123" operator="containsText" text="B">
      <formula>NOT(ISERROR(SEARCH("B",AE21)))</formula>
    </cfRule>
    <cfRule type="containsText" dxfId="138" priority="124" operator="containsText" text="TB">
      <formula>NOT(ISERROR(SEARCH("TB",AE21)))</formula>
    </cfRule>
    <cfRule type="containsText" dxfId="137" priority="125" operator="containsText" text="T">
      <formula>NOT(ISERROR(SEARCH("T",AE21)))</formula>
    </cfRule>
  </conditionalFormatting>
  <conditionalFormatting sqref="AE21">
    <cfRule type="containsText" dxfId="136" priority="122" operator="containsText" text="TB">
      <formula>NOT(ISERROR(SEARCH("TB",AE21)))</formula>
    </cfRule>
  </conditionalFormatting>
  <conditionalFormatting sqref="B47:B70">
    <cfRule type="expression" dxfId="135" priority="458">
      <formula>AND($AK47&gt;0,$W47&gt;89)</formula>
    </cfRule>
    <cfRule type="expression" dxfId="134" priority="459">
      <formula>AND($AK47&gt;0,$W47&gt;59)</formula>
    </cfRule>
    <cfRule type="expression" dxfId="133" priority="460">
      <formula>AND($AK47&gt;0,$W47&gt;44)</formula>
    </cfRule>
  </conditionalFormatting>
  <conditionalFormatting sqref="C7:C13 C21:C70 C15:C19">
    <cfRule type="expression" dxfId="132" priority="119">
      <formula>AND($AK7&gt;0,$W7&gt;89)</formula>
    </cfRule>
    <cfRule type="expression" dxfId="131" priority="120">
      <formula>AND($AK7&gt;0,$W7&gt;59)</formula>
    </cfRule>
    <cfRule type="expression" dxfId="130" priority="121">
      <formula>AND($AK7&gt;0,$W7&gt;44)</formula>
    </cfRule>
  </conditionalFormatting>
  <conditionalFormatting sqref="C181">
    <cfRule type="expression" dxfId="129" priority="116">
      <formula>AND($AK181&gt;0,$W181&gt;89)</formula>
    </cfRule>
    <cfRule type="expression" dxfId="128" priority="117">
      <formula>AND($AK181&gt;0,$W181&gt;59)</formula>
    </cfRule>
    <cfRule type="expression" dxfId="127" priority="118">
      <formula>AND($AK181&gt;0,$W181&gt;44)</formula>
    </cfRule>
  </conditionalFormatting>
  <conditionalFormatting sqref="C182">
    <cfRule type="expression" dxfId="126" priority="113">
      <formula>AND($AK182&gt;0,$W182&gt;89)</formula>
    </cfRule>
    <cfRule type="expression" dxfId="125" priority="114">
      <formula>AND($AK182&gt;0,$W182&gt;59)</formula>
    </cfRule>
    <cfRule type="expression" dxfId="124" priority="115">
      <formula>AND($AK182&gt;0,$W182&gt;44)</formula>
    </cfRule>
  </conditionalFormatting>
  <conditionalFormatting sqref="C183">
    <cfRule type="expression" dxfId="123" priority="110">
      <formula>AND($AK183&gt;0,$W183&gt;89)</formula>
    </cfRule>
    <cfRule type="expression" dxfId="122" priority="111">
      <formula>AND($AK183&gt;0,$W183&gt;59)</formula>
    </cfRule>
    <cfRule type="expression" dxfId="121" priority="112">
      <formula>AND($AK183&gt;0,$W183&gt;44)</formula>
    </cfRule>
  </conditionalFormatting>
  <conditionalFormatting sqref="C184">
    <cfRule type="expression" dxfId="120" priority="107">
      <formula>AND($AK184&gt;0,$W184&gt;89)</formula>
    </cfRule>
    <cfRule type="expression" dxfId="119" priority="108">
      <formula>AND($AK184&gt;0,$W184&gt;59)</formula>
    </cfRule>
    <cfRule type="expression" dxfId="118" priority="109">
      <formula>AND($AK184&gt;0,$W184&gt;44)</formula>
    </cfRule>
  </conditionalFormatting>
  <conditionalFormatting sqref="C185">
    <cfRule type="expression" dxfId="117" priority="104">
      <formula>AND($AK185&gt;0,$W185&gt;89)</formula>
    </cfRule>
    <cfRule type="expression" dxfId="116" priority="105">
      <formula>AND($AK185&gt;0,$W185&gt;59)</formula>
    </cfRule>
    <cfRule type="expression" dxfId="115" priority="106">
      <formula>AND($AK185&gt;0,$W185&gt;44)</formula>
    </cfRule>
  </conditionalFormatting>
  <conditionalFormatting sqref="C186">
    <cfRule type="expression" dxfId="114" priority="101">
      <formula>AND($AK186&gt;0,$W186&gt;89)</formula>
    </cfRule>
    <cfRule type="expression" dxfId="113" priority="102">
      <formula>AND($AK186&gt;0,$W186&gt;59)</formula>
    </cfRule>
    <cfRule type="expression" dxfId="112" priority="103">
      <formula>AND($AK186&gt;0,$W186&gt;44)</formula>
    </cfRule>
  </conditionalFormatting>
  <conditionalFormatting sqref="C187">
    <cfRule type="expression" dxfId="111" priority="98">
      <formula>AND($AK187&gt;0,$W187&gt;89)</formula>
    </cfRule>
    <cfRule type="expression" dxfId="110" priority="99">
      <formula>AND($AK187&gt;0,$W187&gt;59)</formula>
    </cfRule>
    <cfRule type="expression" dxfId="109" priority="100">
      <formula>AND($AK187&gt;0,$W187&gt;44)</formula>
    </cfRule>
  </conditionalFormatting>
  <conditionalFormatting sqref="AH48:AH61">
    <cfRule type="containsText" dxfId="108" priority="95" operator="containsText" text="B">
      <formula>NOT(ISERROR(SEARCH("B",AH48)))</formula>
    </cfRule>
    <cfRule type="containsText" dxfId="107" priority="96" operator="containsText" text="TB">
      <formula>NOT(ISERROR(SEARCH("TB",AH48)))</formula>
    </cfRule>
    <cfRule type="containsText" dxfId="106" priority="97" operator="containsText" text="T">
      <formula>NOT(ISERROR(SEARCH("T",AH48)))</formula>
    </cfRule>
  </conditionalFormatting>
  <conditionalFormatting sqref="AH48:AH61">
    <cfRule type="containsText" dxfId="105" priority="94" operator="containsText" text="TB">
      <formula>NOT(ISERROR(SEARCH("TB",AH48)))</formula>
    </cfRule>
  </conditionalFormatting>
  <conditionalFormatting sqref="C151">
    <cfRule type="expression" dxfId="104" priority="91">
      <formula>AND($AK151&gt;0,$W151&gt;89)</formula>
    </cfRule>
    <cfRule type="expression" dxfId="103" priority="92">
      <formula>AND($AK151&gt;0,$W151&gt;59)</formula>
    </cfRule>
    <cfRule type="expression" dxfId="102" priority="93">
      <formula>AND($AK151&gt;0,$W151&gt;44)</formula>
    </cfRule>
  </conditionalFormatting>
  <conditionalFormatting sqref="C152">
    <cfRule type="expression" dxfId="101" priority="88">
      <formula>AND($AK152&gt;0,$W152&gt;89)</formula>
    </cfRule>
    <cfRule type="expression" dxfId="100" priority="89">
      <formula>AND($AK152&gt;0,$W152&gt;59)</formula>
    </cfRule>
    <cfRule type="expression" dxfId="99" priority="90">
      <formula>AND($AK152&gt;0,$W152&gt;44)</formula>
    </cfRule>
  </conditionalFormatting>
  <conditionalFormatting sqref="C153">
    <cfRule type="expression" dxfId="98" priority="85">
      <formula>AND($AK153&gt;0,$W153&gt;89)</formula>
    </cfRule>
    <cfRule type="expression" dxfId="97" priority="86">
      <formula>AND($AK153&gt;0,$W153&gt;59)</formula>
    </cfRule>
    <cfRule type="expression" dxfId="96" priority="87">
      <formula>AND($AK153&gt;0,$W153&gt;44)</formula>
    </cfRule>
  </conditionalFormatting>
  <conditionalFormatting sqref="C154">
    <cfRule type="expression" dxfId="95" priority="82">
      <formula>AND($AK154&gt;0,$W154&gt;89)</formula>
    </cfRule>
    <cfRule type="expression" dxfId="94" priority="83">
      <formula>AND($AK154&gt;0,$W154&gt;59)</formula>
    </cfRule>
    <cfRule type="expression" dxfId="93" priority="84">
      <formula>AND($AK154&gt;0,$W154&gt;44)</formula>
    </cfRule>
  </conditionalFormatting>
  <conditionalFormatting sqref="C155">
    <cfRule type="expression" dxfId="92" priority="79">
      <formula>AND($AK155&gt;0,$W155&gt;89)</formula>
    </cfRule>
    <cfRule type="expression" dxfId="91" priority="80">
      <formula>AND($AK155&gt;0,$W155&gt;59)</formula>
    </cfRule>
    <cfRule type="expression" dxfId="90" priority="81">
      <formula>AND($AK155&gt;0,$W155&gt;44)</formula>
    </cfRule>
  </conditionalFormatting>
  <conditionalFormatting sqref="C156">
    <cfRule type="expression" dxfId="89" priority="76">
      <formula>AND($AK156&gt;0,$W156&gt;89)</formula>
    </cfRule>
    <cfRule type="expression" dxfId="88" priority="77">
      <formula>AND($AK156&gt;0,$W156&gt;59)</formula>
    </cfRule>
    <cfRule type="expression" dxfId="87" priority="78">
      <formula>AND($AK156&gt;0,$W156&gt;44)</formula>
    </cfRule>
  </conditionalFormatting>
  <conditionalFormatting sqref="C157">
    <cfRule type="expression" dxfId="86" priority="73">
      <formula>AND($AK157&gt;0,$W157&gt;89)</formula>
    </cfRule>
    <cfRule type="expression" dxfId="85" priority="74">
      <formula>AND($AK157&gt;0,$W157&gt;59)</formula>
    </cfRule>
    <cfRule type="expression" dxfId="84" priority="75">
      <formula>AND($AK157&gt;0,$W157&gt;44)</formula>
    </cfRule>
  </conditionalFormatting>
  <conditionalFormatting sqref="C158">
    <cfRule type="expression" dxfId="83" priority="70">
      <formula>AND($AK158&gt;0,$W158&gt;89)</formula>
    </cfRule>
    <cfRule type="expression" dxfId="82" priority="71">
      <formula>AND($AK158&gt;0,$W158&gt;59)</formula>
    </cfRule>
    <cfRule type="expression" dxfId="81" priority="72">
      <formula>AND($AK158&gt;0,$W158&gt;44)</formula>
    </cfRule>
  </conditionalFormatting>
  <conditionalFormatting sqref="C159">
    <cfRule type="expression" dxfId="80" priority="67">
      <formula>AND($AK159&gt;0,$W159&gt;89)</formula>
    </cfRule>
    <cfRule type="expression" dxfId="79" priority="68">
      <formula>AND($AK159&gt;0,$W159&gt;59)</formula>
    </cfRule>
    <cfRule type="expression" dxfId="78" priority="69">
      <formula>AND($AK159&gt;0,$W159&gt;44)</formula>
    </cfRule>
  </conditionalFormatting>
  <conditionalFormatting sqref="C160">
    <cfRule type="expression" dxfId="77" priority="64">
      <formula>AND($AK160&gt;0,$W160&gt;89)</formula>
    </cfRule>
    <cfRule type="expression" dxfId="76" priority="65">
      <formula>AND($AK160&gt;0,$W160&gt;59)</formula>
    </cfRule>
    <cfRule type="expression" dxfId="75" priority="66">
      <formula>AND($AK160&gt;0,$W160&gt;44)</formula>
    </cfRule>
  </conditionalFormatting>
  <conditionalFormatting sqref="C161">
    <cfRule type="expression" dxfId="74" priority="61">
      <formula>AND($AK161&gt;0,$W161&gt;89)</formula>
    </cfRule>
    <cfRule type="expression" dxfId="73" priority="62">
      <formula>AND($AK161&gt;0,$W161&gt;59)</formula>
    </cfRule>
    <cfRule type="expression" dxfId="72" priority="63">
      <formula>AND($AK161&gt;0,$W161&gt;44)</formula>
    </cfRule>
  </conditionalFormatting>
  <conditionalFormatting sqref="C162">
    <cfRule type="expression" dxfId="71" priority="58">
      <formula>AND($AK162&gt;0,$W162&gt;89)</formula>
    </cfRule>
    <cfRule type="expression" dxfId="70" priority="59">
      <formula>AND($AK162&gt;0,$W162&gt;59)</formula>
    </cfRule>
    <cfRule type="expression" dxfId="69" priority="60">
      <formula>AND($AK162&gt;0,$W162&gt;44)</formula>
    </cfRule>
  </conditionalFormatting>
  <conditionalFormatting sqref="C163">
    <cfRule type="expression" dxfId="68" priority="55">
      <formula>AND($AK163&gt;0,$W163&gt;89)</formula>
    </cfRule>
    <cfRule type="expression" dxfId="67" priority="56">
      <formula>AND($AK163&gt;0,$W163&gt;59)</formula>
    </cfRule>
    <cfRule type="expression" dxfId="66" priority="57">
      <formula>AND($AK163&gt;0,$W163&gt;44)</formula>
    </cfRule>
  </conditionalFormatting>
  <conditionalFormatting sqref="C164">
    <cfRule type="expression" dxfId="65" priority="52">
      <formula>AND($AK164&gt;0,$W164&gt;89)</formula>
    </cfRule>
    <cfRule type="expression" dxfId="64" priority="53">
      <formula>AND($AK164&gt;0,$W164&gt;59)</formula>
    </cfRule>
    <cfRule type="expression" dxfId="63" priority="54">
      <formula>AND($AK164&gt;0,$W164&gt;44)</formula>
    </cfRule>
  </conditionalFormatting>
  <conditionalFormatting sqref="C165">
    <cfRule type="expression" dxfId="62" priority="49">
      <formula>AND($AK165&gt;0,$W165&gt;89)</formula>
    </cfRule>
    <cfRule type="expression" dxfId="61" priority="50">
      <formula>AND($AK165&gt;0,$W165&gt;59)</formula>
    </cfRule>
    <cfRule type="expression" dxfId="60" priority="51">
      <formula>AND($AK165&gt;0,$W165&gt;44)</formula>
    </cfRule>
  </conditionalFormatting>
  <conditionalFormatting sqref="C166">
    <cfRule type="expression" dxfId="59" priority="46">
      <formula>AND($AK166&gt;0,$W166&gt;89)</formula>
    </cfRule>
    <cfRule type="expression" dxfId="58" priority="47">
      <formula>AND($AK166&gt;0,$W166&gt;59)</formula>
    </cfRule>
    <cfRule type="expression" dxfId="57" priority="48">
      <formula>AND($AK166&gt;0,$W166&gt;44)</formula>
    </cfRule>
  </conditionalFormatting>
  <conditionalFormatting sqref="C167">
    <cfRule type="expression" dxfId="56" priority="43">
      <formula>AND($AK167&gt;0,$W167&gt;89)</formula>
    </cfRule>
    <cfRule type="expression" dxfId="55" priority="44">
      <formula>AND($AK167&gt;0,$W167&gt;59)</formula>
    </cfRule>
    <cfRule type="expression" dxfId="54" priority="45">
      <formula>AND($AK167&gt;0,$W167&gt;44)</formula>
    </cfRule>
  </conditionalFormatting>
  <conditionalFormatting sqref="C168">
    <cfRule type="expression" dxfId="53" priority="40">
      <formula>AND($AK168&gt;0,$W168&gt;89)</formula>
    </cfRule>
    <cfRule type="expression" dxfId="52" priority="41">
      <formula>AND($AK168&gt;0,$W168&gt;59)</formula>
    </cfRule>
    <cfRule type="expression" dxfId="51" priority="42">
      <formula>AND($AK168&gt;0,$W168&gt;44)</formula>
    </cfRule>
  </conditionalFormatting>
  <conditionalFormatting sqref="C169">
    <cfRule type="expression" dxfId="50" priority="37">
      <formula>AND($AK169&gt;0,$W169&gt;89)</formula>
    </cfRule>
    <cfRule type="expression" dxfId="49" priority="38">
      <formula>AND($AK169&gt;0,$W169&gt;59)</formula>
    </cfRule>
    <cfRule type="expression" dxfId="48" priority="39">
      <formula>AND($AK169&gt;0,$W169&gt;44)</formula>
    </cfRule>
  </conditionalFormatting>
  <conditionalFormatting sqref="C170">
    <cfRule type="expression" dxfId="47" priority="34">
      <formula>AND($AK170&gt;0,$W170&gt;89)</formula>
    </cfRule>
    <cfRule type="expression" dxfId="46" priority="35">
      <formula>AND($AK170&gt;0,$W170&gt;59)</formula>
    </cfRule>
    <cfRule type="expression" dxfId="45" priority="36">
      <formula>AND($AK170&gt;0,$W170&gt;44)</formula>
    </cfRule>
  </conditionalFormatting>
  <conditionalFormatting sqref="C171">
    <cfRule type="expression" dxfId="44" priority="31">
      <formula>AND($AK171&gt;0,$W171&gt;89)</formula>
    </cfRule>
    <cfRule type="expression" dxfId="43" priority="32">
      <formula>AND($AK171&gt;0,$W171&gt;59)</formula>
    </cfRule>
    <cfRule type="expression" dxfId="42" priority="33">
      <formula>AND($AK171&gt;0,$W171&gt;44)</formula>
    </cfRule>
  </conditionalFormatting>
  <conditionalFormatting sqref="C172">
    <cfRule type="expression" dxfId="41" priority="28">
      <formula>AND($AK172&gt;0,$W172&gt;89)</formula>
    </cfRule>
    <cfRule type="expression" dxfId="40" priority="29">
      <formula>AND($AK172&gt;0,$W172&gt;59)</formula>
    </cfRule>
    <cfRule type="expression" dxfId="39" priority="30">
      <formula>AND($AK172&gt;0,$W172&gt;44)</formula>
    </cfRule>
  </conditionalFormatting>
  <conditionalFormatting sqref="C173">
    <cfRule type="expression" dxfId="38" priority="25">
      <formula>AND($AK173&gt;0,$W173&gt;89)</formula>
    </cfRule>
    <cfRule type="expression" dxfId="37" priority="26">
      <formula>AND($AK173&gt;0,$W173&gt;59)</formula>
    </cfRule>
    <cfRule type="expression" dxfId="36" priority="27">
      <formula>AND($AK173&gt;0,$W173&gt;44)</formula>
    </cfRule>
  </conditionalFormatting>
  <conditionalFormatting sqref="C174">
    <cfRule type="expression" dxfId="35" priority="22">
      <formula>AND($AK174&gt;0,$W174&gt;89)</formula>
    </cfRule>
    <cfRule type="expression" dxfId="34" priority="23">
      <formula>AND($AK174&gt;0,$W174&gt;59)</formula>
    </cfRule>
    <cfRule type="expression" dxfId="33" priority="24">
      <formula>AND($AK174&gt;0,$W174&gt;44)</formula>
    </cfRule>
  </conditionalFormatting>
  <conditionalFormatting sqref="C175">
    <cfRule type="expression" dxfId="32" priority="19">
      <formula>AND($AK175&gt;0,$W175&gt;89)</formula>
    </cfRule>
    <cfRule type="expression" dxfId="31" priority="20">
      <formula>AND($AK175&gt;0,$W175&gt;59)</formula>
    </cfRule>
    <cfRule type="expression" dxfId="30" priority="21">
      <formula>AND($AK175&gt;0,$W175&gt;44)</formula>
    </cfRule>
  </conditionalFormatting>
  <conditionalFormatting sqref="C176">
    <cfRule type="expression" dxfId="29" priority="16">
      <formula>AND($AK176&gt;0,$W176&gt;89)</formula>
    </cfRule>
    <cfRule type="expression" dxfId="28" priority="17">
      <formula>AND($AK176&gt;0,$W176&gt;59)</formula>
    </cfRule>
    <cfRule type="expression" dxfId="27" priority="18">
      <formula>AND($AK176&gt;0,$W176&gt;44)</formula>
    </cfRule>
  </conditionalFormatting>
  <conditionalFormatting sqref="C177">
    <cfRule type="expression" dxfId="26" priority="13">
      <formula>AND($AK177&gt;0,$W177&gt;89)</formula>
    </cfRule>
    <cfRule type="expression" dxfId="25" priority="14">
      <formula>AND($AK177&gt;0,$W177&gt;59)</formula>
    </cfRule>
    <cfRule type="expression" dxfId="24" priority="15">
      <formula>AND($AK177&gt;0,$W177&gt;44)</formula>
    </cfRule>
  </conditionalFormatting>
  <conditionalFormatting sqref="C178">
    <cfRule type="expression" dxfId="23" priority="10">
      <formula>AND($AK178&gt;0,$W178&gt;89)</formula>
    </cfRule>
    <cfRule type="expression" dxfId="22" priority="11">
      <formula>AND($AK178&gt;0,$W178&gt;59)</formula>
    </cfRule>
    <cfRule type="expression" dxfId="21" priority="12">
      <formula>AND($AK178&gt;0,$W178&gt;44)</formula>
    </cfRule>
  </conditionalFormatting>
  <conditionalFormatting sqref="C179">
    <cfRule type="expression" dxfId="20" priority="7">
      <formula>AND($AK179&gt;0,$W179&gt;89)</formula>
    </cfRule>
    <cfRule type="expression" dxfId="19" priority="8">
      <formula>AND($AK179&gt;0,$W179&gt;59)</formula>
    </cfRule>
    <cfRule type="expression" dxfId="18" priority="9">
      <formula>AND($AK179&gt;0,$W179&gt;44)</formula>
    </cfRule>
  </conditionalFormatting>
  <conditionalFormatting sqref="C14">
    <cfRule type="expression" dxfId="17" priority="4">
      <formula>AND($AK14&gt;0,$W14&gt;89)</formula>
    </cfRule>
    <cfRule type="expression" dxfId="16" priority="5">
      <formula>AND($AK14&gt;0,$W14&gt;59)</formula>
    </cfRule>
    <cfRule type="expression" dxfId="15" priority="6">
      <formula>AND($AK14&gt;0,$W14&gt;44)</formula>
    </cfRule>
  </conditionalFormatting>
  <conditionalFormatting sqref="C180">
    <cfRule type="expression" dxfId="14" priority="1">
      <formula>AND($AK180&gt;0,$W180&gt;89)</formula>
    </cfRule>
    <cfRule type="expression" dxfId="13" priority="2">
      <formula>AND($AK180&gt;0,$W180&gt;59)</formula>
    </cfRule>
    <cfRule type="expression" dxfId="12" priority="3">
      <formula>AND($AK180&gt;0,$W180&gt;44)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86"/>
  <sheetViews>
    <sheetView topLeftCell="A67" workbookViewId="0">
      <selection activeCell="M71" sqref="M71"/>
    </sheetView>
  </sheetViews>
  <sheetFormatPr defaultRowHeight="15"/>
  <cols>
    <col min="4" max="4" width="29.42578125" bestFit="1" customWidth="1"/>
    <col min="5" max="7" width="16.7109375" bestFit="1" customWidth="1"/>
    <col min="8" max="8" width="16.5703125" bestFit="1" customWidth="1"/>
    <col min="9" max="9" width="14.85546875" customWidth="1"/>
    <col min="10" max="10" width="14.28515625" bestFit="1" customWidth="1"/>
  </cols>
  <sheetData>
    <row r="3" spans="2:10">
      <c r="B3" s="123" t="s">
        <v>111</v>
      </c>
      <c r="C3" s="123" t="s">
        <v>177</v>
      </c>
      <c r="D3" s="123" t="s">
        <v>178</v>
      </c>
      <c r="E3" s="124" t="s">
        <v>179</v>
      </c>
      <c r="F3" s="125" t="s">
        <v>180</v>
      </c>
      <c r="G3" s="126" t="s">
        <v>181</v>
      </c>
      <c r="H3" s="127" t="s">
        <v>182</v>
      </c>
      <c r="I3" s="127" t="s">
        <v>183</v>
      </c>
      <c r="J3" s="127" t="s">
        <v>184</v>
      </c>
    </row>
    <row r="4" spans="2:10">
      <c r="B4" s="128" t="s">
        <v>185</v>
      </c>
      <c r="C4" s="128" t="s">
        <v>45</v>
      </c>
      <c r="D4" s="41" t="s">
        <v>81</v>
      </c>
      <c r="E4" s="129">
        <v>0</v>
      </c>
      <c r="F4" s="129">
        <v>0</v>
      </c>
      <c r="G4" s="129">
        <v>960975000</v>
      </c>
      <c r="H4" s="129">
        <f t="shared" ref="H4:H67" si="0">SUM(E4:G4)</f>
        <v>960975000</v>
      </c>
      <c r="I4" s="130">
        <f>H4</f>
        <v>960975000</v>
      </c>
      <c r="J4" s="130">
        <f>H4-I4</f>
        <v>0</v>
      </c>
    </row>
    <row r="5" spans="2:10">
      <c r="B5" s="128" t="s">
        <v>185</v>
      </c>
      <c r="C5" s="128" t="s">
        <v>45</v>
      </c>
      <c r="D5" s="41" t="s">
        <v>154</v>
      </c>
      <c r="E5" s="129">
        <v>0</v>
      </c>
      <c r="F5" s="129">
        <v>0</v>
      </c>
      <c r="G5" s="129">
        <v>545553000</v>
      </c>
      <c r="H5" s="129">
        <f t="shared" si="0"/>
        <v>545553000</v>
      </c>
      <c r="I5" s="130">
        <f>H5</f>
        <v>545553000</v>
      </c>
      <c r="J5" s="130">
        <f t="shared" ref="J5:J68" si="1">H5-I5</f>
        <v>0</v>
      </c>
    </row>
    <row r="6" spans="2:10">
      <c r="B6" s="128" t="s">
        <v>185</v>
      </c>
      <c r="C6" s="128" t="s">
        <v>45</v>
      </c>
      <c r="D6" s="41" t="s">
        <v>72</v>
      </c>
      <c r="E6" s="129">
        <v>0</v>
      </c>
      <c r="F6" s="129">
        <v>300487500</v>
      </c>
      <c r="G6" s="129">
        <v>237238700</v>
      </c>
      <c r="H6" s="129">
        <f t="shared" si="0"/>
        <v>537726200</v>
      </c>
      <c r="I6" s="131">
        <v>400000000</v>
      </c>
      <c r="J6" s="130">
        <f t="shared" si="1"/>
        <v>137726200</v>
      </c>
    </row>
    <row r="7" spans="2:10">
      <c r="B7" s="128" t="s">
        <v>185</v>
      </c>
      <c r="C7" s="128" t="s">
        <v>45</v>
      </c>
      <c r="D7" s="41" t="s">
        <v>123</v>
      </c>
      <c r="E7" s="129">
        <v>0</v>
      </c>
      <c r="F7" s="129">
        <v>0</v>
      </c>
      <c r="G7" s="129">
        <v>383350000</v>
      </c>
      <c r="H7" s="129">
        <f t="shared" si="0"/>
        <v>383350000</v>
      </c>
      <c r="I7" s="130">
        <f>H7</f>
        <v>383350000</v>
      </c>
      <c r="J7" s="130">
        <f t="shared" si="1"/>
        <v>0</v>
      </c>
    </row>
    <row r="8" spans="2:10">
      <c r="B8" s="128" t="s">
        <v>185</v>
      </c>
      <c r="C8" s="128" t="s">
        <v>45</v>
      </c>
      <c r="D8" s="41" t="s">
        <v>150</v>
      </c>
      <c r="E8" s="129">
        <v>0</v>
      </c>
      <c r="F8" s="129">
        <v>0</v>
      </c>
      <c r="G8" s="129">
        <v>247405000</v>
      </c>
      <c r="H8" s="129">
        <f t="shared" si="0"/>
        <v>247405000</v>
      </c>
      <c r="I8" s="130">
        <f>H8</f>
        <v>247405000</v>
      </c>
      <c r="J8" s="130">
        <f t="shared" si="1"/>
        <v>0</v>
      </c>
    </row>
    <row r="9" spans="2:10">
      <c r="B9" s="128" t="s">
        <v>185</v>
      </c>
      <c r="C9" s="128" t="s">
        <v>45</v>
      </c>
      <c r="D9" s="41" t="s">
        <v>89</v>
      </c>
      <c r="E9" s="129">
        <v>0</v>
      </c>
      <c r="F9" s="129">
        <v>0</v>
      </c>
      <c r="G9" s="129">
        <v>186990000</v>
      </c>
      <c r="H9" s="129">
        <f t="shared" si="0"/>
        <v>186990000</v>
      </c>
      <c r="I9" s="130">
        <f>H9</f>
        <v>186990000</v>
      </c>
      <c r="J9" s="130">
        <f t="shared" si="1"/>
        <v>0</v>
      </c>
    </row>
    <row r="10" spans="2:10">
      <c r="B10" s="128" t="s">
        <v>185</v>
      </c>
      <c r="C10" s="128" t="s">
        <v>45</v>
      </c>
      <c r="D10" s="41" t="s">
        <v>68</v>
      </c>
      <c r="E10" s="129">
        <v>0</v>
      </c>
      <c r="F10" s="129">
        <v>3700000</v>
      </c>
      <c r="G10" s="129">
        <v>122424000</v>
      </c>
      <c r="H10" s="129">
        <f t="shared" si="0"/>
        <v>126124000</v>
      </c>
      <c r="I10" s="41"/>
      <c r="J10" s="130">
        <f t="shared" si="1"/>
        <v>126124000</v>
      </c>
    </row>
    <row r="11" spans="2:10">
      <c r="B11" s="128" t="s">
        <v>185</v>
      </c>
      <c r="C11" s="128" t="s">
        <v>45</v>
      </c>
      <c r="D11" s="41" t="s">
        <v>186</v>
      </c>
      <c r="E11" s="129">
        <v>0</v>
      </c>
      <c r="F11" s="129">
        <v>0</v>
      </c>
      <c r="G11" s="129">
        <v>120750000</v>
      </c>
      <c r="H11" s="129">
        <f t="shared" si="0"/>
        <v>120750000</v>
      </c>
      <c r="I11" s="130">
        <f>H11</f>
        <v>120750000</v>
      </c>
      <c r="J11" s="130">
        <f t="shared" si="1"/>
        <v>0</v>
      </c>
    </row>
    <row r="12" spans="2:10">
      <c r="B12" s="128" t="s">
        <v>185</v>
      </c>
      <c r="C12" s="128" t="s">
        <v>45</v>
      </c>
      <c r="D12" s="41" t="s">
        <v>86</v>
      </c>
      <c r="E12" s="129">
        <v>0</v>
      </c>
      <c r="F12" s="129">
        <v>43225000</v>
      </c>
      <c r="G12" s="129">
        <v>66586500</v>
      </c>
      <c r="H12" s="129">
        <f t="shared" si="0"/>
        <v>109811500</v>
      </c>
      <c r="I12" s="41"/>
      <c r="J12" s="130">
        <f t="shared" si="1"/>
        <v>109811500</v>
      </c>
    </row>
    <row r="13" spans="2:10">
      <c r="B13" s="128" t="s">
        <v>185</v>
      </c>
      <c r="C13" s="128" t="s">
        <v>45</v>
      </c>
      <c r="D13" s="41" t="s">
        <v>70</v>
      </c>
      <c r="E13" s="129">
        <v>0</v>
      </c>
      <c r="F13" s="129">
        <v>55778000</v>
      </c>
      <c r="G13" s="129">
        <v>29590000</v>
      </c>
      <c r="H13" s="129">
        <f t="shared" si="0"/>
        <v>85368000</v>
      </c>
      <c r="I13" s="131">
        <f t="shared" ref="I13:I26" si="2">H13</f>
        <v>85368000</v>
      </c>
      <c r="J13" s="130">
        <f t="shared" si="1"/>
        <v>0</v>
      </c>
    </row>
    <row r="14" spans="2:10">
      <c r="B14" s="128" t="s">
        <v>185</v>
      </c>
      <c r="C14" s="128" t="s">
        <v>45</v>
      </c>
      <c r="D14" s="41" t="s">
        <v>63</v>
      </c>
      <c r="E14" s="129">
        <v>0</v>
      </c>
      <c r="F14" s="129">
        <v>0</v>
      </c>
      <c r="G14" s="129">
        <v>78993000</v>
      </c>
      <c r="H14" s="129">
        <f t="shared" si="0"/>
        <v>78993000</v>
      </c>
      <c r="I14" s="130">
        <f t="shared" si="2"/>
        <v>78993000</v>
      </c>
      <c r="J14" s="130">
        <f t="shared" si="1"/>
        <v>0</v>
      </c>
    </row>
    <row r="15" spans="2:10">
      <c r="B15" s="128" t="s">
        <v>185</v>
      </c>
      <c r="C15" s="128" t="s">
        <v>45</v>
      </c>
      <c r="D15" s="41" t="s">
        <v>187</v>
      </c>
      <c r="E15" s="129">
        <v>0</v>
      </c>
      <c r="F15" s="129">
        <v>0</v>
      </c>
      <c r="G15" s="129">
        <v>69000000</v>
      </c>
      <c r="H15" s="129">
        <f t="shared" si="0"/>
        <v>69000000</v>
      </c>
      <c r="I15" s="130">
        <f t="shared" si="2"/>
        <v>69000000</v>
      </c>
      <c r="J15" s="130">
        <f t="shared" si="1"/>
        <v>0</v>
      </c>
    </row>
    <row r="16" spans="2:10">
      <c r="B16" s="128" t="s">
        <v>185</v>
      </c>
      <c r="C16" s="128" t="s">
        <v>45</v>
      </c>
      <c r="D16" s="41" t="s">
        <v>138</v>
      </c>
      <c r="E16" s="129">
        <v>0</v>
      </c>
      <c r="F16" s="129">
        <v>0</v>
      </c>
      <c r="G16" s="129">
        <v>42677500</v>
      </c>
      <c r="H16" s="129">
        <f t="shared" si="0"/>
        <v>42677500</v>
      </c>
      <c r="I16" s="130">
        <f t="shared" si="2"/>
        <v>42677500</v>
      </c>
      <c r="J16" s="130">
        <f t="shared" si="1"/>
        <v>0</v>
      </c>
    </row>
    <row r="17" spans="2:10">
      <c r="B17" s="128" t="s">
        <v>185</v>
      </c>
      <c r="C17" s="128" t="s">
        <v>45</v>
      </c>
      <c r="D17" s="41" t="s">
        <v>103</v>
      </c>
      <c r="E17" s="129">
        <v>0</v>
      </c>
      <c r="F17" s="129">
        <v>6340000</v>
      </c>
      <c r="G17" s="129">
        <v>35220000</v>
      </c>
      <c r="H17" s="129">
        <f t="shared" si="0"/>
        <v>41560000</v>
      </c>
      <c r="I17" s="130">
        <f t="shared" si="2"/>
        <v>41560000</v>
      </c>
      <c r="J17" s="130">
        <f t="shared" si="1"/>
        <v>0</v>
      </c>
    </row>
    <row r="18" spans="2:10">
      <c r="B18" s="128" t="s">
        <v>185</v>
      </c>
      <c r="C18" s="128" t="s">
        <v>45</v>
      </c>
      <c r="D18" s="41" t="s">
        <v>188</v>
      </c>
      <c r="E18" s="129">
        <v>0</v>
      </c>
      <c r="F18" s="129">
        <v>0</v>
      </c>
      <c r="G18" s="129">
        <v>38000000</v>
      </c>
      <c r="H18" s="129">
        <f t="shared" si="0"/>
        <v>38000000</v>
      </c>
      <c r="I18" s="130">
        <f t="shared" si="2"/>
        <v>38000000</v>
      </c>
      <c r="J18" s="130">
        <f t="shared" si="1"/>
        <v>0</v>
      </c>
    </row>
    <row r="19" spans="2:10">
      <c r="B19" s="128" t="s">
        <v>185</v>
      </c>
      <c r="C19" s="128" t="s">
        <v>45</v>
      </c>
      <c r="D19" s="41" t="s">
        <v>189</v>
      </c>
      <c r="E19" s="129">
        <v>0</v>
      </c>
      <c r="F19" s="129">
        <v>0</v>
      </c>
      <c r="G19" s="129">
        <v>31920000</v>
      </c>
      <c r="H19" s="129">
        <f t="shared" si="0"/>
        <v>31920000</v>
      </c>
      <c r="I19" s="130">
        <f t="shared" si="2"/>
        <v>31920000</v>
      </c>
      <c r="J19" s="130">
        <f t="shared" si="1"/>
        <v>0</v>
      </c>
    </row>
    <row r="20" spans="2:10">
      <c r="B20" s="128" t="s">
        <v>185</v>
      </c>
      <c r="C20" s="128" t="s">
        <v>45</v>
      </c>
      <c r="D20" s="41" t="s">
        <v>125</v>
      </c>
      <c r="E20" s="129">
        <v>0</v>
      </c>
      <c r="F20" s="129">
        <v>0</v>
      </c>
      <c r="G20" s="129">
        <v>30945000</v>
      </c>
      <c r="H20" s="129">
        <f t="shared" si="0"/>
        <v>30945000</v>
      </c>
      <c r="I20" s="130">
        <f t="shared" si="2"/>
        <v>30945000</v>
      </c>
      <c r="J20" s="130">
        <f t="shared" si="1"/>
        <v>0</v>
      </c>
    </row>
    <row r="21" spans="2:10">
      <c r="B21" s="128" t="s">
        <v>185</v>
      </c>
      <c r="C21" s="128" t="s">
        <v>45</v>
      </c>
      <c r="D21" s="41" t="s">
        <v>92</v>
      </c>
      <c r="E21" s="129">
        <v>0</v>
      </c>
      <c r="F21" s="129">
        <v>0</v>
      </c>
      <c r="G21" s="129">
        <v>29973500</v>
      </c>
      <c r="H21" s="129">
        <f t="shared" si="0"/>
        <v>29973500</v>
      </c>
      <c r="I21" s="130">
        <f t="shared" si="2"/>
        <v>29973500</v>
      </c>
      <c r="J21" s="130">
        <f t="shared" si="1"/>
        <v>0</v>
      </c>
    </row>
    <row r="22" spans="2:10">
      <c r="B22" s="128" t="s">
        <v>185</v>
      </c>
      <c r="C22" s="128" t="s">
        <v>45</v>
      </c>
      <c r="D22" s="41" t="s">
        <v>93</v>
      </c>
      <c r="E22" s="129">
        <v>0</v>
      </c>
      <c r="F22" s="129">
        <v>0</v>
      </c>
      <c r="G22" s="129">
        <v>24417500</v>
      </c>
      <c r="H22" s="129">
        <f t="shared" si="0"/>
        <v>24417500</v>
      </c>
      <c r="I22" s="130">
        <f t="shared" si="2"/>
        <v>24417500</v>
      </c>
      <c r="J22" s="130">
        <f t="shared" si="1"/>
        <v>0</v>
      </c>
    </row>
    <row r="23" spans="2:10">
      <c r="B23" s="128" t="s">
        <v>185</v>
      </c>
      <c r="C23" s="128" t="s">
        <v>45</v>
      </c>
      <c r="D23" s="41" t="s">
        <v>69</v>
      </c>
      <c r="E23" s="129">
        <v>0</v>
      </c>
      <c r="F23" s="129">
        <v>0</v>
      </c>
      <c r="G23" s="129">
        <v>23097500</v>
      </c>
      <c r="H23" s="129">
        <f t="shared" si="0"/>
        <v>23097500</v>
      </c>
      <c r="I23" s="130">
        <f t="shared" si="2"/>
        <v>23097500</v>
      </c>
      <c r="J23" s="130">
        <f t="shared" si="1"/>
        <v>0</v>
      </c>
    </row>
    <row r="24" spans="2:10">
      <c r="B24" s="128" t="s">
        <v>185</v>
      </c>
      <c r="C24" s="128" t="s">
        <v>45</v>
      </c>
      <c r="D24" s="41" t="s">
        <v>137</v>
      </c>
      <c r="E24" s="129">
        <v>0</v>
      </c>
      <c r="F24" s="129">
        <v>0</v>
      </c>
      <c r="G24" s="129">
        <v>21404000</v>
      </c>
      <c r="H24" s="129">
        <f t="shared" si="0"/>
        <v>21404000</v>
      </c>
      <c r="I24" s="130">
        <f t="shared" si="2"/>
        <v>21404000</v>
      </c>
      <c r="J24" s="130">
        <f t="shared" si="1"/>
        <v>0</v>
      </c>
    </row>
    <row r="25" spans="2:10">
      <c r="B25" s="128" t="s">
        <v>185</v>
      </c>
      <c r="C25" s="128" t="s">
        <v>45</v>
      </c>
      <c r="D25" s="41" t="s">
        <v>120</v>
      </c>
      <c r="E25" s="129">
        <v>0</v>
      </c>
      <c r="F25" s="129">
        <v>0</v>
      </c>
      <c r="G25" s="129">
        <v>21000000</v>
      </c>
      <c r="H25" s="129">
        <f t="shared" si="0"/>
        <v>21000000</v>
      </c>
      <c r="I25" s="130">
        <f t="shared" si="2"/>
        <v>21000000</v>
      </c>
      <c r="J25" s="130">
        <f t="shared" si="1"/>
        <v>0</v>
      </c>
    </row>
    <row r="26" spans="2:10">
      <c r="B26" s="128" t="s">
        <v>185</v>
      </c>
      <c r="C26" s="128" t="s">
        <v>45</v>
      </c>
      <c r="D26" s="41" t="s">
        <v>107</v>
      </c>
      <c r="E26" s="129">
        <v>0</v>
      </c>
      <c r="F26" s="129">
        <v>0</v>
      </c>
      <c r="G26" s="129">
        <v>19540000</v>
      </c>
      <c r="H26" s="129">
        <f t="shared" si="0"/>
        <v>19540000</v>
      </c>
      <c r="I26" s="130">
        <f t="shared" si="2"/>
        <v>19540000</v>
      </c>
      <c r="J26" s="130">
        <f t="shared" si="1"/>
        <v>0</v>
      </c>
    </row>
    <row r="27" spans="2:10">
      <c r="B27" s="128" t="s">
        <v>185</v>
      </c>
      <c r="C27" s="128" t="s">
        <v>45</v>
      </c>
      <c r="D27" s="41" t="s">
        <v>116</v>
      </c>
      <c r="E27" s="129">
        <v>0</v>
      </c>
      <c r="F27" s="129">
        <v>18706800</v>
      </c>
      <c r="G27" s="129">
        <v>0</v>
      </c>
      <c r="H27" s="129">
        <f t="shared" si="0"/>
        <v>18706800</v>
      </c>
      <c r="I27" s="41"/>
      <c r="J27" s="130">
        <f t="shared" si="1"/>
        <v>18706800</v>
      </c>
    </row>
    <row r="28" spans="2:10">
      <c r="B28" s="128" t="s">
        <v>185</v>
      </c>
      <c r="C28" s="128" t="s">
        <v>45</v>
      </c>
      <c r="D28" s="41" t="s">
        <v>121</v>
      </c>
      <c r="E28" s="129">
        <v>0</v>
      </c>
      <c r="F28" s="129">
        <v>0</v>
      </c>
      <c r="G28" s="129">
        <v>17500000</v>
      </c>
      <c r="H28" s="129">
        <f t="shared" si="0"/>
        <v>17500000</v>
      </c>
      <c r="I28" s="130">
        <f t="shared" ref="I28:I77" si="3">H28</f>
        <v>17500000</v>
      </c>
      <c r="J28" s="130">
        <f t="shared" si="1"/>
        <v>0</v>
      </c>
    </row>
    <row r="29" spans="2:10">
      <c r="B29" s="128" t="s">
        <v>185</v>
      </c>
      <c r="C29" s="128" t="s">
        <v>45</v>
      </c>
      <c r="D29" s="41" t="s">
        <v>87</v>
      </c>
      <c r="E29" s="129">
        <v>0</v>
      </c>
      <c r="F29" s="129">
        <v>0</v>
      </c>
      <c r="G29" s="129">
        <v>16800000</v>
      </c>
      <c r="H29" s="129">
        <f t="shared" si="0"/>
        <v>16800000</v>
      </c>
      <c r="I29" s="130">
        <f t="shared" si="3"/>
        <v>16800000</v>
      </c>
      <c r="J29" s="130">
        <f t="shared" si="1"/>
        <v>0</v>
      </c>
    </row>
    <row r="30" spans="2:10">
      <c r="B30" s="128" t="s">
        <v>185</v>
      </c>
      <c r="C30" s="128" t="s">
        <v>45</v>
      </c>
      <c r="D30" s="41" t="s">
        <v>78</v>
      </c>
      <c r="E30" s="129">
        <v>0</v>
      </c>
      <c r="F30" s="129">
        <v>0</v>
      </c>
      <c r="G30" s="129">
        <v>16670000</v>
      </c>
      <c r="H30" s="129">
        <f t="shared" si="0"/>
        <v>16670000</v>
      </c>
      <c r="I30" s="130">
        <f t="shared" si="3"/>
        <v>16670000</v>
      </c>
      <c r="J30" s="130">
        <f t="shared" si="1"/>
        <v>0</v>
      </c>
    </row>
    <row r="31" spans="2:10">
      <c r="B31" s="128" t="s">
        <v>185</v>
      </c>
      <c r="C31" s="128" t="s">
        <v>45</v>
      </c>
      <c r="D31" s="41" t="s">
        <v>62</v>
      </c>
      <c r="E31" s="129">
        <v>0</v>
      </c>
      <c r="F31" s="129">
        <v>0</v>
      </c>
      <c r="G31" s="129">
        <v>15090000</v>
      </c>
      <c r="H31" s="129">
        <f t="shared" si="0"/>
        <v>15090000</v>
      </c>
      <c r="I31" s="130">
        <f t="shared" si="3"/>
        <v>15090000</v>
      </c>
      <c r="J31" s="130">
        <f t="shared" si="1"/>
        <v>0</v>
      </c>
    </row>
    <row r="32" spans="2:10">
      <c r="B32" s="128" t="s">
        <v>185</v>
      </c>
      <c r="C32" s="128" t="s">
        <v>45</v>
      </c>
      <c r="D32" s="41" t="s">
        <v>119</v>
      </c>
      <c r="E32" s="129">
        <v>14630000</v>
      </c>
      <c r="F32" s="129">
        <v>0</v>
      </c>
      <c r="G32" s="129">
        <v>0</v>
      </c>
      <c r="H32" s="129">
        <f t="shared" si="0"/>
        <v>14630000</v>
      </c>
      <c r="I32" s="130">
        <f t="shared" si="3"/>
        <v>14630000</v>
      </c>
      <c r="J32" s="130">
        <f t="shared" si="1"/>
        <v>0</v>
      </c>
    </row>
    <row r="33" spans="2:10">
      <c r="B33" s="128" t="s">
        <v>185</v>
      </c>
      <c r="C33" s="128" t="s">
        <v>45</v>
      </c>
      <c r="D33" s="41" t="s">
        <v>75</v>
      </c>
      <c r="E33" s="129">
        <v>0</v>
      </c>
      <c r="F33" s="129">
        <v>0</v>
      </c>
      <c r="G33" s="129">
        <v>13760000</v>
      </c>
      <c r="H33" s="129">
        <f t="shared" si="0"/>
        <v>13760000</v>
      </c>
      <c r="I33" s="130">
        <f t="shared" si="3"/>
        <v>13760000</v>
      </c>
      <c r="J33" s="130">
        <f t="shared" si="1"/>
        <v>0</v>
      </c>
    </row>
    <row r="34" spans="2:10">
      <c r="B34" s="128" t="s">
        <v>185</v>
      </c>
      <c r="C34" s="128" t="s">
        <v>45</v>
      </c>
      <c r="D34" s="41" t="s">
        <v>155</v>
      </c>
      <c r="E34" s="129">
        <v>0</v>
      </c>
      <c r="F34" s="129">
        <v>0</v>
      </c>
      <c r="G34" s="129">
        <v>13525000</v>
      </c>
      <c r="H34" s="129">
        <f t="shared" si="0"/>
        <v>13525000</v>
      </c>
      <c r="I34" s="130">
        <f t="shared" si="3"/>
        <v>13525000</v>
      </c>
      <c r="J34" s="130">
        <f t="shared" si="1"/>
        <v>0</v>
      </c>
    </row>
    <row r="35" spans="2:10">
      <c r="B35" s="128" t="s">
        <v>185</v>
      </c>
      <c r="C35" s="128" t="s">
        <v>45</v>
      </c>
      <c r="D35" s="41" t="s">
        <v>85</v>
      </c>
      <c r="E35" s="129">
        <v>0</v>
      </c>
      <c r="F35" s="129">
        <v>2880000</v>
      </c>
      <c r="G35" s="129">
        <v>10350000</v>
      </c>
      <c r="H35" s="129">
        <f t="shared" si="0"/>
        <v>13230000</v>
      </c>
      <c r="I35" s="130">
        <f t="shared" si="3"/>
        <v>13230000</v>
      </c>
      <c r="J35" s="130">
        <f t="shared" si="1"/>
        <v>0</v>
      </c>
    </row>
    <row r="36" spans="2:10">
      <c r="B36" s="128" t="s">
        <v>185</v>
      </c>
      <c r="C36" s="128" t="s">
        <v>45</v>
      </c>
      <c r="D36" s="41" t="s">
        <v>76</v>
      </c>
      <c r="E36" s="129">
        <v>0</v>
      </c>
      <c r="F36" s="129">
        <v>0</v>
      </c>
      <c r="G36" s="129">
        <v>12230000</v>
      </c>
      <c r="H36" s="129">
        <f t="shared" si="0"/>
        <v>12230000</v>
      </c>
      <c r="I36" s="130">
        <f t="shared" si="3"/>
        <v>12230000</v>
      </c>
      <c r="J36" s="130">
        <f t="shared" si="1"/>
        <v>0</v>
      </c>
    </row>
    <row r="37" spans="2:10">
      <c r="B37" s="128" t="s">
        <v>185</v>
      </c>
      <c r="C37" s="128" t="s">
        <v>45</v>
      </c>
      <c r="D37" s="41" t="s">
        <v>190</v>
      </c>
      <c r="E37" s="129">
        <v>0</v>
      </c>
      <c r="F37" s="129">
        <v>0</v>
      </c>
      <c r="G37" s="129">
        <v>11550000</v>
      </c>
      <c r="H37" s="129">
        <f t="shared" si="0"/>
        <v>11550000</v>
      </c>
      <c r="I37" s="130">
        <f t="shared" si="3"/>
        <v>11550000</v>
      </c>
      <c r="J37" s="130">
        <f t="shared" si="1"/>
        <v>0</v>
      </c>
    </row>
    <row r="38" spans="2:10">
      <c r="B38" s="128" t="s">
        <v>185</v>
      </c>
      <c r="C38" s="128" t="s">
        <v>45</v>
      </c>
      <c r="D38" s="41" t="s">
        <v>64</v>
      </c>
      <c r="E38" s="129">
        <v>0</v>
      </c>
      <c r="F38" s="129">
        <v>0</v>
      </c>
      <c r="G38" s="129">
        <v>11332500</v>
      </c>
      <c r="H38" s="129">
        <f t="shared" si="0"/>
        <v>11332500</v>
      </c>
      <c r="I38" s="130">
        <f t="shared" si="3"/>
        <v>11332500</v>
      </c>
      <c r="J38" s="130">
        <f t="shared" si="1"/>
        <v>0</v>
      </c>
    </row>
    <row r="39" spans="2:10">
      <c r="B39" s="128" t="s">
        <v>185</v>
      </c>
      <c r="C39" s="128" t="s">
        <v>45</v>
      </c>
      <c r="D39" s="41" t="s">
        <v>80</v>
      </c>
      <c r="E39" s="129">
        <v>0</v>
      </c>
      <c r="F39" s="129">
        <v>0</v>
      </c>
      <c r="G39" s="129">
        <v>10360000</v>
      </c>
      <c r="H39" s="129">
        <f t="shared" si="0"/>
        <v>10360000</v>
      </c>
      <c r="I39" s="130">
        <f t="shared" si="3"/>
        <v>10360000</v>
      </c>
      <c r="J39" s="130">
        <f t="shared" si="1"/>
        <v>0</v>
      </c>
    </row>
    <row r="40" spans="2:10">
      <c r="B40" s="128" t="s">
        <v>185</v>
      </c>
      <c r="C40" s="128" t="s">
        <v>45</v>
      </c>
      <c r="D40" s="41" t="s">
        <v>128</v>
      </c>
      <c r="E40" s="129">
        <v>0</v>
      </c>
      <c r="F40" s="129">
        <v>0</v>
      </c>
      <c r="G40" s="129">
        <v>10175000</v>
      </c>
      <c r="H40" s="129">
        <f t="shared" si="0"/>
        <v>10175000</v>
      </c>
      <c r="I40" s="130">
        <f t="shared" si="3"/>
        <v>10175000</v>
      </c>
      <c r="J40" s="130">
        <f t="shared" si="1"/>
        <v>0</v>
      </c>
    </row>
    <row r="41" spans="2:10">
      <c r="B41" s="128" t="s">
        <v>185</v>
      </c>
      <c r="C41" s="128" t="s">
        <v>45</v>
      </c>
      <c r="D41" s="41" t="s">
        <v>74</v>
      </c>
      <c r="E41" s="129">
        <v>0</v>
      </c>
      <c r="F41" s="129">
        <v>0</v>
      </c>
      <c r="G41" s="129">
        <v>9100000</v>
      </c>
      <c r="H41" s="129">
        <f t="shared" si="0"/>
        <v>9100000</v>
      </c>
      <c r="I41" s="130">
        <f t="shared" si="3"/>
        <v>9100000</v>
      </c>
      <c r="J41" s="130">
        <f t="shared" si="1"/>
        <v>0</v>
      </c>
    </row>
    <row r="42" spans="2:10">
      <c r="B42" s="128" t="s">
        <v>185</v>
      </c>
      <c r="C42" s="128" t="s">
        <v>45</v>
      </c>
      <c r="D42" s="41" t="s">
        <v>90</v>
      </c>
      <c r="E42" s="129">
        <v>0</v>
      </c>
      <c r="F42" s="129">
        <v>0</v>
      </c>
      <c r="G42" s="129">
        <v>9088000</v>
      </c>
      <c r="H42" s="129">
        <f t="shared" si="0"/>
        <v>9088000</v>
      </c>
      <c r="I42" s="130">
        <f t="shared" si="3"/>
        <v>9088000</v>
      </c>
      <c r="J42" s="130">
        <f t="shared" si="1"/>
        <v>0</v>
      </c>
    </row>
    <row r="43" spans="2:10">
      <c r="B43" s="128" t="s">
        <v>185</v>
      </c>
      <c r="C43" s="128" t="s">
        <v>45</v>
      </c>
      <c r="D43" s="41" t="s">
        <v>71</v>
      </c>
      <c r="E43" s="129">
        <v>0</v>
      </c>
      <c r="F43" s="129">
        <v>4818500</v>
      </c>
      <c r="G43" s="129">
        <v>4167500</v>
      </c>
      <c r="H43" s="129">
        <f t="shared" si="0"/>
        <v>8986000</v>
      </c>
      <c r="I43" s="130">
        <f t="shared" si="3"/>
        <v>8986000</v>
      </c>
      <c r="J43" s="130">
        <f t="shared" si="1"/>
        <v>0</v>
      </c>
    </row>
    <row r="44" spans="2:10">
      <c r="B44" s="128" t="s">
        <v>185</v>
      </c>
      <c r="C44" s="128" t="s">
        <v>45</v>
      </c>
      <c r="D44" s="41" t="s">
        <v>117</v>
      </c>
      <c r="E44" s="129">
        <v>0</v>
      </c>
      <c r="F44" s="129">
        <v>8880000</v>
      </c>
      <c r="G44" s="129">
        <v>0</v>
      </c>
      <c r="H44" s="129">
        <f t="shared" si="0"/>
        <v>8880000</v>
      </c>
      <c r="I44" s="130">
        <f t="shared" si="3"/>
        <v>8880000</v>
      </c>
      <c r="J44" s="130">
        <f t="shared" si="1"/>
        <v>0</v>
      </c>
    </row>
    <row r="45" spans="2:10">
      <c r="B45" s="128" t="s">
        <v>185</v>
      </c>
      <c r="C45" s="128" t="s">
        <v>45</v>
      </c>
      <c r="D45" s="41" t="s">
        <v>113</v>
      </c>
      <c r="E45" s="129">
        <v>0</v>
      </c>
      <c r="F45" s="129">
        <v>0</v>
      </c>
      <c r="G45" s="129">
        <v>8600000</v>
      </c>
      <c r="H45" s="129">
        <f t="shared" si="0"/>
        <v>8600000</v>
      </c>
      <c r="I45" s="130">
        <f t="shared" si="3"/>
        <v>8600000</v>
      </c>
      <c r="J45" s="130">
        <f t="shared" si="1"/>
        <v>0</v>
      </c>
    </row>
    <row r="46" spans="2:10">
      <c r="B46" s="128" t="s">
        <v>185</v>
      </c>
      <c r="C46" s="128" t="s">
        <v>45</v>
      </c>
      <c r="D46" s="41" t="s">
        <v>106</v>
      </c>
      <c r="E46" s="129">
        <v>0</v>
      </c>
      <c r="F46" s="129">
        <v>0</v>
      </c>
      <c r="G46" s="129">
        <v>8486550</v>
      </c>
      <c r="H46" s="129">
        <f t="shared" si="0"/>
        <v>8486550</v>
      </c>
      <c r="I46" s="130">
        <f t="shared" si="3"/>
        <v>8486550</v>
      </c>
      <c r="J46" s="130">
        <f t="shared" si="1"/>
        <v>0</v>
      </c>
    </row>
    <row r="47" spans="2:10">
      <c r="B47" s="128" t="s">
        <v>185</v>
      </c>
      <c r="C47" s="128" t="s">
        <v>45</v>
      </c>
      <c r="D47" s="41" t="s">
        <v>73</v>
      </c>
      <c r="E47" s="129">
        <v>0</v>
      </c>
      <c r="F47" s="129">
        <v>0</v>
      </c>
      <c r="G47" s="129">
        <v>7650000</v>
      </c>
      <c r="H47" s="129">
        <f t="shared" si="0"/>
        <v>7650000</v>
      </c>
      <c r="I47" s="130">
        <f t="shared" si="3"/>
        <v>7650000</v>
      </c>
      <c r="J47" s="130">
        <f t="shared" si="1"/>
        <v>0</v>
      </c>
    </row>
    <row r="48" spans="2:10">
      <c r="B48" s="128" t="s">
        <v>185</v>
      </c>
      <c r="C48" s="128" t="s">
        <v>45</v>
      </c>
      <c r="D48" s="41" t="s">
        <v>191</v>
      </c>
      <c r="E48" s="129">
        <v>0</v>
      </c>
      <c r="F48" s="129">
        <v>0</v>
      </c>
      <c r="G48" s="129">
        <v>7440000</v>
      </c>
      <c r="H48" s="129">
        <f t="shared" si="0"/>
        <v>7440000</v>
      </c>
      <c r="I48" s="130">
        <f t="shared" si="3"/>
        <v>7440000</v>
      </c>
      <c r="J48" s="130">
        <f t="shared" si="1"/>
        <v>0</v>
      </c>
    </row>
    <row r="49" spans="2:10">
      <c r="B49" s="128" t="s">
        <v>185</v>
      </c>
      <c r="C49" s="128" t="s">
        <v>45</v>
      </c>
      <c r="D49" s="41" t="s">
        <v>84</v>
      </c>
      <c r="E49" s="129">
        <v>0</v>
      </c>
      <c r="F49" s="129">
        <v>0</v>
      </c>
      <c r="G49" s="129">
        <v>7111000</v>
      </c>
      <c r="H49" s="129">
        <f t="shared" si="0"/>
        <v>7111000</v>
      </c>
      <c r="I49" s="130">
        <f t="shared" si="3"/>
        <v>7111000</v>
      </c>
      <c r="J49" s="130">
        <f t="shared" si="1"/>
        <v>0</v>
      </c>
    </row>
    <row r="50" spans="2:10">
      <c r="B50" s="128" t="s">
        <v>185</v>
      </c>
      <c r="C50" s="128" t="s">
        <v>45</v>
      </c>
      <c r="D50" s="41" t="s">
        <v>167</v>
      </c>
      <c r="E50" s="129">
        <v>0</v>
      </c>
      <c r="F50" s="129">
        <v>0</v>
      </c>
      <c r="G50" s="129">
        <v>7100000</v>
      </c>
      <c r="H50" s="129">
        <f t="shared" si="0"/>
        <v>7100000</v>
      </c>
      <c r="I50" s="130">
        <f t="shared" si="3"/>
        <v>7100000</v>
      </c>
      <c r="J50" s="130">
        <f t="shared" si="1"/>
        <v>0</v>
      </c>
    </row>
    <row r="51" spans="2:10">
      <c r="B51" s="128" t="s">
        <v>185</v>
      </c>
      <c r="C51" s="128" t="s">
        <v>45</v>
      </c>
      <c r="D51" s="41" t="s">
        <v>112</v>
      </c>
      <c r="E51" s="129">
        <v>0</v>
      </c>
      <c r="F51" s="129">
        <v>2950000</v>
      </c>
      <c r="G51" s="129">
        <v>3600000</v>
      </c>
      <c r="H51" s="129">
        <f t="shared" si="0"/>
        <v>6550000</v>
      </c>
      <c r="I51" s="130">
        <f t="shared" si="3"/>
        <v>6550000</v>
      </c>
      <c r="J51" s="130">
        <f t="shared" si="1"/>
        <v>0</v>
      </c>
    </row>
    <row r="52" spans="2:10">
      <c r="B52" s="128" t="s">
        <v>185</v>
      </c>
      <c r="C52" s="128" t="s">
        <v>45</v>
      </c>
      <c r="D52" s="41" t="s">
        <v>66</v>
      </c>
      <c r="E52" s="129">
        <v>0</v>
      </c>
      <c r="F52" s="129">
        <v>0</v>
      </c>
      <c r="G52" s="129">
        <v>6305000</v>
      </c>
      <c r="H52" s="129">
        <f t="shared" si="0"/>
        <v>6305000</v>
      </c>
      <c r="I52" s="130">
        <f t="shared" si="3"/>
        <v>6305000</v>
      </c>
      <c r="J52" s="130">
        <f t="shared" si="1"/>
        <v>0</v>
      </c>
    </row>
    <row r="53" spans="2:10">
      <c r="B53" s="128" t="s">
        <v>185</v>
      </c>
      <c r="C53" s="128" t="s">
        <v>45</v>
      </c>
      <c r="D53" s="41" t="s">
        <v>175</v>
      </c>
      <c r="E53" s="129">
        <v>0</v>
      </c>
      <c r="F53" s="129">
        <v>0</v>
      </c>
      <c r="G53" s="129">
        <v>6300000</v>
      </c>
      <c r="H53" s="129">
        <f t="shared" si="0"/>
        <v>6300000</v>
      </c>
      <c r="I53" s="130">
        <f t="shared" si="3"/>
        <v>6300000</v>
      </c>
      <c r="J53" s="130">
        <f t="shared" si="1"/>
        <v>0</v>
      </c>
    </row>
    <row r="54" spans="2:10">
      <c r="B54" s="128" t="s">
        <v>185</v>
      </c>
      <c r="C54" s="128" t="s">
        <v>45</v>
      </c>
      <c r="D54" s="41" t="s">
        <v>77</v>
      </c>
      <c r="E54" s="129">
        <v>0</v>
      </c>
      <c r="F54" s="129">
        <v>0</v>
      </c>
      <c r="G54" s="129">
        <v>6130000</v>
      </c>
      <c r="H54" s="129">
        <f t="shared" si="0"/>
        <v>6130000</v>
      </c>
      <c r="I54" s="130">
        <f t="shared" si="3"/>
        <v>6130000</v>
      </c>
      <c r="J54" s="130">
        <f t="shared" si="1"/>
        <v>0</v>
      </c>
    </row>
    <row r="55" spans="2:10">
      <c r="B55" s="128" t="s">
        <v>185</v>
      </c>
      <c r="C55" s="128" t="s">
        <v>45</v>
      </c>
      <c r="D55" s="41" t="s">
        <v>79</v>
      </c>
      <c r="E55" s="129">
        <v>0</v>
      </c>
      <c r="F55" s="129">
        <v>0</v>
      </c>
      <c r="G55" s="129">
        <v>6080000</v>
      </c>
      <c r="H55" s="129">
        <f t="shared" si="0"/>
        <v>6080000</v>
      </c>
      <c r="I55" s="130">
        <f t="shared" si="3"/>
        <v>6080000</v>
      </c>
      <c r="J55" s="130">
        <f t="shared" si="1"/>
        <v>0</v>
      </c>
    </row>
    <row r="56" spans="2:10">
      <c r="B56" s="128" t="s">
        <v>185</v>
      </c>
      <c r="C56" s="128" t="s">
        <v>45</v>
      </c>
      <c r="D56" s="41" t="s">
        <v>145</v>
      </c>
      <c r="E56" s="129">
        <v>0</v>
      </c>
      <c r="F56" s="129">
        <v>0</v>
      </c>
      <c r="G56" s="129">
        <v>4803000</v>
      </c>
      <c r="H56" s="129">
        <f t="shared" si="0"/>
        <v>4803000</v>
      </c>
      <c r="I56" s="130">
        <f t="shared" si="3"/>
        <v>4803000</v>
      </c>
      <c r="J56" s="130">
        <f t="shared" si="1"/>
        <v>0</v>
      </c>
    </row>
    <row r="57" spans="2:10">
      <c r="B57" s="128" t="s">
        <v>185</v>
      </c>
      <c r="C57" s="128" t="s">
        <v>45</v>
      </c>
      <c r="D57" s="41" t="s">
        <v>144</v>
      </c>
      <c r="E57" s="129">
        <v>0</v>
      </c>
      <c r="F57" s="129">
        <v>0</v>
      </c>
      <c r="G57" s="129">
        <v>4640000</v>
      </c>
      <c r="H57" s="129">
        <f t="shared" si="0"/>
        <v>4640000</v>
      </c>
      <c r="I57" s="130">
        <f t="shared" si="3"/>
        <v>4640000</v>
      </c>
      <c r="J57" s="130">
        <f t="shared" si="1"/>
        <v>0</v>
      </c>
    </row>
    <row r="58" spans="2:10">
      <c r="B58" s="128" t="s">
        <v>185</v>
      </c>
      <c r="C58" s="128" t="s">
        <v>45</v>
      </c>
      <c r="D58" s="41" t="s">
        <v>104</v>
      </c>
      <c r="E58" s="129">
        <v>0</v>
      </c>
      <c r="F58" s="129">
        <v>0</v>
      </c>
      <c r="G58" s="129">
        <v>4574000</v>
      </c>
      <c r="H58" s="129">
        <f t="shared" si="0"/>
        <v>4574000</v>
      </c>
      <c r="I58" s="130">
        <f t="shared" si="3"/>
        <v>4574000</v>
      </c>
      <c r="J58" s="130">
        <f t="shared" si="1"/>
        <v>0</v>
      </c>
    </row>
    <row r="59" spans="2:10">
      <c r="B59" s="128" t="s">
        <v>185</v>
      </c>
      <c r="C59" s="128" t="s">
        <v>45</v>
      </c>
      <c r="D59" s="41" t="s">
        <v>88</v>
      </c>
      <c r="E59" s="129">
        <v>0</v>
      </c>
      <c r="F59" s="129">
        <v>0</v>
      </c>
      <c r="G59" s="129">
        <v>4500000</v>
      </c>
      <c r="H59" s="129">
        <f t="shared" si="0"/>
        <v>4500000</v>
      </c>
      <c r="I59" s="130">
        <f t="shared" si="3"/>
        <v>4500000</v>
      </c>
      <c r="J59" s="130">
        <f t="shared" si="1"/>
        <v>0</v>
      </c>
    </row>
    <row r="60" spans="2:10">
      <c r="B60" s="128" t="s">
        <v>185</v>
      </c>
      <c r="C60" s="128" t="s">
        <v>45</v>
      </c>
      <c r="D60" s="41" t="s">
        <v>143</v>
      </c>
      <c r="E60" s="129">
        <v>0</v>
      </c>
      <c r="F60" s="129">
        <v>0</v>
      </c>
      <c r="G60" s="129">
        <v>4030000</v>
      </c>
      <c r="H60" s="129">
        <f t="shared" si="0"/>
        <v>4030000</v>
      </c>
      <c r="I60" s="130">
        <f t="shared" si="3"/>
        <v>4030000</v>
      </c>
      <c r="J60" s="130">
        <f t="shared" si="1"/>
        <v>0</v>
      </c>
    </row>
    <row r="61" spans="2:10">
      <c r="B61" s="128" t="s">
        <v>185</v>
      </c>
      <c r="C61" s="128" t="s">
        <v>45</v>
      </c>
      <c r="D61" s="41" t="s">
        <v>127</v>
      </c>
      <c r="E61" s="129">
        <v>0</v>
      </c>
      <c r="F61" s="129">
        <v>3985000</v>
      </c>
      <c r="G61" s="129">
        <v>0</v>
      </c>
      <c r="H61" s="129">
        <f t="shared" si="0"/>
        <v>3985000</v>
      </c>
      <c r="I61" s="130">
        <f t="shared" si="3"/>
        <v>3985000</v>
      </c>
      <c r="J61" s="130">
        <f t="shared" si="1"/>
        <v>0</v>
      </c>
    </row>
    <row r="62" spans="2:10">
      <c r="B62" s="128" t="s">
        <v>185</v>
      </c>
      <c r="C62" s="128" t="s">
        <v>45</v>
      </c>
      <c r="D62" s="41" t="s">
        <v>96</v>
      </c>
      <c r="E62" s="129">
        <v>0</v>
      </c>
      <c r="F62" s="129">
        <v>0</v>
      </c>
      <c r="G62" s="129">
        <v>3648000</v>
      </c>
      <c r="H62" s="129">
        <f t="shared" si="0"/>
        <v>3648000</v>
      </c>
      <c r="I62" s="130">
        <f t="shared" si="3"/>
        <v>3648000</v>
      </c>
      <c r="J62" s="130">
        <f t="shared" si="1"/>
        <v>0</v>
      </c>
    </row>
    <row r="63" spans="2:10">
      <c r="B63" s="128" t="s">
        <v>185</v>
      </c>
      <c r="C63" s="128" t="s">
        <v>45</v>
      </c>
      <c r="D63" s="41" t="s">
        <v>192</v>
      </c>
      <c r="E63" s="129">
        <v>0</v>
      </c>
      <c r="F63" s="129">
        <v>0</v>
      </c>
      <c r="G63" s="129">
        <v>3440000</v>
      </c>
      <c r="H63" s="129">
        <f t="shared" si="0"/>
        <v>3440000</v>
      </c>
      <c r="I63" s="130">
        <f t="shared" si="3"/>
        <v>3440000</v>
      </c>
      <c r="J63" s="130">
        <f t="shared" si="1"/>
        <v>0</v>
      </c>
    </row>
    <row r="64" spans="2:10">
      <c r="B64" s="128" t="s">
        <v>185</v>
      </c>
      <c r="C64" s="128" t="s">
        <v>45</v>
      </c>
      <c r="D64" s="41" t="s">
        <v>142</v>
      </c>
      <c r="E64" s="129">
        <v>0</v>
      </c>
      <c r="F64" s="129">
        <v>0</v>
      </c>
      <c r="G64" s="129">
        <v>3250000</v>
      </c>
      <c r="H64" s="129">
        <f t="shared" si="0"/>
        <v>3250000</v>
      </c>
      <c r="I64" s="130">
        <f t="shared" si="3"/>
        <v>3250000</v>
      </c>
      <c r="J64" s="130">
        <f t="shared" si="1"/>
        <v>0</v>
      </c>
    </row>
    <row r="65" spans="2:10">
      <c r="B65" s="128" t="s">
        <v>185</v>
      </c>
      <c r="C65" s="128" t="s">
        <v>45</v>
      </c>
      <c r="D65" s="41" t="s">
        <v>193</v>
      </c>
      <c r="E65" s="129">
        <v>0</v>
      </c>
      <c r="F65" s="129">
        <v>0</v>
      </c>
      <c r="G65" s="129">
        <v>3180000</v>
      </c>
      <c r="H65" s="129">
        <f t="shared" si="0"/>
        <v>3180000</v>
      </c>
      <c r="I65" s="130">
        <f t="shared" si="3"/>
        <v>3180000</v>
      </c>
      <c r="J65" s="130">
        <f t="shared" si="1"/>
        <v>0</v>
      </c>
    </row>
    <row r="66" spans="2:10">
      <c r="B66" s="128" t="s">
        <v>185</v>
      </c>
      <c r="C66" s="128" t="s">
        <v>45</v>
      </c>
      <c r="D66" s="41" t="s">
        <v>105</v>
      </c>
      <c r="E66" s="129">
        <v>0</v>
      </c>
      <c r="F66" s="129">
        <v>0</v>
      </c>
      <c r="G66" s="129">
        <v>3150000</v>
      </c>
      <c r="H66" s="129">
        <f t="shared" si="0"/>
        <v>3150000</v>
      </c>
      <c r="I66" s="130">
        <f t="shared" si="3"/>
        <v>3150000</v>
      </c>
      <c r="J66" s="130">
        <f t="shared" si="1"/>
        <v>0</v>
      </c>
    </row>
    <row r="67" spans="2:10">
      <c r="B67" s="128" t="s">
        <v>185</v>
      </c>
      <c r="C67" s="128" t="s">
        <v>45</v>
      </c>
      <c r="D67" s="41" t="s">
        <v>108</v>
      </c>
      <c r="E67" s="129">
        <v>0</v>
      </c>
      <c r="F67" s="129">
        <v>0</v>
      </c>
      <c r="G67" s="129">
        <v>3025000</v>
      </c>
      <c r="H67" s="129">
        <f t="shared" si="0"/>
        <v>3025000</v>
      </c>
      <c r="I67" s="130">
        <f t="shared" si="3"/>
        <v>3025000</v>
      </c>
      <c r="J67" s="130">
        <f t="shared" si="1"/>
        <v>0</v>
      </c>
    </row>
    <row r="68" spans="2:10">
      <c r="B68" s="128" t="s">
        <v>185</v>
      </c>
      <c r="C68" s="128" t="s">
        <v>45</v>
      </c>
      <c r="D68" s="41" t="s">
        <v>140</v>
      </c>
      <c r="E68" s="129">
        <v>0</v>
      </c>
      <c r="F68" s="129">
        <v>0</v>
      </c>
      <c r="G68" s="129">
        <v>2850000</v>
      </c>
      <c r="H68" s="129">
        <f t="shared" ref="H68:H77" si="4">SUM(E68:G68)</f>
        <v>2850000</v>
      </c>
      <c r="I68" s="130">
        <f t="shared" si="3"/>
        <v>2850000</v>
      </c>
      <c r="J68" s="130">
        <f t="shared" si="1"/>
        <v>0</v>
      </c>
    </row>
    <row r="69" spans="2:10">
      <c r="B69" s="128" t="s">
        <v>185</v>
      </c>
      <c r="C69" s="128" t="s">
        <v>45</v>
      </c>
      <c r="D69" s="41" t="s">
        <v>159</v>
      </c>
      <c r="E69" s="129">
        <v>0</v>
      </c>
      <c r="F69" s="129">
        <v>0</v>
      </c>
      <c r="G69" s="129">
        <v>2700000</v>
      </c>
      <c r="H69" s="129">
        <f t="shared" si="4"/>
        <v>2700000</v>
      </c>
      <c r="I69" s="130">
        <f t="shared" si="3"/>
        <v>2700000</v>
      </c>
      <c r="J69" s="130">
        <f t="shared" ref="J69:J77" si="5">H69-I69</f>
        <v>0</v>
      </c>
    </row>
    <row r="70" spans="2:10">
      <c r="B70" s="128" t="s">
        <v>185</v>
      </c>
      <c r="C70" s="128" t="s">
        <v>45</v>
      </c>
      <c r="D70" s="41" t="s">
        <v>83</v>
      </c>
      <c r="E70" s="129">
        <v>0</v>
      </c>
      <c r="F70" s="129">
        <v>0</v>
      </c>
      <c r="G70" s="129">
        <v>1965000</v>
      </c>
      <c r="H70" s="129">
        <f t="shared" si="4"/>
        <v>1965000</v>
      </c>
      <c r="I70" s="130">
        <f t="shared" si="3"/>
        <v>1965000</v>
      </c>
      <c r="J70" s="130">
        <f t="shared" si="5"/>
        <v>0</v>
      </c>
    </row>
    <row r="71" spans="2:10">
      <c r="B71" s="128" t="s">
        <v>185</v>
      </c>
      <c r="C71" s="128" t="s">
        <v>45</v>
      </c>
      <c r="D71" s="41" t="s">
        <v>126</v>
      </c>
      <c r="E71" s="129">
        <v>0</v>
      </c>
      <c r="F71" s="129">
        <v>0</v>
      </c>
      <c r="G71" s="129">
        <v>1600000</v>
      </c>
      <c r="H71" s="129">
        <f t="shared" si="4"/>
        <v>1600000</v>
      </c>
      <c r="I71" s="130">
        <f t="shared" si="3"/>
        <v>1600000</v>
      </c>
      <c r="J71" s="130">
        <f t="shared" si="5"/>
        <v>0</v>
      </c>
    </row>
    <row r="72" spans="2:10">
      <c r="B72" s="128" t="s">
        <v>185</v>
      </c>
      <c r="C72" s="128" t="s">
        <v>45</v>
      </c>
      <c r="D72" s="41" t="s">
        <v>91</v>
      </c>
      <c r="E72" s="129">
        <v>0</v>
      </c>
      <c r="F72" s="129">
        <v>0</v>
      </c>
      <c r="G72" s="129">
        <v>1522000</v>
      </c>
      <c r="H72" s="129">
        <f t="shared" si="4"/>
        <v>1522000</v>
      </c>
      <c r="I72" s="130">
        <f t="shared" si="3"/>
        <v>1522000</v>
      </c>
      <c r="J72" s="130">
        <f t="shared" si="5"/>
        <v>0</v>
      </c>
    </row>
    <row r="73" spans="2:10">
      <c r="B73" s="128" t="s">
        <v>185</v>
      </c>
      <c r="C73" s="128" t="s">
        <v>45</v>
      </c>
      <c r="D73" s="41" t="s">
        <v>194</v>
      </c>
      <c r="E73" s="129">
        <v>0</v>
      </c>
      <c r="F73" s="129">
        <v>0</v>
      </c>
      <c r="G73" s="129">
        <v>1400000</v>
      </c>
      <c r="H73" s="129">
        <f t="shared" si="4"/>
        <v>1400000</v>
      </c>
      <c r="I73" s="130">
        <f t="shared" si="3"/>
        <v>1400000</v>
      </c>
      <c r="J73" s="130">
        <f t="shared" si="5"/>
        <v>0</v>
      </c>
    </row>
    <row r="74" spans="2:10">
      <c r="B74" s="128" t="s">
        <v>185</v>
      </c>
      <c r="C74" s="128" t="s">
        <v>45</v>
      </c>
      <c r="D74" s="41" t="s">
        <v>67</v>
      </c>
      <c r="E74" s="129">
        <v>0</v>
      </c>
      <c r="F74" s="129">
        <v>0</v>
      </c>
      <c r="G74" s="129">
        <v>1064000</v>
      </c>
      <c r="H74" s="129">
        <f t="shared" si="4"/>
        <v>1064000</v>
      </c>
      <c r="I74" s="130">
        <f t="shared" si="3"/>
        <v>1064000</v>
      </c>
      <c r="J74" s="130">
        <f t="shared" si="5"/>
        <v>0</v>
      </c>
    </row>
    <row r="75" spans="2:10">
      <c r="B75" s="128" t="s">
        <v>185</v>
      </c>
      <c r="C75" s="128" t="s">
        <v>45</v>
      </c>
      <c r="D75" s="41" t="s">
        <v>130</v>
      </c>
      <c r="E75" s="129">
        <v>0</v>
      </c>
      <c r="F75" s="129">
        <v>0</v>
      </c>
      <c r="G75" s="129">
        <v>670000</v>
      </c>
      <c r="H75" s="129">
        <f t="shared" si="4"/>
        <v>670000</v>
      </c>
      <c r="I75" s="130">
        <f t="shared" si="3"/>
        <v>670000</v>
      </c>
      <c r="J75" s="130">
        <f t="shared" si="5"/>
        <v>0</v>
      </c>
    </row>
    <row r="76" spans="2:10">
      <c r="B76" s="128" t="s">
        <v>185</v>
      </c>
      <c r="C76" s="128" t="s">
        <v>45</v>
      </c>
      <c r="D76" s="41" t="s">
        <v>195</v>
      </c>
      <c r="E76" s="129">
        <v>0</v>
      </c>
      <c r="F76" s="129">
        <v>0</v>
      </c>
      <c r="G76" s="129">
        <v>350000</v>
      </c>
      <c r="H76" s="129">
        <f t="shared" si="4"/>
        <v>350000</v>
      </c>
      <c r="I76" s="130">
        <f t="shared" si="3"/>
        <v>350000</v>
      </c>
      <c r="J76" s="130">
        <f t="shared" si="5"/>
        <v>0</v>
      </c>
    </row>
    <row r="77" spans="2:10">
      <c r="B77" s="128" t="s">
        <v>185</v>
      </c>
      <c r="C77" s="128" t="s">
        <v>45</v>
      </c>
      <c r="D77" s="41" t="s">
        <v>139</v>
      </c>
      <c r="E77" s="129">
        <v>0</v>
      </c>
      <c r="F77" s="129">
        <v>0</v>
      </c>
      <c r="G77" s="129">
        <v>49000</v>
      </c>
      <c r="H77" s="129">
        <f t="shared" si="4"/>
        <v>49000</v>
      </c>
      <c r="I77" s="130">
        <f t="shared" si="3"/>
        <v>49000</v>
      </c>
      <c r="J77" s="130">
        <f t="shared" si="5"/>
        <v>0</v>
      </c>
    </row>
    <row r="78" spans="2:10">
      <c r="B78" s="157" t="s">
        <v>196</v>
      </c>
      <c r="C78" s="158"/>
      <c r="D78" s="159"/>
      <c r="E78" s="132">
        <f t="shared" ref="E78:J78" si="6">SUM(E4:E77)</f>
        <v>14630000</v>
      </c>
      <c r="F78" s="132">
        <f t="shared" si="6"/>
        <v>451750800</v>
      </c>
      <c r="G78" s="132">
        <f t="shared" si="6"/>
        <v>3679960750</v>
      </c>
      <c r="H78" s="132">
        <f t="shared" si="6"/>
        <v>4146341550</v>
      </c>
      <c r="I78" s="132">
        <f t="shared" si="6"/>
        <v>3753973050</v>
      </c>
      <c r="J78" s="132">
        <f t="shared" si="6"/>
        <v>392368500</v>
      </c>
    </row>
    <row r="80" spans="2:10" ht="15.75" thickBot="1">
      <c r="I80" t="s">
        <v>49</v>
      </c>
    </row>
    <row r="81" spans="5:10">
      <c r="E81" s="87">
        <v>9080712200</v>
      </c>
      <c r="F81" s="70">
        <f>J78</f>
        <v>392368500</v>
      </c>
      <c r="G81" s="70">
        <f>E81-F81</f>
        <v>8688343700</v>
      </c>
      <c r="H81" s="71" t="s">
        <v>197</v>
      </c>
      <c r="J81" s="72">
        <f>J78/H78</f>
        <v>9.4630048023901944E-2</v>
      </c>
    </row>
    <row r="82" spans="5:10" ht="15.75" thickBot="1">
      <c r="E82" s="75" t="s">
        <v>198</v>
      </c>
      <c r="F82" s="76" t="s">
        <v>114</v>
      </c>
      <c r="G82" s="73">
        <f>G81/E81</f>
        <v>0.95679099927866895</v>
      </c>
      <c r="H82" s="74"/>
    </row>
    <row r="84" spans="5:10" ht="15.75" thickBot="1"/>
    <row r="85" spans="5:10">
      <c r="E85" s="87">
        <v>9080712200</v>
      </c>
      <c r="F85" s="70">
        <v>350000000</v>
      </c>
      <c r="G85" s="70">
        <f>E85-F85</f>
        <v>8730712200</v>
      </c>
      <c r="H85" s="71" t="s">
        <v>197</v>
      </c>
    </row>
    <row r="86" spans="5:10" ht="15.75" thickBot="1">
      <c r="E86" s="75" t="s">
        <v>198</v>
      </c>
      <c r="F86" s="76" t="s">
        <v>114</v>
      </c>
      <c r="G86" s="73">
        <f>G85/E85</f>
        <v>0.9614567676751169</v>
      </c>
      <c r="H86" s="74"/>
    </row>
  </sheetData>
  <mergeCells count="1">
    <mergeCell ref="B78:D78"/>
  </mergeCells>
  <conditionalFormatting sqref="F81">
    <cfRule type="expression" dxfId="11" priority="11">
      <formula>AND(#REF!&gt;0,$H81&gt;89)</formula>
    </cfRule>
    <cfRule type="expression" dxfId="10" priority="12">
      <formula>AND(#REF!&gt;0,$H81&gt;59)</formula>
    </cfRule>
  </conditionalFormatting>
  <conditionalFormatting sqref="G81">
    <cfRule type="expression" dxfId="9" priority="9">
      <formula>AND(#REF!&gt;0,$H81&gt;89)</formula>
    </cfRule>
    <cfRule type="expression" dxfId="8" priority="10">
      <formula>AND(#REF!&gt;0,$H81&gt;59)</formula>
    </cfRule>
  </conditionalFormatting>
  <conditionalFormatting sqref="E81">
    <cfRule type="expression" dxfId="7" priority="7">
      <formula>AND(#REF!&gt;0,$H81&gt;89)</formula>
    </cfRule>
    <cfRule type="expression" dxfId="6" priority="8">
      <formula>AND(#REF!&gt;0,$H81&gt;59)</formula>
    </cfRule>
  </conditionalFormatting>
  <conditionalFormatting sqref="F85">
    <cfRule type="expression" dxfId="5" priority="5">
      <formula>AND(#REF!&gt;0,$H85&gt;89)</formula>
    </cfRule>
    <cfRule type="expression" dxfId="4" priority="6">
      <formula>AND(#REF!&gt;0,$H85&gt;59)</formula>
    </cfRule>
  </conditionalFormatting>
  <conditionalFormatting sqref="G85">
    <cfRule type="expression" dxfId="3" priority="3">
      <formula>AND(#REF!&gt;0,$H85&gt;89)</formula>
    </cfRule>
    <cfRule type="expression" dxfId="2" priority="4">
      <formula>AND(#REF!&gt;0,$H85&gt;59)</formula>
    </cfRule>
  </conditionalFormatting>
  <conditionalFormatting sqref="E85">
    <cfRule type="expression" dxfId="1" priority="1">
      <formula>AND(#REF!&gt;0,$H85&gt;89)</formula>
    </cfRule>
    <cfRule type="expression" dxfId="0" priority="2">
      <formula>AND(#REF!&gt;0,$H85&gt;59)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Penyelesai OD &amp; TF </vt:lpstr>
      <vt:lpstr>Kalender Mei </vt:lpstr>
      <vt:lpstr>Simulasi 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admtc6</dc:creator>
  <cp:lastModifiedBy>admtc6</cp:lastModifiedBy>
  <dcterms:created xsi:type="dcterms:W3CDTF">2026-02-21T03:26:28Z</dcterms:created>
  <dcterms:modified xsi:type="dcterms:W3CDTF">2026-06-05T08:24:26Z</dcterms:modified>
</cp:coreProperties>
</file>