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6450"/>
  </bookViews>
  <sheets>
    <sheet name="Olah Data Daily Stock" sheetId="1" r:id="rId1"/>
    <sheet name="BACK UP" sheetId="2" r:id="rId2"/>
    <sheet name="Faktur Hijau" sheetId="3" r:id="rId3"/>
    <sheet name="ASURANSI" sheetId="4" r:id="rId4"/>
  </sheets>
  <externalReferences>
    <externalReference r:id="rId5"/>
  </externalReferences>
  <definedNames>
    <definedName name="Progresit">'[1]PROGRES TUGAS IT 2020'!$B$3:$L$215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D35" i="3" l="1"/>
  <c r="D34" i="3"/>
  <c r="D33" i="3"/>
  <c r="F36" i="3" l="1"/>
  <c r="F37" i="3" l="1"/>
  <c r="D32" i="3" l="1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9" i="1"/>
  <c r="C39" i="1"/>
</calcChain>
</file>

<file path=xl/sharedStrings.xml><?xml version="1.0" encoding="utf-8"?>
<sst xmlns="http://schemas.openxmlformats.org/spreadsheetml/2006/main" count="224" uniqueCount="60">
  <si>
    <t>BULAN</t>
  </si>
  <si>
    <t>NILA</t>
  </si>
  <si>
    <t>Daily Stock</t>
  </si>
  <si>
    <t>PAGI</t>
  </si>
  <si>
    <t>SIANG</t>
  </si>
  <si>
    <t>KET</t>
  </si>
  <si>
    <t>Rata2</t>
  </si>
  <si>
    <t xml:space="preserve">NO. </t>
  </si>
  <si>
    <t>NAMA FILE</t>
  </si>
  <si>
    <t>P</t>
  </si>
  <si>
    <t>SPR Retur 2025</t>
  </si>
  <si>
    <t>Asuransi</t>
  </si>
  <si>
    <t>Stok Suplier ( Nonik &amp; Nina )</t>
  </si>
  <si>
    <t>Mutasi Barang</t>
  </si>
  <si>
    <t>Hpp</t>
  </si>
  <si>
    <t>Nama Barang</t>
  </si>
  <si>
    <t>File Faktur Hijau</t>
  </si>
  <si>
    <t>Tanggal Faktur</t>
  </si>
  <si>
    <t>Terima</t>
  </si>
  <si>
    <t>Selesai</t>
  </si>
  <si>
    <t>H+</t>
  </si>
  <si>
    <t>Keterangan</t>
  </si>
  <si>
    <t>Nota</t>
  </si>
  <si>
    <t>Ket</t>
  </si>
  <si>
    <t>Kurang 1 nota</t>
  </si>
  <si>
    <t>Lengkap</t>
  </si>
  <si>
    <t>Kurang 2 nota</t>
  </si>
  <si>
    <t>Kurang 4 nota</t>
  </si>
  <si>
    <t>No.</t>
  </si>
  <si>
    <t xml:space="preserve">Bulan </t>
  </si>
  <si>
    <t>Periode Laporan</t>
  </si>
  <si>
    <t>KETERANGAN</t>
  </si>
  <si>
    <t>MAG Ajung Semeru</t>
  </si>
  <si>
    <t>MAG KIU Cabang</t>
  </si>
  <si>
    <t>JANUARI</t>
  </si>
  <si>
    <t>FEBRUARI</t>
  </si>
  <si>
    <t>23 Januari 2026 - 23 Februari  2026</t>
  </si>
  <si>
    <t>26 Januari 2026 - 26 Februari  2026</t>
  </si>
  <si>
    <t>23 Desember 2025 - 23 Januari 2026</t>
  </si>
  <si>
    <t>26 Desember 2025 - 26 Januari 2026</t>
  </si>
  <si>
    <t>Kurang 3 nota</t>
  </si>
  <si>
    <t>Penjualan Acak 2026</t>
  </si>
  <si>
    <t>Rekap Faktur T Gabungan 2025/2026</t>
  </si>
  <si>
    <t>Backup data di Kiuserver 2026</t>
  </si>
  <si>
    <t>KS Komersil 2025 - 2026</t>
  </si>
  <si>
    <t>KS Promosi 2025 - 2026</t>
  </si>
  <si>
    <t>KS A  2024 - 2026</t>
  </si>
  <si>
    <t>Export Pemb Harian 2026</t>
  </si>
  <si>
    <t>Revisi Penjualan 2026</t>
  </si>
  <si>
    <t>Tahun 2026</t>
  </si>
  <si>
    <t>MARET</t>
  </si>
  <si>
    <t>LEBARAN</t>
  </si>
  <si>
    <t>MINNGU</t>
  </si>
  <si>
    <t>23 Februari 2026 - 23 Maret  2026</t>
  </si>
  <si>
    <t>26 Februari 2026 - 26 Maret  2026</t>
  </si>
  <si>
    <t>LIBUR</t>
  </si>
  <si>
    <t>Total  Nota</t>
  </si>
  <si>
    <t>BULAN MARET 2026</t>
  </si>
  <si>
    <t>MARET 2026</t>
  </si>
  <si>
    <t>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</si>
</sst>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[$-F400]h:mm:ss\ AM/PM"/>
    <numFmt numFmtId="166" formatCode="[$-409]dd\-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Wingdings 2"/>
      <family val="1"/>
      <charset val="2"/>
    </font>
    <font>
      <b/>
      <sz val="10"/>
      <color theme="1"/>
      <name val="Calibri"/>
      <family val="2"/>
    </font>
    <font>
      <sz val="10"/>
      <color theme="1"/>
      <name val="Wingdings 2"/>
      <family val="1"/>
      <charset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Khmer UI"/>
    </font>
    <font>
      <b/>
      <sz val="8"/>
      <color theme="1"/>
      <name val="Calibri"/>
      <family val="2"/>
      <scheme val="minor"/>
    </font>
    <font>
      <b/>
      <sz val="10"/>
      <color rgb="FFFF0000"/>
      <name val="Wingdings 2"/>
      <family val="1"/>
      <charset val="2"/>
    </font>
    <font>
      <sz val="10"/>
      <color rgb="FFFF0000"/>
      <name val="Wingdings 2"/>
      <family val="1"/>
      <charset val="2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4" borderId="6" xfId="0" applyFont="1" applyFill="1" applyBorder="1" applyAlignment="1">
      <alignment horizontal="center" vertical="center"/>
    </xf>
    <xf numFmtId="164" fontId="4" fillId="4" borderId="6" xfId="2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64" fontId="5" fillId="6" borderId="6" xfId="2" applyNumberFormat="1" applyFont="1" applyFill="1" applyBorder="1" applyAlignment="1">
      <alignment horizontal="center" vertical="center"/>
    </xf>
    <xf numFmtId="164" fontId="5" fillId="7" borderId="6" xfId="2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165" fontId="5" fillId="8" borderId="6" xfId="2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65" fontId="5" fillId="6" borderId="6" xfId="2" applyNumberFormat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165" fontId="6" fillId="9" borderId="6" xfId="2" applyNumberFormat="1" applyFont="1" applyFill="1" applyBorder="1" applyAlignment="1">
      <alignment horizontal="center" vertical="center"/>
    </xf>
    <xf numFmtId="0" fontId="0" fillId="0" borderId="0" xfId="0" applyFill="1"/>
    <xf numFmtId="0" fontId="8" fillId="0" borderId="0" xfId="0" applyFont="1" applyAlignment="1">
      <alignment horizontal="center"/>
    </xf>
    <xf numFmtId="0" fontId="8" fillId="0" borderId="0" xfId="0" applyFont="1"/>
    <xf numFmtId="0" fontId="8" fillId="10" borderId="8" xfId="0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0" fontId="5" fillId="10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vertical="center"/>
    </xf>
    <xf numFmtId="0" fontId="8" fillId="0" borderId="7" xfId="0" applyFont="1" applyBorder="1"/>
    <xf numFmtId="16" fontId="9" fillId="12" borderId="7" xfId="0" applyNumberFormat="1" applyFont="1" applyFill="1" applyBorder="1" applyAlignment="1">
      <alignment horizontal="center"/>
    </xf>
    <xf numFmtId="16" fontId="10" fillId="12" borderId="7" xfId="0" applyNumberFormat="1" applyFont="1" applyFill="1" applyBorder="1" applyAlignment="1">
      <alignment horizontal="center"/>
    </xf>
    <xf numFmtId="16" fontId="9" fillId="8" borderId="7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0" fontId="0" fillId="10" borderId="7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10" borderId="7" xfId="0" applyFont="1" applyFill="1" applyBorder="1" applyAlignment="1">
      <alignment horizontal="center"/>
    </xf>
    <xf numFmtId="0" fontId="8" fillId="10" borderId="7" xfId="0" applyFont="1" applyFill="1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14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center"/>
    </xf>
    <xf numFmtId="0" fontId="14" fillId="0" borderId="0" xfId="0" applyFont="1"/>
    <xf numFmtId="166" fontId="15" fillId="0" borderId="11" xfId="0" applyNumberFormat="1" applyFont="1" applyFill="1" applyBorder="1" applyAlignment="1">
      <alignment horizontal="center" vertical="center"/>
    </xf>
    <xf numFmtId="0" fontId="15" fillId="0" borderId="12" xfId="0" applyNumberFormat="1" applyFont="1" applyFill="1" applyBorder="1" applyAlignment="1">
      <alignment horizontal="left" vertical="center"/>
    </xf>
    <xf numFmtId="166" fontId="15" fillId="0" borderId="12" xfId="0" applyNumberFormat="1" applyFont="1" applyFill="1" applyBorder="1" applyAlignment="1">
      <alignment horizontal="left" vertical="center"/>
    </xf>
    <xf numFmtId="0" fontId="15" fillId="0" borderId="12" xfId="0" applyNumberFormat="1" applyFont="1" applyFill="1" applyBorder="1" applyAlignment="1">
      <alignment horizontal="center" vertical="center"/>
    </xf>
    <xf numFmtId="166" fontId="14" fillId="0" borderId="13" xfId="0" applyNumberFormat="1" applyFont="1" applyFill="1" applyBorder="1" applyAlignment="1">
      <alignment horizontal="left" vertical="center"/>
    </xf>
    <xf numFmtId="0" fontId="15" fillId="0" borderId="14" xfId="0" applyNumberFormat="1" applyFont="1" applyFill="1" applyBorder="1" applyAlignment="1">
      <alignment horizontal="left" vertical="center"/>
    </xf>
    <xf numFmtId="166" fontId="15" fillId="0" borderId="14" xfId="0" applyNumberFormat="1" applyFont="1" applyFill="1" applyBorder="1" applyAlignment="1">
      <alignment horizontal="left" vertical="center"/>
    </xf>
    <xf numFmtId="166" fontId="14" fillId="0" borderId="15" xfId="0" applyNumberFormat="1" applyFont="1" applyFill="1" applyBorder="1" applyAlignment="1">
      <alignment horizontal="left" vertical="center"/>
    </xf>
    <xf numFmtId="166" fontId="14" fillId="13" borderId="16" xfId="0" applyNumberFormat="1" applyFont="1" applyFill="1" applyBorder="1" applyAlignment="1">
      <alignment horizontal="left"/>
    </xf>
    <xf numFmtId="0" fontId="14" fillId="13" borderId="16" xfId="0" applyNumberFormat="1" applyFont="1" applyFill="1" applyBorder="1" applyAlignment="1">
      <alignment horizontal="left"/>
    </xf>
    <xf numFmtId="0" fontId="15" fillId="13" borderId="14" xfId="0" applyNumberFormat="1" applyFont="1" applyFill="1" applyBorder="1" applyAlignment="1">
      <alignment horizontal="center" vertical="center"/>
    </xf>
    <xf numFmtId="166" fontId="16" fillId="0" borderId="11" xfId="0" applyNumberFormat="1" applyFont="1" applyFill="1" applyBorder="1" applyAlignment="1">
      <alignment horizontal="center"/>
    </xf>
    <xf numFmtId="0" fontId="16" fillId="0" borderId="12" xfId="0" applyNumberFormat="1" applyFont="1" applyFill="1" applyBorder="1" applyAlignment="1">
      <alignment horizontal="center"/>
    </xf>
    <xf numFmtId="166" fontId="16" fillId="0" borderId="12" xfId="0" applyNumberFormat="1" applyFont="1" applyFill="1" applyBorder="1" applyAlignment="1">
      <alignment horizontal="center"/>
    </xf>
    <xf numFmtId="166" fontId="16" fillId="0" borderId="13" xfId="0" applyNumberFormat="1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7" xfId="0" applyNumberForma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166" fontId="17" fillId="13" borderId="23" xfId="0" applyNumberFormat="1" applyFont="1" applyFill="1" applyBorder="1" applyAlignment="1">
      <alignment horizontal="left"/>
    </xf>
    <xf numFmtId="0" fontId="17" fillId="13" borderId="23" xfId="0" applyNumberFormat="1" applyFont="1" applyFill="1" applyBorder="1" applyAlignment="1">
      <alignment horizontal="left"/>
    </xf>
    <xf numFmtId="164" fontId="9" fillId="11" borderId="7" xfId="0" applyNumberFormat="1" applyFont="1" applyFill="1" applyBorder="1" applyAlignment="1">
      <alignment horizontal="center" vertical="center"/>
    </xf>
    <xf numFmtId="164" fontId="10" fillId="11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/>
    </xf>
    <xf numFmtId="0" fontId="8" fillId="0" borderId="7" xfId="0" applyFont="1" applyFill="1" applyBorder="1"/>
    <xf numFmtId="0" fontId="11" fillId="14" borderId="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/>
    </xf>
    <xf numFmtId="164" fontId="9" fillId="3" borderId="7" xfId="0" applyNumberFormat="1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10" borderId="7" xfId="0" applyFont="1" applyFill="1" applyBorder="1" applyAlignment="1">
      <alignment horizontal="center" vertical="center"/>
    </xf>
    <xf numFmtId="166" fontId="17" fillId="5" borderId="23" xfId="0" applyNumberFormat="1" applyFont="1" applyFill="1" applyBorder="1" applyAlignment="1">
      <alignment horizontal="left"/>
    </xf>
    <xf numFmtId="43" fontId="9" fillId="5" borderId="12" xfId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1" fillId="0" borderId="0" xfId="0" applyFont="1"/>
    <xf numFmtId="164" fontId="22" fillId="3" borderId="7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vertical="center"/>
    </xf>
  </cellXfs>
  <cellStyles count="3">
    <cellStyle name="Comma" xfId="1" builtinId="3"/>
    <cellStyle name="Comma 2" xfId="2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KPI%202023%20Accounting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A3:G36" totalsRowCount="1" headerRowDxfId="26" dataDxfId="25">
  <autoFilter ref="A3:G35"/>
  <tableColumns count="7">
    <tableColumn id="1" name="Tanggal Faktur" dataDxfId="24" totalsRowDxfId="6"/>
    <tableColumn id="2" name="Terima" dataDxfId="23" totalsRowDxfId="5"/>
    <tableColumn id="3" name="Selesai" dataDxfId="22" totalsRowDxfId="4"/>
    <tableColumn id="4" name="H+" dataDxfId="21" totalsRowDxfId="3">
      <calculatedColumnFormula>+Table1[[#This Row],[Selesai]]-Table1[[#This Row],[Terima]]</calculatedColumnFormula>
    </tableColumn>
    <tableColumn id="5" name="Keterangan" totalsRowLabel="Total  Nota" dataDxfId="20" totalsRowDxfId="2"/>
    <tableColumn id="7" name="Nota" totalsRowFunction="custom" dataDxfId="19" totalsRowDxfId="1">
      <totalsRowFormula>SUM(F5:F35)</totalsRowFormula>
    </tableColumn>
    <tableColumn id="6" name="Ket" dataDxfId="18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4" totalsRowShown="0" headerRowDxfId="17" dataDxfId="15" headerRowBorderDxfId="16" tableBorderDxfId="14" totalsRowBorderDxfId="13">
  <autoFilter ref="A1:F14"/>
  <tableColumns count="6">
    <tableColumn id="1" name="No." dataDxfId="12"/>
    <tableColumn id="6" name="Bulan " dataDxfId="11"/>
    <tableColumn id="2" name="Asuransi" dataDxfId="10"/>
    <tableColumn id="3" name="Periode Laporan" dataDxfId="9"/>
    <tableColumn id="4" name="Selesai" dataDxfId="8"/>
    <tableColumn id="7" name="KETERANGAN" dataDxfId="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F68"/>
  <sheetViews>
    <sheetView tabSelected="1" workbookViewId="0">
      <pane xSplit="3" ySplit="6" topLeftCell="D26" activePane="bottomRight" state="frozen"/>
      <selection pane="topRight" activeCell="D1" sqref="D1"/>
      <selection pane="bottomLeft" activeCell="A7" sqref="A7"/>
      <selection pane="bottomRight" activeCell="B39" sqref="B39"/>
    </sheetView>
  </sheetViews>
  <sheetFormatPr defaultRowHeight="15"/>
  <cols>
    <col min="1" max="1" width="5" customWidth="1"/>
    <col min="2" max="2" width="12.7109375" customWidth="1"/>
    <col min="3" max="3" width="22.7109375" customWidth="1"/>
    <col min="4" max="4" width="23.28515625" customWidth="1"/>
    <col min="5" max="6" width="12.7109375" style="14" customWidth="1"/>
    <col min="7" max="9" width="8.140625" customWidth="1"/>
    <col min="10" max="10" width="21.5703125" bestFit="1" customWidth="1"/>
  </cols>
  <sheetData>
    <row r="2" spans="2:6">
      <c r="C2" s="1"/>
      <c r="D2" s="1"/>
      <c r="E2" s="2"/>
      <c r="F2" s="2"/>
    </row>
    <row r="3" spans="2:6" ht="16.5" thickBot="1">
      <c r="B3" s="91" t="s">
        <v>49</v>
      </c>
      <c r="C3" s="92"/>
      <c r="D3" s="92"/>
      <c r="E3" s="92"/>
      <c r="F3" s="2"/>
    </row>
    <row r="4" spans="2:6" ht="15.75">
      <c r="B4" s="93" t="s">
        <v>0</v>
      </c>
      <c r="C4" s="95" t="s">
        <v>1</v>
      </c>
      <c r="D4" s="96"/>
      <c r="E4" s="96"/>
      <c r="F4" s="2"/>
    </row>
    <row r="5" spans="2:6" ht="16.5" thickBot="1">
      <c r="B5" s="94"/>
      <c r="C5" s="97" t="s">
        <v>2</v>
      </c>
      <c r="D5" s="98"/>
      <c r="E5" s="98"/>
      <c r="F5" s="2"/>
    </row>
    <row r="6" spans="2:6" ht="16.5" thickBot="1">
      <c r="B6" s="3" t="s">
        <v>50</v>
      </c>
      <c r="C6" s="4" t="s">
        <v>3</v>
      </c>
      <c r="D6" s="4" t="s">
        <v>4</v>
      </c>
      <c r="E6" s="4" t="s">
        <v>5</v>
      </c>
      <c r="F6" s="2"/>
    </row>
    <row r="7" spans="2:6" ht="16.5" thickBot="1">
      <c r="B7" s="5">
        <v>2026</v>
      </c>
      <c r="C7" s="6"/>
      <c r="D7" s="6"/>
      <c r="E7" s="7"/>
      <c r="F7" s="2"/>
    </row>
    <row r="8" spans="2:6" ht="15.75" thickBot="1">
      <c r="B8" s="8">
        <v>1</v>
      </c>
      <c r="C8" s="9"/>
      <c r="D8" s="9"/>
      <c r="E8" s="7" t="s">
        <v>59</v>
      </c>
      <c r="F8" s="2"/>
    </row>
    <row r="9" spans="2:6" ht="15.75" thickBot="1">
      <c r="B9" s="10">
        <v>2</v>
      </c>
      <c r="C9" s="11">
        <v>0.35902777777777778</v>
      </c>
      <c r="D9" s="11">
        <v>0.49236111111111108</v>
      </c>
      <c r="E9" s="7"/>
      <c r="F9" s="2"/>
    </row>
    <row r="10" spans="2:6" ht="15.75" thickBot="1">
      <c r="B10" s="8">
        <v>3</v>
      </c>
      <c r="C10" s="9">
        <v>0.35625000000000001</v>
      </c>
      <c r="D10" s="9">
        <v>0.49513888888888885</v>
      </c>
      <c r="E10" s="7"/>
      <c r="F10" s="2"/>
    </row>
    <row r="11" spans="2:6" ht="15.75" thickBot="1">
      <c r="B11" s="10">
        <v>4</v>
      </c>
      <c r="C11" s="11">
        <v>0.35833333333333334</v>
      </c>
      <c r="D11" s="11">
        <v>0.4909722222222222</v>
      </c>
      <c r="E11" s="7"/>
      <c r="F11" s="2"/>
    </row>
    <row r="12" spans="2:6" ht="15.75" thickBot="1">
      <c r="B12" s="8">
        <v>5</v>
      </c>
      <c r="C12" s="9">
        <v>0.36458333333333331</v>
      </c>
      <c r="D12" s="9">
        <v>0.53402777777777777</v>
      </c>
      <c r="E12" s="7"/>
      <c r="F12" s="2"/>
    </row>
    <row r="13" spans="2:6" ht="15.75" thickBot="1">
      <c r="B13" s="10">
        <v>6</v>
      </c>
      <c r="C13" s="11">
        <v>0.36527777777777781</v>
      </c>
      <c r="D13" s="11">
        <v>0.48680555555555555</v>
      </c>
      <c r="E13" s="7"/>
      <c r="F13" s="2"/>
    </row>
    <row r="14" spans="2:6" ht="15.75" thickBot="1">
      <c r="B14" s="8">
        <v>7</v>
      </c>
      <c r="C14" s="9">
        <v>0.36180555555555555</v>
      </c>
      <c r="D14" s="9">
        <v>0.49583333333333335</v>
      </c>
      <c r="E14" s="7"/>
      <c r="F14" s="2"/>
    </row>
    <row r="15" spans="2:6" ht="15.75" thickBot="1">
      <c r="B15" s="10">
        <v>8</v>
      </c>
      <c r="C15" s="11"/>
      <c r="D15" s="11"/>
      <c r="E15" s="7" t="s">
        <v>59</v>
      </c>
      <c r="F15" s="2"/>
    </row>
    <row r="16" spans="2:6" ht="15.75" thickBot="1">
      <c r="B16" s="8">
        <v>9</v>
      </c>
      <c r="C16" s="9">
        <v>0.35694444444444445</v>
      </c>
      <c r="D16" s="9">
        <v>0.48125000000000001</v>
      </c>
      <c r="E16" s="7"/>
      <c r="F16" s="2"/>
    </row>
    <row r="17" spans="2:6" ht="15.75" thickBot="1">
      <c r="B17" s="10">
        <v>10</v>
      </c>
      <c r="C17" s="11">
        <v>0.36041666666666666</v>
      </c>
      <c r="D17" s="11">
        <v>0.4861111111111111</v>
      </c>
      <c r="E17" s="7"/>
      <c r="F17" s="2"/>
    </row>
    <row r="18" spans="2:6" ht="15.75" thickBot="1">
      <c r="B18" s="8">
        <v>11</v>
      </c>
      <c r="C18" s="9">
        <v>0.36180555555555555</v>
      </c>
      <c r="D18" s="9">
        <v>0.53472222222222221</v>
      </c>
      <c r="E18" s="7"/>
      <c r="F18" s="2"/>
    </row>
    <row r="19" spans="2:6" ht="15.75" thickBot="1">
      <c r="B19" s="10">
        <v>12</v>
      </c>
      <c r="C19" s="11">
        <v>0.36041666666666666</v>
      </c>
      <c r="D19" s="11">
        <v>0.53819444444444442</v>
      </c>
      <c r="E19" s="7"/>
      <c r="F19" s="2"/>
    </row>
    <row r="20" spans="2:6" ht="15.75" thickBot="1">
      <c r="B20" s="8">
        <v>13</v>
      </c>
      <c r="C20" s="9">
        <v>0.36180555555555555</v>
      </c>
      <c r="D20" s="9">
        <v>0.50902777777777775</v>
      </c>
      <c r="E20" s="7"/>
      <c r="F20" s="2"/>
    </row>
    <row r="21" spans="2:6" ht="15.75" thickBot="1">
      <c r="B21" s="10">
        <v>14</v>
      </c>
      <c r="C21" s="11">
        <v>0.32291666666666669</v>
      </c>
      <c r="D21" s="11">
        <v>0</v>
      </c>
      <c r="E21" s="7"/>
      <c r="F21" s="2"/>
    </row>
    <row r="22" spans="2:6" ht="15.75" thickBot="1">
      <c r="B22" s="8">
        <v>15</v>
      </c>
      <c r="C22" s="9"/>
      <c r="D22" s="9"/>
      <c r="E22" s="7" t="s">
        <v>59</v>
      </c>
      <c r="F22" s="2"/>
    </row>
    <row r="23" spans="2:6" ht="15.75" thickBot="1">
      <c r="B23" s="10">
        <v>16</v>
      </c>
      <c r="C23" s="11">
        <v>0.35902777777777778</v>
      </c>
      <c r="D23" s="11">
        <v>0.53541666666666665</v>
      </c>
      <c r="E23" s="7"/>
      <c r="F23" s="2"/>
    </row>
    <row r="24" spans="2:6" ht="15.75" thickBot="1">
      <c r="B24" s="8">
        <v>17</v>
      </c>
      <c r="C24" s="9">
        <v>0.38263888888888892</v>
      </c>
      <c r="D24" s="9">
        <v>0.54166666666666663</v>
      </c>
      <c r="E24" s="7"/>
      <c r="F24" s="2"/>
    </row>
    <row r="25" spans="2:6" ht="15.75" thickBot="1">
      <c r="B25" s="10">
        <v>18</v>
      </c>
      <c r="C25" s="11">
        <v>0.36041666666666666</v>
      </c>
      <c r="D25" s="11">
        <v>0.54097222222222219</v>
      </c>
      <c r="E25" s="7"/>
      <c r="F25" s="2"/>
    </row>
    <row r="26" spans="2:6" ht="15.75" thickBot="1">
      <c r="B26" s="8">
        <v>19</v>
      </c>
      <c r="C26" s="9"/>
      <c r="D26" s="9"/>
      <c r="E26" s="7" t="s">
        <v>51</v>
      </c>
      <c r="F26" s="2"/>
    </row>
    <row r="27" spans="2:6" ht="15.75" thickBot="1">
      <c r="B27" s="10">
        <v>20</v>
      </c>
      <c r="C27" s="11"/>
      <c r="D27" s="11"/>
      <c r="E27" s="7" t="s">
        <v>51</v>
      </c>
      <c r="F27" s="2"/>
    </row>
    <row r="28" spans="2:6" ht="15.75" thickBot="1">
      <c r="B28" s="8">
        <v>21</v>
      </c>
      <c r="C28" s="9"/>
      <c r="D28" s="9"/>
      <c r="E28" s="7" t="s">
        <v>51</v>
      </c>
      <c r="F28" s="2"/>
    </row>
    <row r="29" spans="2:6" ht="15.75" thickBot="1">
      <c r="B29" s="10">
        <v>22</v>
      </c>
      <c r="C29" s="11"/>
      <c r="D29" s="11"/>
      <c r="E29" s="7" t="s">
        <v>51</v>
      </c>
      <c r="F29" s="2"/>
    </row>
    <row r="30" spans="2:6" ht="15.75" thickBot="1">
      <c r="B30" s="8">
        <v>23</v>
      </c>
      <c r="C30" s="9"/>
      <c r="D30" s="9"/>
      <c r="E30" s="7" t="s">
        <v>51</v>
      </c>
      <c r="F30" s="2"/>
    </row>
    <row r="31" spans="2:6" ht="15.75" thickBot="1">
      <c r="B31" s="10">
        <v>24</v>
      </c>
      <c r="C31" s="11"/>
      <c r="D31" s="11"/>
      <c r="E31" s="7" t="s">
        <v>51</v>
      </c>
      <c r="F31" s="2"/>
    </row>
    <row r="32" spans="2:6" ht="15.75" thickBot="1">
      <c r="B32" s="8">
        <v>25</v>
      </c>
      <c r="C32" s="9"/>
      <c r="D32" s="9"/>
      <c r="E32" s="7" t="s">
        <v>51</v>
      </c>
      <c r="F32" s="2"/>
    </row>
    <row r="33" spans="2:6" ht="15.75" thickBot="1">
      <c r="B33" s="10">
        <v>26</v>
      </c>
      <c r="C33" s="11">
        <v>0.37708333333333338</v>
      </c>
      <c r="D33" s="11">
        <v>0.53611111111111109</v>
      </c>
      <c r="E33" s="7"/>
      <c r="F33" s="2"/>
    </row>
    <row r="34" spans="2:6" ht="15.75" thickBot="1">
      <c r="B34" s="8">
        <v>27</v>
      </c>
      <c r="C34" s="9">
        <v>0.35694444444444445</v>
      </c>
      <c r="D34" s="9">
        <v>0.54513888888888895</v>
      </c>
      <c r="E34" s="7"/>
      <c r="F34" s="2"/>
    </row>
    <row r="35" spans="2:6" ht="15.75" thickBot="1">
      <c r="B35" s="10">
        <v>28</v>
      </c>
      <c r="C35" s="11">
        <v>0.36319444444444443</v>
      </c>
      <c r="D35" s="11">
        <v>0.54513888888888895</v>
      </c>
      <c r="E35" s="7"/>
      <c r="F35" s="2"/>
    </row>
    <row r="36" spans="2:6" ht="15.75" thickBot="1">
      <c r="B36" s="8">
        <v>29</v>
      </c>
      <c r="C36" s="9"/>
      <c r="D36" s="9"/>
      <c r="E36" s="7"/>
      <c r="F36" s="2"/>
    </row>
    <row r="37" spans="2:6" ht="15.75" thickBot="1">
      <c r="B37" s="10">
        <v>30</v>
      </c>
      <c r="C37" s="11">
        <v>0.35902777777777778</v>
      </c>
      <c r="D37" s="11">
        <v>0.49791666666666662</v>
      </c>
      <c r="E37" s="7"/>
      <c r="F37" s="2"/>
    </row>
    <row r="38" spans="2:6" ht="15.75" thickBot="1">
      <c r="B38" s="8">
        <v>31</v>
      </c>
      <c r="C38" s="9">
        <v>0.36388888888888887</v>
      </c>
      <c r="D38" s="9">
        <v>0.4777777777777778</v>
      </c>
      <c r="E38" s="7"/>
      <c r="F38" s="2"/>
    </row>
    <row r="39" spans="2:6" ht="15.75" thickBot="1">
      <c r="B39" s="12" t="s">
        <v>6</v>
      </c>
      <c r="C39" s="13">
        <f>AVERAGE(C8:C38)</f>
        <v>0.36059027777777775</v>
      </c>
      <c r="D39" s="13">
        <f>AVERAGE(D8:D38)</f>
        <v>0.48822916666666671</v>
      </c>
      <c r="E39" s="7"/>
      <c r="F39" s="2"/>
    </row>
    <row r="40" spans="2:6">
      <c r="E40" s="2"/>
      <c r="F40" s="2"/>
    </row>
    <row r="41" spans="2:6">
      <c r="E41" s="2"/>
      <c r="F41" s="2"/>
    </row>
    <row r="42" spans="2:6">
      <c r="E42" s="2"/>
      <c r="F42" s="2"/>
    </row>
    <row r="43" spans="2:6">
      <c r="E43" s="2"/>
      <c r="F43" s="2"/>
    </row>
    <row r="44" spans="2:6">
      <c r="E44" s="2"/>
      <c r="F44" s="2"/>
    </row>
    <row r="45" spans="2:6">
      <c r="E45" s="2"/>
      <c r="F45" s="2"/>
    </row>
    <row r="46" spans="2:6">
      <c r="E46" s="2"/>
      <c r="F46" s="2"/>
    </row>
    <row r="47" spans="2:6">
      <c r="E47" s="2"/>
      <c r="F47" s="2"/>
    </row>
    <row r="48" spans="2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  <row r="55" spans="5:6">
      <c r="E55" s="2"/>
      <c r="F55" s="2"/>
    </row>
    <row r="56" spans="5:6">
      <c r="E56" s="2"/>
      <c r="F56" s="2"/>
    </row>
    <row r="57" spans="5:6">
      <c r="E57" s="2"/>
      <c r="F57" s="2"/>
    </row>
    <row r="58" spans="5:6">
      <c r="E58" s="2"/>
      <c r="F58" s="2"/>
    </row>
    <row r="59" spans="5:6">
      <c r="E59" s="2"/>
      <c r="F59" s="2"/>
    </row>
    <row r="60" spans="5:6">
      <c r="E60" s="2"/>
      <c r="F60" s="2"/>
    </row>
    <row r="61" spans="5:6">
      <c r="E61" s="2"/>
      <c r="F61" s="2"/>
    </row>
    <row r="62" spans="5:6">
      <c r="E62" s="2"/>
      <c r="F62" s="2"/>
    </row>
    <row r="63" spans="5:6">
      <c r="E63" s="2"/>
      <c r="F63" s="2"/>
    </row>
    <row r="64" spans="5:6">
      <c r="E64" s="2"/>
      <c r="F64" s="2"/>
    </row>
    <row r="65" spans="5:6">
      <c r="E65" s="2"/>
      <c r="F65" s="2"/>
    </row>
    <row r="66" spans="5:6">
      <c r="E66" s="2"/>
      <c r="F66" s="2"/>
    </row>
    <row r="67" spans="5:6">
      <c r="E67" s="2"/>
      <c r="F67" s="2"/>
    </row>
    <row r="68" spans="5:6">
      <c r="E68" s="2"/>
      <c r="F68" s="2"/>
    </row>
  </sheetData>
  <mergeCells count="4">
    <mergeCell ref="B3:E3"/>
    <mergeCell ref="B4:B5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L35"/>
  <sheetViews>
    <sheetView workbookViewId="0">
      <pane xSplit="17" ySplit="3" topLeftCell="AE4" activePane="bottomRight" state="frozen"/>
      <selection pane="topRight" activeCell="R1" sqref="R1"/>
      <selection pane="bottomLeft" activeCell="A4" sqref="A4"/>
      <selection pane="bottomRight" activeCell="AE8" sqref="AE8"/>
    </sheetView>
  </sheetViews>
  <sheetFormatPr defaultRowHeight="12.75"/>
  <cols>
    <col min="1" max="1" width="4.85546875" style="15" bestFit="1" customWidth="1"/>
    <col min="2" max="2" width="34.5703125" style="16" bestFit="1" customWidth="1"/>
    <col min="3" max="4" width="7.5703125" style="35" hidden="1" customWidth="1"/>
    <col min="5" max="5" width="7" style="35" hidden="1" customWidth="1"/>
    <col min="6" max="11" width="7.28515625" style="35" hidden="1" customWidth="1"/>
    <col min="12" max="30" width="8.140625" style="35" hidden="1" customWidth="1"/>
    <col min="31" max="31" width="8.140625" style="35" bestFit="1" customWidth="1"/>
    <col min="32" max="33" width="7.5703125" style="35" bestFit="1" customWidth="1"/>
    <col min="34" max="39" width="9.140625" style="35" customWidth="1"/>
    <col min="40" max="51" width="8.42578125" style="35" bestFit="1" customWidth="1"/>
    <col min="52" max="73" width="9.140625" style="35" customWidth="1"/>
    <col min="74" max="77" width="9.140625" style="15" customWidth="1"/>
    <col min="78" max="102" width="9.140625" style="16" customWidth="1"/>
    <col min="103" max="16384" width="9.140625" style="16"/>
  </cols>
  <sheetData>
    <row r="1" spans="1:246" ht="18.75">
      <c r="A1" s="100" t="s">
        <v>43</v>
      </c>
      <c r="B1" s="100"/>
      <c r="C1" s="100"/>
      <c r="D1" s="100"/>
      <c r="E1" s="100"/>
      <c r="F1" s="100"/>
      <c r="G1" s="100"/>
      <c r="H1" s="10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</row>
    <row r="2" spans="1:246" ht="15" customHeight="1">
      <c r="A2" s="101" t="s">
        <v>7</v>
      </c>
      <c r="B2" s="101" t="s">
        <v>8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99" t="s">
        <v>58</v>
      </c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  <c r="DV2" s="99"/>
      <c r="DW2" s="99"/>
      <c r="DX2" s="99"/>
      <c r="DY2" s="99"/>
      <c r="DZ2" s="99"/>
      <c r="EA2" s="99"/>
      <c r="EB2" s="99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20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</row>
    <row r="3" spans="1:246" s="26" customFormat="1" ht="15" customHeight="1">
      <c r="A3" s="101"/>
      <c r="B3" s="101"/>
      <c r="C3" s="75">
        <v>46054</v>
      </c>
      <c r="D3" s="74">
        <v>46055</v>
      </c>
      <c r="E3" s="74">
        <v>46056</v>
      </c>
      <c r="F3" s="74">
        <v>46057</v>
      </c>
      <c r="G3" s="74">
        <v>46058</v>
      </c>
      <c r="H3" s="74">
        <v>46059</v>
      </c>
      <c r="I3" s="74">
        <v>46060</v>
      </c>
      <c r="J3" s="75">
        <v>46061</v>
      </c>
      <c r="K3" s="74">
        <v>46062</v>
      </c>
      <c r="L3" s="74">
        <v>46063</v>
      </c>
      <c r="M3" s="74">
        <v>46064</v>
      </c>
      <c r="N3" s="74">
        <v>46065</v>
      </c>
      <c r="O3" s="74">
        <v>46066</v>
      </c>
      <c r="P3" s="74">
        <v>46067</v>
      </c>
      <c r="Q3" s="75">
        <v>46068</v>
      </c>
      <c r="R3" s="74">
        <v>46069</v>
      </c>
      <c r="S3" s="75">
        <v>46070</v>
      </c>
      <c r="T3" s="74">
        <v>46071</v>
      </c>
      <c r="U3" s="74">
        <v>46072</v>
      </c>
      <c r="V3" s="74">
        <v>46073</v>
      </c>
      <c r="W3" s="74">
        <v>46074</v>
      </c>
      <c r="X3" s="75">
        <v>46075</v>
      </c>
      <c r="Y3" s="74">
        <v>46076</v>
      </c>
      <c r="Z3" s="74">
        <v>46077</v>
      </c>
      <c r="AA3" s="74">
        <v>46078</v>
      </c>
      <c r="AB3" s="74">
        <v>46079</v>
      </c>
      <c r="AC3" s="74">
        <v>46080</v>
      </c>
      <c r="AD3" s="74">
        <v>46081</v>
      </c>
      <c r="AE3" s="86">
        <v>46082</v>
      </c>
      <c r="AF3" s="86">
        <v>46083</v>
      </c>
      <c r="AG3" s="86">
        <v>46084</v>
      </c>
      <c r="AH3" s="86">
        <v>46085</v>
      </c>
      <c r="AI3" s="86">
        <v>46086</v>
      </c>
      <c r="AJ3" s="86">
        <v>46087</v>
      </c>
      <c r="AK3" s="86">
        <v>46088</v>
      </c>
      <c r="AL3" s="86">
        <v>46089</v>
      </c>
      <c r="AM3" s="86">
        <v>46090</v>
      </c>
      <c r="AN3" s="86">
        <v>46091</v>
      </c>
      <c r="AO3" s="86">
        <v>46092</v>
      </c>
      <c r="AP3" s="86">
        <v>46093</v>
      </c>
      <c r="AQ3" s="86">
        <v>46094</v>
      </c>
      <c r="AR3" s="86">
        <v>46095</v>
      </c>
      <c r="AS3" s="86">
        <v>46096</v>
      </c>
      <c r="AT3" s="86">
        <v>46097</v>
      </c>
      <c r="AU3" s="86">
        <v>46098</v>
      </c>
      <c r="AV3" s="107">
        <v>46099</v>
      </c>
      <c r="AW3" s="87">
        <v>46100</v>
      </c>
      <c r="AX3" s="87">
        <v>46101</v>
      </c>
      <c r="AY3" s="87">
        <v>46102</v>
      </c>
      <c r="AZ3" s="87">
        <v>46103</v>
      </c>
      <c r="BA3" s="87">
        <v>46104</v>
      </c>
      <c r="BB3" s="87">
        <v>46105</v>
      </c>
      <c r="BC3" s="87">
        <v>46106</v>
      </c>
      <c r="BD3" s="86">
        <v>46107</v>
      </c>
      <c r="BE3" s="86">
        <v>46108</v>
      </c>
      <c r="BF3" s="86">
        <v>46109</v>
      </c>
      <c r="BG3" s="86">
        <v>46110</v>
      </c>
      <c r="BH3" s="86">
        <v>46111</v>
      </c>
      <c r="BI3" s="86">
        <v>46112</v>
      </c>
      <c r="BJ3" s="86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3"/>
      <c r="BY3" s="22"/>
      <c r="BZ3" s="22"/>
      <c r="CA3" s="22"/>
      <c r="CB3" s="22"/>
      <c r="CC3" s="22"/>
      <c r="CD3" s="22"/>
      <c r="CE3" s="23"/>
      <c r="CF3" s="22"/>
      <c r="CG3" s="22"/>
      <c r="CH3" s="22"/>
      <c r="CI3" s="22"/>
      <c r="CJ3" s="22"/>
      <c r="CK3" s="22"/>
      <c r="CL3" s="23"/>
      <c r="CM3" s="22"/>
      <c r="CN3" s="22"/>
      <c r="CO3" s="22"/>
      <c r="CP3" s="22"/>
      <c r="CQ3" s="22"/>
      <c r="CR3" s="22"/>
      <c r="CS3" s="23"/>
      <c r="CT3" s="22"/>
      <c r="CU3" s="22"/>
      <c r="CV3" s="22"/>
      <c r="CW3" s="22"/>
      <c r="CX3" s="22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</row>
    <row r="4" spans="1:246" s="30" customFormat="1" ht="18" customHeight="1">
      <c r="A4" s="27">
        <v>1</v>
      </c>
      <c r="B4" s="28" t="s">
        <v>41</v>
      </c>
      <c r="C4" s="82"/>
      <c r="D4" s="82"/>
      <c r="E4" s="82" t="s">
        <v>9</v>
      </c>
      <c r="F4" s="82"/>
      <c r="G4" s="82"/>
      <c r="H4" s="82"/>
      <c r="I4" s="82" t="s">
        <v>9</v>
      </c>
      <c r="J4" s="82"/>
      <c r="K4" s="82"/>
      <c r="L4" s="82"/>
      <c r="M4" s="82"/>
      <c r="N4" s="82"/>
      <c r="O4" s="82" t="s">
        <v>9</v>
      </c>
      <c r="P4" s="82"/>
      <c r="Q4" s="82"/>
      <c r="R4" s="82"/>
      <c r="S4" s="82"/>
      <c r="T4" s="82"/>
      <c r="U4" s="82"/>
      <c r="V4" s="82"/>
      <c r="W4" s="82" t="s">
        <v>9</v>
      </c>
      <c r="X4" s="82"/>
      <c r="Y4" s="82"/>
      <c r="Z4" s="82"/>
      <c r="AA4" s="82"/>
      <c r="AB4" s="82"/>
      <c r="AC4" s="82"/>
      <c r="AD4" s="82" t="s">
        <v>9</v>
      </c>
      <c r="AE4" s="90" t="s">
        <v>52</v>
      </c>
      <c r="AF4" s="84"/>
      <c r="AG4" s="84"/>
      <c r="AH4" s="84"/>
      <c r="AI4" s="84"/>
      <c r="AJ4" s="84"/>
      <c r="AK4" s="84" t="s">
        <v>9</v>
      </c>
      <c r="AL4" s="90" t="s">
        <v>52</v>
      </c>
      <c r="AM4" s="84"/>
      <c r="AN4" s="84"/>
      <c r="AO4" s="84" t="s">
        <v>9</v>
      </c>
      <c r="AP4" s="84" t="s">
        <v>9</v>
      </c>
      <c r="AQ4" s="84"/>
      <c r="AR4" s="84"/>
      <c r="AS4" s="90" t="s">
        <v>52</v>
      </c>
      <c r="AT4" s="84"/>
      <c r="AU4" s="84"/>
      <c r="AV4" s="84" t="s">
        <v>9</v>
      </c>
      <c r="AW4" s="90" t="s">
        <v>51</v>
      </c>
      <c r="AX4" s="90" t="s">
        <v>51</v>
      </c>
      <c r="AY4" s="90" t="s">
        <v>51</v>
      </c>
      <c r="AZ4" s="90" t="s">
        <v>51</v>
      </c>
      <c r="BA4" s="90" t="s">
        <v>51</v>
      </c>
      <c r="BB4" s="90" t="s">
        <v>51</v>
      </c>
      <c r="BC4" s="90" t="s">
        <v>51</v>
      </c>
      <c r="BD4" s="84"/>
      <c r="BE4" s="84"/>
      <c r="BF4" s="84"/>
      <c r="BG4" s="90" t="s">
        <v>52</v>
      </c>
      <c r="BH4" s="84"/>
      <c r="BI4" s="84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7"/>
      <c r="BV4" s="77"/>
      <c r="BW4" s="77"/>
      <c r="BX4" s="76"/>
      <c r="BY4" s="77"/>
      <c r="BZ4" s="77"/>
      <c r="CA4" s="77"/>
      <c r="CB4" s="77"/>
      <c r="CC4" s="77"/>
      <c r="CD4" s="76"/>
      <c r="CE4" s="76"/>
      <c r="CF4" s="77"/>
      <c r="CG4" s="76"/>
      <c r="CH4" s="77"/>
      <c r="CI4" s="77"/>
      <c r="CJ4" s="77"/>
      <c r="CK4" s="76"/>
      <c r="CL4" s="76"/>
      <c r="CM4" s="77"/>
      <c r="CN4" s="77"/>
      <c r="CO4" s="77"/>
      <c r="CP4" s="77"/>
      <c r="CQ4" s="76"/>
      <c r="CR4" s="77"/>
      <c r="CS4" s="76"/>
      <c r="CT4" s="76"/>
      <c r="CU4" s="76"/>
      <c r="CV4" s="76"/>
      <c r="CW4" s="76"/>
      <c r="CX4" s="76"/>
      <c r="CY4" s="77"/>
      <c r="CZ4" s="78"/>
      <c r="DA4" s="78"/>
      <c r="DB4" s="78"/>
      <c r="DC4" s="78"/>
      <c r="DD4" s="78"/>
      <c r="DE4" s="78"/>
      <c r="DF4" s="78"/>
      <c r="DG4" s="78"/>
      <c r="DH4" s="77"/>
      <c r="DI4" s="78"/>
      <c r="DJ4" s="78"/>
      <c r="DK4" s="78"/>
      <c r="DL4" s="78"/>
      <c r="DM4" s="78"/>
      <c r="DN4" s="78"/>
      <c r="DO4" s="78"/>
      <c r="DP4" s="78"/>
      <c r="DQ4" s="78"/>
      <c r="DR4" s="77"/>
      <c r="DS4" s="78"/>
      <c r="DT4" s="78"/>
      <c r="DU4" s="77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</row>
    <row r="5" spans="1:246" s="30" customFormat="1" ht="18" customHeight="1">
      <c r="A5" s="27">
        <v>2</v>
      </c>
      <c r="B5" s="28" t="s">
        <v>42</v>
      </c>
      <c r="C5" s="82"/>
      <c r="D5" s="82"/>
      <c r="E5" s="82" t="s">
        <v>9</v>
      </c>
      <c r="F5" s="82"/>
      <c r="G5" s="82"/>
      <c r="H5" s="82"/>
      <c r="I5" s="82" t="s">
        <v>9</v>
      </c>
      <c r="J5" s="82"/>
      <c r="K5" s="82"/>
      <c r="L5" s="82"/>
      <c r="M5" s="82"/>
      <c r="N5" s="82"/>
      <c r="O5" s="82" t="s">
        <v>9</v>
      </c>
      <c r="P5" s="82"/>
      <c r="Q5" s="82"/>
      <c r="R5" s="82"/>
      <c r="S5" s="82"/>
      <c r="T5" s="82"/>
      <c r="U5" s="82"/>
      <c r="V5" s="82"/>
      <c r="W5" s="82" t="s">
        <v>9</v>
      </c>
      <c r="X5" s="82"/>
      <c r="Y5" s="82"/>
      <c r="Z5" s="82"/>
      <c r="AA5" s="82"/>
      <c r="AB5" s="82"/>
      <c r="AC5" s="82"/>
      <c r="AD5" s="82" t="s">
        <v>9</v>
      </c>
      <c r="AE5" s="84"/>
      <c r="AF5" s="84"/>
      <c r="AG5" s="84"/>
      <c r="AH5" s="84" t="s">
        <v>9</v>
      </c>
      <c r="AI5" s="84"/>
      <c r="AJ5" s="84"/>
      <c r="AK5" s="84"/>
      <c r="AL5" s="84"/>
      <c r="AM5" s="84"/>
      <c r="AN5" s="84" t="s">
        <v>9</v>
      </c>
      <c r="AO5" s="84"/>
      <c r="AP5" s="84"/>
      <c r="AQ5" s="84"/>
      <c r="AR5" s="84"/>
      <c r="AS5" s="84"/>
      <c r="AT5" s="84" t="s">
        <v>9</v>
      </c>
      <c r="AU5" s="84"/>
      <c r="AV5" s="84" t="s">
        <v>9</v>
      </c>
      <c r="AW5" s="88"/>
      <c r="AX5" s="88"/>
      <c r="AY5" s="88"/>
      <c r="AZ5" s="88"/>
      <c r="BA5" s="88"/>
      <c r="BB5" s="88"/>
      <c r="BC5" s="88"/>
      <c r="BD5" s="84"/>
      <c r="BE5" s="84"/>
      <c r="BF5" s="84"/>
      <c r="BG5" s="84"/>
      <c r="BH5" s="84"/>
      <c r="BI5" s="84" t="s">
        <v>9</v>
      </c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7"/>
      <c r="CD5" s="77"/>
      <c r="CE5" s="76"/>
      <c r="CF5" s="77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8"/>
      <c r="CZ5" s="78"/>
      <c r="DA5" s="77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</row>
    <row r="6" spans="1:246" s="30" customFormat="1" ht="18" customHeight="1">
      <c r="A6" s="27">
        <v>3</v>
      </c>
      <c r="B6" s="28" t="s">
        <v>10</v>
      </c>
      <c r="C6" s="82"/>
      <c r="D6" s="82" t="s">
        <v>9</v>
      </c>
      <c r="E6" s="82"/>
      <c r="F6" s="82"/>
      <c r="G6" s="82" t="s">
        <v>9</v>
      </c>
      <c r="H6" s="82"/>
      <c r="I6" s="82"/>
      <c r="J6" s="82"/>
      <c r="K6" s="82" t="s">
        <v>9</v>
      </c>
      <c r="L6" s="82"/>
      <c r="M6" s="82"/>
      <c r="N6" s="82"/>
      <c r="O6" s="82"/>
      <c r="P6" s="82"/>
      <c r="Q6" s="82"/>
      <c r="R6" s="82" t="s">
        <v>9</v>
      </c>
      <c r="S6" s="82"/>
      <c r="T6" s="82"/>
      <c r="U6" s="82"/>
      <c r="V6" s="82" t="s">
        <v>9</v>
      </c>
      <c r="W6" s="82"/>
      <c r="X6" s="82"/>
      <c r="Y6" s="82"/>
      <c r="Z6" s="82" t="s">
        <v>9</v>
      </c>
      <c r="AA6" s="82"/>
      <c r="AB6" s="82"/>
      <c r="AC6" s="82" t="s">
        <v>9</v>
      </c>
      <c r="AD6" s="82" t="s">
        <v>9</v>
      </c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8"/>
      <c r="AX6" s="88"/>
      <c r="AY6" s="88"/>
      <c r="AZ6" s="88"/>
      <c r="BA6" s="88"/>
      <c r="BB6" s="88"/>
      <c r="BC6" s="88"/>
      <c r="BD6" s="84"/>
      <c r="BE6" s="84"/>
      <c r="BF6" s="84"/>
      <c r="BG6" s="84"/>
      <c r="BH6" s="84"/>
      <c r="BI6" s="84" t="s">
        <v>9</v>
      </c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7"/>
      <c r="BU6" s="77"/>
      <c r="BV6" s="76"/>
      <c r="BW6" s="76"/>
      <c r="BX6" s="76"/>
      <c r="BY6" s="77"/>
      <c r="BZ6" s="76"/>
      <c r="CA6" s="77"/>
      <c r="CB6" s="76"/>
      <c r="CC6" s="77"/>
      <c r="CD6" s="77"/>
      <c r="CE6" s="76"/>
      <c r="CF6" s="77"/>
      <c r="CG6" s="76"/>
      <c r="CH6" s="77"/>
      <c r="CI6" s="77"/>
      <c r="CJ6" s="77"/>
      <c r="CK6" s="77"/>
      <c r="CL6" s="76"/>
      <c r="CM6" s="77"/>
      <c r="CN6" s="76"/>
      <c r="CO6" s="77"/>
      <c r="CP6" s="77"/>
      <c r="CQ6" s="77"/>
      <c r="CR6" s="76"/>
      <c r="CS6" s="76"/>
      <c r="CT6" s="76"/>
      <c r="CU6" s="76"/>
      <c r="CV6" s="77"/>
      <c r="CW6" s="77"/>
      <c r="CX6" s="77"/>
      <c r="CY6" s="77"/>
      <c r="CZ6" s="78"/>
      <c r="DA6" s="77"/>
      <c r="DB6" s="77"/>
      <c r="DC6" s="78"/>
      <c r="DD6" s="78"/>
      <c r="DE6" s="78"/>
      <c r="DF6" s="78"/>
      <c r="DG6" s="78"/>
      <c r="DH6" s="77"/>
      <c r="DI6" s="77"/>
      <c r="DJ6" s="78"/>
      <c r="DK6" s="77"/>
      <c r="DL6" s="77"/>
      <c r="DM6" s="78"/>
      <c r="DN6" s="78"/>
      <c r="DO6" s="78"/>
      <c r="DP6" s="78"/>
      <c r="DQ6" s="78"/>
      <c r="DR6" s="78"/>
      <c r="DS6" s="78"/>
      <c r="DT6" s="78"/>
      <c r="DU6" s="78"/>
      <c r="DV6" s="77"/>
      <c r="DW6" s="77"/>
      <c r="DX6" s="78"/>
      <c r="DY6" s="77"/>
      <c r="DZ6" s="77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</row>
    <row r="7" spans="1:246" s="30" customFormat="1" ht="18" customHeight="1">
      <c r="A7" s="27">
        <v>4</v>
      </c>
      <c r="B7" s="28" t="s">
        <v>44</v>
      </c>
      <c r="C7" s="82"/>
      <c r="D7" s="82" t="s">
        <v>9</v>
      </c>
      <c r="E7" s="82"/>
      <c r="F7" s="82"/>
      <c r="G7" s="82"/>
      <c r="H7" s="82"/>
      <c r="I7" s="82" t="s">
        <v>9</v>
      </c>
      <c r="J7" s="82"/>
      <c r="K7" s="82"/>
      <c r="L7" s="82"/>
      <c r="M7" s="82"/>
      <c r="N7" s="82"/>
      <c r="O7" s="82"/>
      <c r="P7" s="82" t="s">
        <v>9</v>
      </c>
      <c r="Q7" s="82"/>
      <c r="R7" s="82"/>
      <c r="S7" s="82"/>
      <c r="T7" s="82"/>
      <c r="U7" s="82"/>
      <c r="V7" s="82"/>
      <c r="W7" s="82" t="s">
        <v>9</v>
      </c>
      <c r="X7" s="82"/>
      <c r="Y7" s="82"/>
      <c r="Z7" s="82"/>
      <c r="AA7" s="82"/>
      <c r="AB7" s="82"/>
      <c r="AC7" s="82"/>
      <c r="AD7" s="82" t="s">
        <v>9</v>
      </c>
      <c r="AE7" s="84"/>
      <c r="AF7" s="84"/>
      <c r="AG7" s="84"/>
      <c r="AH7" s="84" t="s">
        <v>9</v>
      </c>
      <c r="AI7" s="84"/>
      <c r="AJ7" s="84"/>
      <c r="AK7" s="84"/>
      <c r="AL7" s="84"/>
      <c r="AM7" s="84"/>
      <c r="AN7" s="84" t="s">
        <v>9</v>
      </c>
      <c r="AO7" s="84"/>
      <c r="AP7" s="84"/>
      <c r="AQ7" s="84"/>
      <c r="AR7" s="84"/>
      <c r="AS7" s="84"/>
      <c r="AT7" s="84" t="s">
        <v>9</v>
      </c>
      <c r="AU7" s="84"/>
      <c r="AV7" s="84" t="s">
        <v>9</v>
      </c>
      <c r="AW7" s="88"/>
      <c r="AX7" s="88"/>
      <c r="AY7" s="88"/>
      <c r="AZ7" s="88"/>
      <c r="BA7" s="88"/>
      <c r="BB7" s="88"/>
      <c r="BC7" s="88"/>
      <c r="BD7" s="84"/>
      <c r="BE7" s="84"/>
      <c r="BF7" s="84"/>
      <c r="BG7" s="84"/>
      <c r="BH7" s="84"/>
      <c r="BI7" s="84" t="s">
        <v>9</v>
      </c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7"/>
      <c r="BV7" s="77"/>
      <c r="BW7" s="77"/>
      <c r="BX7" s="76"/>
      <c r="BY7" s="77"/>
      <c r="BZ7" s="77"/>
      <c r="CA7" s="77"/>
      <c r="CB7" s="77"/>
      <c r="CC7" s="77"/>
      <c r="CD7" s="76"/>
      <c r="CE7" s="76"/>
      <c r="CF7" s="77"/>
      <c r="CG7" s="77"/>
      <c r="CH7" s="77"/>
      <c r="CI7" s="77"/>
      <c r="CJ7" s="77"/>
      <c r="CK7" s="76"/>
      <c r="CL7" s="76"/>
      <c r="CM7" s="77"/>
      <c r="CN7" s="77"/>
      <c r="CO7" s="76"/>
      <c r="CP7" s="76"/>
      <c r="CQ7" s="76"/>
      <c r="CR7" s="77"/>
      <c r="CS7" s="76"/>
      <c r="CT7" s="77"/>
      <c r="CU7" s="77"/>
      <c r="CV7" s="77"/>
      <c r="CW7" s="77"/>
      <c r="CX7" s="77"/>
      <c r="CY7" s="77"/>
      <c r="CZ7" s="77"/>
      <c r="DA7" s="77"/>
      <c r="DB7" s="77"/>
      <c r="DC7" s="78"/>
      <c r="DD7" s="77"/>
      <c r="DE7" s="77"/>
      <c r="DF7" s="77"/>
      <c r="DG7" s="78"/>
      <c r="DH7" s="78"/>
      <c r="DI7" s="78"/>
      <c r="DJ7" s="78"/>
      <c r="DK7" s="78"/>
      <c r="DL7" s="78"/>
      <c r="DM7" s="78"/>
      <c r="DN7" s="78"/>
      <c r="DO7" s="77"/>
      <c r="DP7" s="77"/>
      <c r="DQ7" s="77"/>
      <c r="DR7" s="77"/>
      <c r="DS7" s="77"/>
      <c r="DT7" s="77"/>
      <c r="DU7" s="78"/>
      <c r="DV7" s="78"/>
      <c r="DW7" s="78"/>
      <c r="DX7" s="78"/>
      <c r="DY7" s="78"/>
      <c r="DZ7" s="77"/>
      <c r="EA7" s="77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</row>
    <row r="8" spans="1:246" s="30" customFormat="1" ht="18" customHeight="1">
      <c r="A8" s="27">
        <v>5</v>
      </c>
      <c r="B8" s="28" t="s">
        <v>45</v>
      </c>
      <c r="C8" s="82"/>
      <c r="D8" s="82" t="s">
        <v>9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 t="s">
        <v>9</v>
      </c>
      <c r="AE8" s="84"/>
      <c r="AF8" s="84"/>
      <c r="AG8" s="84"/>
      <c r="AH8" s="84" t="s">
        <v>9</v>
      </c>
      <c r="AI8" s="84"/>
      <c r="AJ8" s="84"/>
      <c r="AK8" s="84"/>
      <c r="AL8" s="84"/>
      <c r="AM8" s="84"/>
      <c r="AN8" s="84" t="s">
        <v>9</v>
      </c>
      <c r="AO8" s="84"/>
      <c r="AP8" s="84"/>
      <c r="AQ8" s="84"/>
      <c r="AR8" s="84"/>
      <c r="AS8" s="84"/>
      <c r="AT8" s="84" t="s">
        <v>9</v>
      </c>
      <c r="AU8" s="84"/>
      <c r="AV8" s="84" t="s">
        <v>9</v>
      </c>
      <c r="AW8" s="88"/>
      <c r="AX8" s="88"/>
      <c r="AY8" s="88"/>
      <c r="AZ8" s="88"/>
      <c r="BA8" s="88"/>
      <c r="BB8" s="88"/>
      <c r="BC8" s="88"/>
      <c r="BD8" s="84"/>
      <c r="BE8" s="84"/>
      <c r="BF8" s="84"/>
      <c r="BG8" s="84"/>
      <c r="BH8" s="84"/>
      <c r="BI8" s="84" t="s">
        <v>9</v>
      </c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</row>
    <row r="9" spans="1:246" s="30" customFormat="1" ht="18" customHeight="1">
      <c r="A9" s="27">
        <v>6</v>
      </c>
      <c r="B9" s="28" t="s">
        <v>46</v>
      </c>
      <c r="C9" s="82"/>
      <c r="D9" s="82" t="s">
        <v>9</v>
      </c>
      <c r="E9" s="82"/>
      <c r="F9" s="82"/>
      <c r="G9" s="82"/>
      <c r="H9" s="82"/>
      <c r="I9" s="82" t="s">
        <v>9</v>
      </c>
      <c r="J9" s="82"/>
      <c r="K9" s="82"/>
      <c r="L9" s="82"/>
      <c r="M9" s="82"/>
      <c r="N9" s="82"/>
      <c r="O9" s="82"/>
      <c r="P9" s="82" t="s">
        <v>9</v>
      </c>
      <c r="Q9" s="82"/>
      <c r="R9" s="82"/>
      <c r="S9" s="82"/>
      <c r="T9" s="82"/>
      <c r="U9" s="82"/>
      <c r="V9" s="82"/>
      <c r="W9" s="82" t="s">
        <v>9</v>
      </c>
      <c r="X9" s="82"/>
      <c r="Y9" s="82"/>
      <c r="Z9" s="82"/>
      <c r="AA9" s="82"/>
      <c r="AB9" s="82"/>
      <c r="AC9" s="82"/>
      <c r="AD9" s="82" t="s">
        <v>9</v>
      </c>
      <c r="AE9" s="84"/>
      <c r="AF9" s="84"/>
      <c r="AG9" s="84"/>
      <c r="AH9" s="84" t="s">
        <v>9</v>
      </c>
      <c r="AI9" s="84"/>
      <c r="AJ9" s="84"/>
      <c r="AK9" s="84"/>
      <c r="AL9" s="84"/>
      <c r="AM9" s="84"/>
      <c r="AN9" s="84" t="s">
        <v>9</v>
      </c>
      <c r="AO9" s="84"/>
      <c r="AP9" s="84"/>
      <c r="AQ9" s="84"/>
      <c r="AR9" s="84"/>
      <c r="AS9" s="84"/>
      <c r="AT9" s="84" t="s">
        <v>9</v>
      </c>
      <c r="AU9" s="84"/>
      <c r="AV9" s="84" t="s">
        <v>9</v>
      </c>
      <c r="AW9" s="88"/>
      <c r="AX9" s="88"/>
      <c r="AY9" s="88"/>
      <c r="AZ9" s="88"/>
      <c r="BA9" s="88"/>
      <c r="BB9" s="88"/>
      <c r="BC9" s="88"/>
      <c r="BD9" s="84" t="s">
        <v>9</v>
      </c>
      <c r="BE9" s="84"/>
      <c r="BF9" s="84"/>
      <c r="BG9" s="84"/>
      <c r="BH9" s="84"/>
      <c r="BI9" s="84" t="s">
        <v>9</v>
      </c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7"/>
      <c r="BV9" s="77"/>
      <c r="BW9" s="77"/>
      <c r="BX9" s="76"/>
      <c r="BY9" s="77"/>
      <c r="BZ9" s="77"/>
      <c r="CA9" s="77"/>
      <c r="CB9" s="77"/>
      <c r="CC9" s="77"/>
      <c r="CD9" s="76"/>
      <c r="CE9" s="76"/>
      <c r="CF9" s="77"/>
      <c r="CG9" s="77"/>
      <c r="CH9" s="77"/>
      <c r="CI9" s="77"/>
      <c r="CJ9" s="77"/>
      <c r="CK9" s="76"/>
      <c r="CL9" s="76"/>
      <c r="CM9" s="77"/>
      <c r="CN9" s="77"/>
      <c r="CO9" s="76"/>
      <c r="CP9" s="76"/>
      <c r="CQ9" s="76"/>
      <c r="CR9" s="77"/>
      <c r="CS9" s="76"/>
      <c r="CT9" s="77"/>
      <c r="CU9" s="77"/>
      <c r="CV9" s="77"/>
      <c r="CW9" s="77"/>
      <c r="CX9" s="77"/>
      <c r="CY9" s="77"/>
      <c r="CZ9" s="77"/>
      <c r="DA9" s="77"/>
      <c r="DB9" s="77"/>
      <c r="DC9" s="78"/>
      <c r="DD9" s="77"/>
      <c r="DE9" s="77"/>
      <c r="DF9" s="77"/>
      <c r="DG9" s="78"/>
      <c r="DH9" s="78"/>
      <c r="DI9" s="78"/>
      <c r="DJ9" s="78"/>
      <c r="DK9" s="78"/>
      <c r="DL9" s="78"/>
      <c r="DM9" s="78"/>
      <c r="DN9" s="78"/>
      <c r="DO9" s="77"/>
      <c r="DP9" s="77"/>
      <c r="DQ9" s="77"/>
      <c r="DR9" s="77"/>
      <c r="DS9" s="77"/>
      <c r="DT9" s="77"/>
      <c r="DU9" s="78"/>
      <c r="DV9" s="78"/>
      <c r="DW9" s="78"/>
      <c r="DX9" s="78"/>
      <c r="DY9" s="78"/>
      <c r="DZ9" s="77"/>
      <c r="EA9" s="77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</row>
    <row r="10" spans="1:246" s="30" customFormat="1" ht="18" customHeight="1">
      <c r="A10" s="27">
        <v>7</v>
      </c>
      <c r="B10" s="28" t="s">
        <v>11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 t="s">
        <v>9</v>
      </c>
      <c r="Z10" s="82"/>
      <c r="AA10" s="82"/>
      <c r="AB10" s="82" t="s">
        <v>9</v>
      </c>
      <c r="AC10" s="82"/>
      <c r="AD10" s="82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8"/>
      <c r="AX10" s="88"/>
      <c r="AY10" s="88"/>
      <c r="AZ10" s="88"/>
      <c r="BA10" s="88"/>
      <c r="BB10" s="88"/>
      <c r="BC10" s="88"/>
      <c r="BD10" s="84"/>
      <c r="BE10" s="84"/>
      <c r="BF10" s="84"/>
      <c r="BG10" s="84"/>
      <c r="BH10" s="84"/>
      <c r="BI10" s="84" t="s">
        <v>9</v>
      </c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7"/>
      <c r="CQ10" s="76"/>
      <c r="CR10" s="76"/>
      <c r="CS10" s="76"/>
      <c r="CT10" s="77"/>
      <c r="CU10" s="76"/>
      <c r="CV10" s="76"/>
      <c r="CW10" s="76"/>
      <c r="CX10" s="76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7"/>
      <c r="DW10" s="78"/>
      <c r="DX10" s="77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</row>
    <row r="11" spans="1:246" s="30" customFormat="1" ht="18" customHeight="1">
      <c r="A11" s="27">
        <v>8</v>
      </c>
      <c r="B11" s="28" t="s">
        <v>12</v>
      </c>
      <c r="C11" s="82"/>
      <c r="D11" s="82"/>
      <c r="E11" s="82" t="s">
        <v>9</v>
      </c>
      <c r="F11" s="82"/>
      <c r="G11" s="82"/>
      <c r="H11" s="82"/>
      <c r="I11" s="82" t="s">
        <v>9</v>
      </c>
      <c r="J11" s="82"/>
      <c r="K11" s="82"/>
      <c r="L11" s="82"/>
      <c r="M11" s="82"/>
      <c r="N11" s="82"/>
      <c r="O11" s="82" t="s">
        <v>9</v>
      </c>
      <c r="P11" s="82"/>
      <c r="Q11" s="82"/>
      <c r="R11" s="82"/>
      <c r="S11" s="82"/>
      <c r="T11" s="82"/>
      <c r="U11" s="82"/>
      <c r="V11" s="82"/>
      <c r="W11" s="82" t="s">
        <v>9</v>
      </c>
      <c r="X11" s="82"/>
      <c r="Y11" s="82"/>
      <c r="Z11" s="82"/>
      <c r="AA11" s="82"/>
      <c r="AB11" s="82"/>
      <c r="AC11" s="82"/>
      <c r="AD11" s="82" t="s">
        <v>9</v>
      </c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8"/>
      <c r="AX11" s="88"/>
      <c r="AY11" s="88"/>
      <c r="AZ11" s="88"/>
      <c r="BA11" s="88"/>
      <c r="BB11" s="88"/>
      <c r="BC11" s="88"/>
      <c r="BD11" s="84"/>
      <c r="BE11" s="84"/>
      <c r="BF11" s="84"/>
      <c r="BG11" s="84"/>
      <c r="BH11" s="84"/>
      <c r="BI11" s="84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</row>
    <row r="12" spans="1:246" s="30" customFormat="1" ht="18" customHeight="1">
      <c r="A12" s="27">
        <v>10</v>
      </c>
      <c r="B12" s="28" t="s">
        <v>47</v>
      </c>
      <c r="C12" s="82"/>
      <c r="D12" s="82" t="s">
        <v>9</v>
      </c>
      <c r="E12" s="82"/>
      <c r="F12" s="82"/>
      <c r="G12" s="82"/>
      <c r="H12" s="82"/>
      <c r="I12" s="82" t="s">
        <v>9</v>
      </c>
      <c r="J12" s="82"/>
      <c r="K12" s="82"/>
      <c r="L12" s="82"/>
      <c r="M12" s="82"/>
      <c r="N12" s="82"/>
      <c r="O12" s="82"/>
      <c r="P12" s="82" t="s">
        <v>9</v>
      </c>
      <c r="Q12" s="82"/>
      <c r="R12" s="82"/>
      <c r="S12" s="82"/>
      <c r="T12" s="82"/>
      <c r="U12" s="82"/>
      <c r="V12" s="82"/>
      <c r="W12" s="82" t="s">
        <v>9</v>
      </c>
      <c r="X12" s="82"/>
      <c r="Y12" s="82"/>
      <c r="Z12" s="82"/>
      <c r="AA12" s="82"/>
      <c r="AB12" s="82"/>
      <c r="AC12" s="82"/>
      <c r="AD12" s="82" t="s">
        <v>9</v>
      </c>
      <c r="AE12" s="84"/>
      <c r="AF12" s="84"/>
      <c r="AG12" s="84"/>
      <c r="AH12" s="84" t="s">
        <v>9</v>
      </c>
      <c r="AI12" s="84"/>
      <c r="AJ12" s="84"/>
      <c r="AK12" s="84"/>
      <c r="AL12" s="84"/>
      <c r="AM12" s="84"/>
      <c r="AN12" s="84" t="s">
        <v>9</v>
      </c>
      <c r="AO12" s="84"/>
      <c r="AP12" s="84"/>
      <c r="AQ12" s="84"/>
      <c r="AR12" s="84"/>
      <c r="AS12" s="84"/>
      <c r="AT12" s="84" t="s">
        <v>9</v>
      </c>
      <c r="AU12" s="84"/>
      <c r="AV12" s="84" t="s">
        <v>9</v>
      </c>
      <c r="AW12" s="88"/>
      <c r="AX12" s="88"/>
      <c r="AY12" s="88"/>
      <c r="AZ12" s="88"/>
      <c r="BA12" s="88"/>
      <c r="BB12" s="88"/>
      <c r="BC12" s="88"/>
      <c r="BD12" s="84"/>
      <c r="BE12" s="84"/>
      <c r="BF12" s="84"/>
      <c r="BG12" s="84"/>
      <c r="BH12" s="84"/>
      <c r="BI12" s="84" t="s">
        <v>9</v>
      </c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7"/>
      <c r="BV12" s="77"/>
      <c r="BW12" s="77"/>
      <c r="BX12" s="76"/>
      <c r="BY12" s="77"/>
      <c r="BZ12" s="77"/>
      <c r="CA12" s="77"/>
      <c r="CB12" s="77"/>
      <c r="CC12" s="77"/>
      <c r="CD12" s="76"/>
      <c r="CE12" s="76"/>
      <c r="CF12" s="77"/>
      <c r="CG12" s="77"/>
      <c r="CH12" s="77"/>
      <c r="CI12" s="77"/>
      <c r="CJ12" s="77"/>
      <c r="CK12" s="76"/>
      <c r="CL12" s="76"/>
      <c r="CM12" s="77"/>
      <c r="CN12" s="77"/>
      <c r="CO12" s="76"/>
      <c r="CP12" s="76"/>
      <c r="CQ12" s="76"/>
      <c r="CR12" s="77"/>
      <c r="CS12" s="76"/>
      <c r="CT12" s="77"/>
      <c r="CU12" s="77"/>
      <c r="CV12" s="77"/>
      <c r="CW12" s="77"/>
      <c r="CX12" s="77"/>
      <c r="CY12" s="77"/>
      <c r="CZ12" s="77"/>
      <c r="DA12" s="77"/>
      <c r="DB12" s="77"/>
      <c r="DC12" s="78"/>
      <c r="DD12" s="78"/>
      <c r="DE12" s="77"/>
      <c r="DF12" s="77"/>
      <c r="DG12" s="77"/>
      <c r="DH12" s="78"/>
      <c r="DI12" s="78"/>
      <c r="DJ12" s="78"/>
      <c r="DK12" s="78"/>
      <c r="DL12" s="78"/>
      <c r="DM12" s="78"/>
      <c r="DN12" s="78"/>
      <c r="DO12" s="78"/>
      <c r="DP12" s="77"/>
      <c r="DQ12" s="77"/>
      <c r="DR12" s="77"/>
      <c r="DS12" s="77"/>
      <c r="DT12" s="77"/>
      <c r="DU12" s="77"/>
      <c r="DV12" s="78"/>
      <c r="DW12" s="78"/>
      <c r="DX12" s="78"/>
      <c r="DY12" s="78"/>
      <c r="DZ12" s="78"/>
      <c r="EA12" s="77"/>
      <c r="EB12" s="77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</row>
    <row r="13" spans="1:246" s="30" customFormat="1" ht="18" customHeight="1">
      <c r="A13" s="27">
        <v>11</v>
      </c>
      <c r="B13" s="28" t="s">
        <v>48</v>
      </c>
      <c r="C13" s="82"/>
      <c r="D13" s="82" t="s">
        <v>9</v>
      </c>
      <c r="E13" s="82"/>
      <c r="F13" s="82"/>
      <c r="G13" s="82"/>
      <c r="H13" s="82"/>
      <c r="I13" s="82" t="s">
        <v>9</v>
      </c>
      <c r="J13" s="82"/>
      <c r="K13" s="82"/>
      <c r="L13" s="82"/>
      <c r="M13" s="82"/>
      <c r="N13" s="82"/>
      <c r="O13" s="82"/>
      <c r="P13" s="82" t="s">
        <v>9</v>
      </c>
      <c r="Q13" s="82"/>
      <c r="R13" s="82"/>
      <c r="S13" s="82"/>
      <c r="T13" s="82"/>
      <c r="U13" s="82"/>
      <c r="V13" s="82"/>
      <c r="W13" s="82" t="s">
        <v>9</v>
      </c>
      <c r="X13" s="82"/>
      <c r="Y13" s="82"/>
      <c r="Z13" s="82"/>
      <c r="AA13" s="82"/>
      <c r="AB13" s="82"/>
      <c r="AC13" s="82"/>
      <c r="AD13" s="82" t="s">
        <v>9</v>
      </c>
      <c r="AE13" s="84"/>
      <c r="AF13" s="84"/>
      <c r="AG13" s="84"/>
      <c r="AH13" s="84" t="s">
        <v>9</v>
      </c>
      <c r="AI13" s="84"/>
      <c r="AJ13" s="84"/>
      <c r="AK13" s="84"/>
      <c r="AL13" s="84"/>
      <c r="AM13" s="84"/>
      <c r="AN13" s="84" t="s">
        <v>9</v>
      </c>
      <c r="AO13" s="84"/>
      <c r="AP13" s="84"/>
      <c r="AQ13" s="84"/>
      <c r="AR13" s="84"/>
      <c r="AS13" s="84"/>
      <c r="AT13" s="84" t="s">
        <v>9</v>
      </c>
      <c r="AU13" s="84"/>
      <c r="AV13" s="84" t="s">
        <v>9</v>
      </c>
      <c r="AW13" s="88"/>
      <c r="AX13" s="88"/>
      <c r="AY13" s="88"/>
      <c r="AZ13" s="88"/>
      <c r="BA13" s="88"/>
      <c r="BB13" s="88"/>
      <c r="BC13" s="88"/>
      <c r="BD13" s="84"/>
      <c r="BE13" s="84"/>
      <c r="BF13" s="84"/>
      <c r="BG13" s="84"/>
      <c r="BH13" s="84"/>
      <c r="BI13" s="84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7"/>
      <c r="BV13" s="77"/>
      <c r="BW13" s="77"/>
      <c r="BX13" s="76"/>
      <c r="BY13" s="77"/>
      <c r="BZ13" s="77"/>
      <c r="CA13" s="77"/>
      <c r="CB13" s="77"/>
      <c r="CC13" s="77"/>
      <c r="CD13" s="76"/>
      <c r="CE13" s="76"/>
      <c r="CF13" s="77"/>
      <c r="CG13" s="77"/>
      <c r="CH13" s="77"/>
      <c r="CI13" s="77"/>
      <c r="CJ13" s="77"/>
      <c r="CK13" s="76"/>
      <c r="CL13" s="76"/>
      <c r="CM13" s="77"/>
      <c r="CN13" s="77"/>
      <c r="CO13" s="76"/>
      <c r="CP13" s="76"/>
      <c r="CQ13" s="77"/>
      <c r="CR13" s="77"/>
      <c r="CS13" s="76"/>
      <c r="CT13" s="77"/>
      <c r="CU13" s="77"/>
      <c r="CV13" s="77"/>
      <c r="CW13" s="77"/>
      <c r="CX13" s="77"/>
      <c r="CY13" s="77"/>
      <c r="CZ13" s="77"/>
      <c r="DA13" s="77"/>
      <c r="DB13" s="77"/>
      <c r="DC13" s="78"/>
      <c r="DD13" s="78"/>
      <c r="DE13" s="77"/>
      <c r="DF13" s="77"/>
      <c r="DG13" s="77"/>
      <c r="DH13" s="78"/>
      <c r="DI13" s="78"/>
      <c r="DJ13" s="78"/>
      <c r="DK13" s="78"/>
      <c r="DL13" s="78"/>
      <c r="DM13" s="78"/>
      <c r="DN13" s="78"/>
      <c r="DO13" s="78"/>
      <c r="DP13" s="77"/>
      <c r="DQ13" s="77"/>
      <c r="DR13" s="77"/>
      <c r="DS13" s="77"/>
      <c r="DT13" s="77"/>
      <c r="DU13" s="77"/>
      <c r="DV13" s="78"/>
      <c r="DW13" s="78"/>
      <c r="DX13" s="78"/>
      <c r="DY13" s="78"/>
      <c r="DZ13" s="78"/>
      <c r="EA13" s="77"/>
      <c r="EB13" s="77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</row>
    <row r="14" spans="1:246" s="32" customFormat="1" ht="18" customHeight="1">
      <c r="A14" s="27">
        <v>12</v>
      </c>
      <c r="B14" s="28" t="s">
        <v>13</v>
      </c>
      <c r="C14" s="82"/>
      <c r="D14" s="82" t="s">
        <v>9</v>
      </c>
      <c r="E14" s="82"/>
      <c r="F14" s="82"/>
      <c r="G14" s="82"/>
      <c r="H14" s="82"/>
      <c r="I14" s="82" t="s">
        <v>9</v>
      </c>
      <c r="J14" s="82"/>
      <c r="K14" s="82"/>
      <c r="L14" s="82" t="s">
        <v>9</v>
      </c>
      <c r="M14" s="82" t="s">
        <v>9</v>
      </c>
      <c r="N14" s="82" t="s">
        <v>9</v>
      </c>
      <c r="O14" s="82" t="s">
        <v>9</v>
      </c>
      <c r="P14" s="82"/>
      <c r="Q14" s="82"/>
      <c r="R14" s="82"/>
      <c r="S14" s="82"/>
      <c r="T14" s="82"/>
      <c r="U14" s="82" t="s">
        <v>9</v>
      </c>
      <c r="V14" s="82" t="s">
        <v>9</v>
      </c>
      <c r="W14" s="82"/>
      <c r="X14" s="82"/>
      <c r="Y14" s="82"/>
      <c r="Z14" s="82"/>
      <c r="AA14" s="82"/>
      <c r="AB14" s="82"/>
      <c r="AC14" s="82"/>
      <c r="AD14" s="82" t="s">
        <v>9</v>
      </c>
      <c r="AE14" s="84"/>
      <c r="AF14" s="84"/>
      <c r="AG14" s="84"/>
      <c r="AH14" s="84" t="s">
        <v>9</v>
      </c>
      <c r="AI14" s="84"/>
      <c r="AJ14" s="84"/>
      <c r="AK14" s="84"/>
      <c r="AL14" s="84"/>
      <c r="AM14" s="84"/>
      <c r="AN14" s="84" t="s">
        <v>9</v>
      </c>
      <c r="AO14" s="84"/>
      <c r="AP14" s="84"/>
      <c r="AQ14" s="84"/>
      <c r="AR14" s="84"/>
      <c r="AS14" s="84"/>
      <c r="AT14" s="84" t="s">
        <v>9</v>
      </c>
      <c r="AU14" s="84"/>
      <c r="AV14" s="84" t="s">
        <v>9</v>
      </c>
      <c r="AW14" s="88"/>
      <c r="AX14" s="88"/>
      <c r="AY14" s="88"/>
      <c r="AZ14" s="88"/>
      <c r="BA14" s="88"/>
      <c r="BB14" s="88"/>
      <c r="BC14" s="88"/>
      <c r="BD14" s="84"/>
      <c r="BE14" s="84"/>
      <c r="BF14" s="84"/>
      <c r="BG14" s="84"/>
      <c r="BH14" s="84"/>
      <c r="BI14" s="84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7"/>
      <c r="CR14" s="77"/>
      <c r="CS14" s="76"/>
      <c r="CT14" s="77"/>
      <c r="CU14" s="77"/>
      <c r="CV14" s="77"/>
      <c r="CW14" s="77"/>
      <c r="CX14" s="77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</row>
    <row r="15" spans="1:246" s="32" customFormat="1" ht="18" customHeight="1">
      <c r="A15" s="27">
        <v>13</v>
      </c>
      <c r="B15" s="28" t="s">
        <v>14</v>
      </c>
      <c r="C15" s="82"/>
      <c r="D15" s="82" t="s">
        <v>9</v>
      </c>
      <c r="E15" s="82"/>
      <c r="F15" s="82"/>
      <c r="G15" s="82"/>
      <c r="H15" s="82"/>
      <c r="I15" s="82" t="s">
        <v>9</v>
      </c>
      <c r="J15" s="82"/>
      <c r="K15" s="82"/>
      <c r="L15" s="82" t="s">
        <v>9</v>
      </c>
      <c r="M15" s="82" t="s">
        <v>9</v>
      </c>
      <c r="N15" s="82" t="s">
        <v>9</v>
      </c>
      <c r="O15" s="82" t="s">
        <v>9</v>
      </c>
      <c r="P15" s="82"/>
      <c r="Q15" s="82"/>
      <c r="R15" s="82"/>
      <c r="S15" s="82"/>
      <c r="T15" s="82"/>
      <c r="U15" s="82" t="s">
        <v>9</v>
      </c>
      <c r="V15" s="82" t="s">
        <v>9</v>
      </c>
      <c r="W15" s="82"/>
      <c r="X15" s="82"/>
      <c r="Y15" s="82"/>
      <c r="Z15" s="82"/>
      <c r="AA15" s="82"/>
      <c r="AB15" s="82"/>
      <c r="AC15" s="82"/>
      <c r="AD15" s="82" t="s">
        <v>9</v>
      </c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8"/>
      <c r="AX15" s="88"/>
      <c r="AY15" s="88"/>
      <c r="AZ15" s="88"/>
      <c r="BA15" s="88"/>
      <c r="BB15" s="88"/>
      <c r="BC15" s="88"/>
      <c r="BD15" s="84"/>
      <c r="BE15" s="84"/>
      <c r="BF15" s="84"/>
      <c r="BG15" s="84"/>
      <c r="BH15" s="84"/>
      <c r="BI15" s="84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7"/>
      <c r="CR15" s="77"/>
      <c r="CS15" s="76"/>
      <c r="CT15" s="77"/>
      <c r="CU15" s="77"/>
      <c r="CV15" s="77"/>
      <c r="CW15" s="77"/>
      <c r="CX15" s="77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</row>
    <row r="16" spans="1:246" s="32" customFormat="1" ht="18" customHeight="1">
      <c r="A16" s="27">
        <v>14</v>
      </c>
      <c r="B16" s="28" t="s">
        <v>15</v>
      </c>
      <c r="C16" s="82"/>
      <c r="D16" s="82" t="s">
        <v>9</v>
      </c>
      <c r="E16" s="82"/>
      <c r="F16" s="82"/>
      <c r="G16" s="82"/>
      <c r="H16" s="82"/>
      <c r="I16" s="82" t="s">
        <v>9</v>
      </c>
      <c r="J16" s="82"/>
      <c r="K16" s="82"/>
      <c r="L16" s="82"/>
      <c r="M16" s="82"/>
      <c r="N16" s="82"/>
      <c r="O16" s="82"/>
      <c r="P16" s="82" t="s">
        <v>9</v>
      </c>
      <c r="Q16" s="82"/>
      <c r="R16" s="82"/>
      <c r="S16" s="82"/>
      <c r="T16" s="82"/>
      <c r="U16" s="82"/>
      <c r="V16" s="82"/>
      <c r="W16" s="82" t="s">
        <v>9</v>
      </c>
      <c r="X16" s="82"/>
      <c r="Y16" s="82"/>
      <c r="Z16" s="82"/>
      <c r="AA16" s="82"/>
      <c r="AB16" s="82"/>
      <c r="AC16" s="82"/>
      <c r="AD16" s="82" t="s">
        <v>9</v>
      </c>
      <c r="AE16" s="84"/>
      <c r="AF16" s="84"/>
      <c r="AG16" s="84"/>
      <c r="AH16" s="84" t="s">
        <v>9</v>
      </c>
      <c r="AI16" s="84"/>
      <c r="AJ16" s="84"/>
      <c r="AK16" s="84"/>
      <c r="AL16" s="84"/>
      <c r="AM16" s="84"/>
      <c r="AN16" s="84" t="s">
        <v>9</v>
      </c>
      <c r="AO16" s="84"/>
      <c r="AP16" s="84"/>
      <c r="AQ16" s="84"/>
      <c r="AR16" s="84"/>
      <c r="AS16" s="84"/>
      <c r="AT16" s="84" t="s">
        <v>9</v>
      </c>
      <c r="AU16" s="84"/>
      <c r="AV16" s="84" t="s">
        <v>9</v>
      </c>
      <c r="AW16" s="88"/>
      <c r="AX16" s="88"/>
      <c r="AY16" s="88"/>
      <c r="AZ16" s="88"/>
      <c r="BA16" s="88"/>
      <c r="BB16" s="88"/>
      <c r="BC16" s="88"/>
      <c r="BD16" s="84"/>
      <c r="BE16" s="84"/>
      <c r="BF16" s="84"/>
      <c r="BG16" s="84"/>
      <c r="BH16" s="84"/>
      <c r="BI16" s="84" t="s">
        <v>9</v>
      </c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7"/>
      <c r="BV16" s="77"/>
      <c r="BW16" s="77"/>
      <c r="BX16" s="76"/>
      <c r="BY16" s="77"/>
      <c r="BZ16" s="77"/>
      <c r="CA16" s="77"/>
      <c r="CB16" s="77"/>
      <c r="CC16" s="77"/>
      <c r="CD16" s="76"/>
      <c r="CE16" s="76"/>
      <c r="CF16" s="77"/>
      <c r="CG16" s="77"/>
      <c r="CH16" s="77"/>
      <c r="CI16" s="77"/>
      <c r="CJ16" s="77"/>
      <c r="CK16" s="76"/>
      <c r="CL16" s="76"/>
      <c r="CM16" s="77"/>
      <c r="CN16" s="77"/>
      <c r="CO16" s="76"/>
      <c r="CP16" s="76"/>
      <c r="CQ16" s="76"/>
      <c r="CR16" s="77"/>
      <c r="CS16" s="76"/>
      <c r="CT16" s="77"/>
      <c r="CU16" s="77"/>
      <c r="CV16" s="77"/>
      <c r="CW16" s="77"/>
      <c r="CX16" s="77"/>
      <c r="CY16" s="77"/>
      <c r="CZ16" s="77"/>
      <c r="DA16" s="77"/>
      <c r="DB16" s="77"/>
      <c r="DC16" s="79"/>
      <c r="DD16" s="79"/>
      <c r="DE16" s="77"/>
      <c r="DF16" s="77"/>
      <c r="DG16" s="77"/>
      <c r="DH16" s="78"/>
      <c r="DI16" s="78"/>
      <c r="DJ16" s="78"/>
      <c r="DK16" s="78"/>
      <c r="DL16" s="78"/>
      <c r="DM16" s="78"/>
      <c r="DN16" s="78"/>
      <c r="DO16" s="78"/>
      <c r="DP16" s="77"/>
      <c r="DQ16" s="77"/>
      <c r="DR16" s="77"/>
      <c r="DS16" s="77"/>
      <c r="DT16" s="77"/>
      <c r="DU16" s="77"/>
      <c r="DV16" s="78"/>
      <c r="DW16" s="78"/>
      <c r="DX16" s="78"/>
      <c r="DY16" s="78"/>
      <c r="DZ16" s="78"/>
      <c r="EA16" s="77"/>
      <c r="EB16" s="77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</row>
    <row r="17" spans="1:246" ht="15" customHeight="1">
      <c r="A17" s="33"/>
      <c r="B17" s="34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4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9"/>
      <c r="AW17" s="89"/>
      <c r="AX17" s="89"/>
      <c r="AY17" s="89"/>
      <c r="AZ17" s="89"/>
      <c r="BA17" s="89"/>
      <c r="BB17" s="88"/>
      <c r="BC17" s="88"/>
      <c r="BD17" s="84"/>
      <c r="BE17" s="84"/>
      <c r="BF17" s="84"/>
      <c r="BG17" s="84"/>
      <c r="BH17" s="84"/>
      <c r="BI17" s="84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</row>
    <row r="18" spans="1:246" ht="15" customHeight="1">
      <c r="A18" s="33"/>
      <c r="B18" s="34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4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9"/>
      <c r="AW18" s="89"/>
      <c r="AX18" s="89"/>
      <c r="AY18" s="89"/>
      <c r="AZ18" s="89"/>
      <c r="BA18" s="89"/>
      <c r="BB18" s="88"/>
      <c r="BC18" s="88"/>
      <c r="BD18" s="84"/>
      <c r="BE18" s="84"/>
      <c r="BF18" s="84"/>
      <c r="BG18" s="84"/>
      <c r="BH18" s="84"/>
      <c r="BI18" s="84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</row>
    <row r="19" spans="1:246" ht="15" customHeight="1">
      <c r="A19" s="33"/>
      <c r="B19" s="34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</row>
    <row r="20" spans="1:246" ht="15" customHeight="1">
      <c r="A20" s="33"/>
      <c r="B20" s="34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</row>
    <row r="21" spans="1:246" ht="15" customHeight="1">
      <c r="A21" s="33"/>
      <c r="B21" s="34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</row>
    <row r="22" spans="1:246" ht="15" customHeight="1">
      <c r="A22" s="33"/>
      <c r="B22" s="34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</row>
    <row r="23" spans="1:246" ht="15" customHeight="1">
      <c r="A23" s="33"/>
      <c r="B23" s="34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</row>
    <row r="24" spans="1:246" ht="15" customHeight="1">
      <c r="A24" s="33"/>
      <c r="B24" s="34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</row>
    <row r="25" spans="1:246" ht="15" customHeight="1">
      <c r="A25" s="33"/>
      <c r="B25" s="34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</row>
    <row r="26" spans="1:246" ht="15" customHeight="1">
      <c r="A26" s="33"/>
      <c r="B26" s="34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</row>
    <row r="27" spans="1:246" ht="15" customHeight="1">
      <c r="A27" s="33"/>
      <c r="B27" s="34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</row>
    <row r="28" spans="1:246" ht="15" customHeight="1">
      <c r="A28" s="33"/>
      <c r="B28" s="34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</row>
    <row r="29" spans="1:246" ht="15" customHeight="1">
      <c r="A29" s="33"/>
      <c r="B29" s="34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</row>
    <row r="30" spans="1:246" ht="15" customHeight="1">
      <c r="A30" s="33"/>
      <c r="B30" s="34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</row>
    <row r="31" spans="1:246" ht="15" customHeight="1">
      <c r="A31" s="33"/>
      <c r="B31" s="34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</row>
    <row r="32" spans="1:246" ht="15" customHeight="1">
      <c r="A32" s="33"/>
      <c r="B32" s="34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</row>
    <row r="33" spans="1:246" ht="15" customHeight="1">
      <c r="A33" s="33"/>
      <c r="B33" s="34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</row>
    <row r="34" spans="1:246" ht="15" customHeight="1">
      <c r="A34" s="33"/>
      <c r="B34" s="34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</row>
    <row r="35" spans="1:246" ht="15" customHeight="1">
      <c r="A35" s="33"/>
      <c r="B35" s="34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</row>
  </sheetData>
  <mergeCells count="6">
    <mergeCell ref="CY2:EB2"/>
    <mergeCell ref="A1:H1"/>
    <mergeCell ref="A2:A3"/>
    <mergeCell ref="B2:B3"/>
    <mergeCell ref="BU2:CX2"/>
    <mergeCell ref="AE2:BI2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G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5"/>
  <cols>
    <col min="1" max="1" width="18.42578125" bestFit="1" customWidth="1"/>
    <col min="2" max="2" width="15.28515625" customWidth="1"/>
    <col min="3" max="3" width="16.5703125" customWidth="1"/>
    <col min="4" max="4" width="11" customWidth="1"/>
    <col min="5" max="5" width="16.85546875" customWidth="1"/>
    <col min="6" max="6" width="9.140625" style="36" customWidth="1"/>
    <col min="7" max="7" width="12.28515625" customWidth="1"/>
  </cols>
  <sheetData>
    <row r="1" spans="1:7" ht="15.75">
      <c r="A1" s="104" t="s">
        <v>16</v>
      </c>
      <c r="B1" s="104"/>
    </row>
    <row r="2" spans="1:7" ht="15.75">
      <c r="A2" s="105" t="s">
        <v>57</v>
      </c>
      <c r="B2" s="106"/>
    </row>
    <row r="3" spans="1:7" s="37" customFormat="1">
      <c r="A3" s="37" t="s">
        <v>17</v>
      </c>
      <c r="B3" s="37" t="s">
        <v>18</v>
      </c>
      <c r="C3" s="37" t="s">
        <v>19</v>
      </c>
      <c r="D3" s="37" t="s">
        <v>20</v>
      </c>
      <c r="E3" s="37" t="s">
        <v>21</v>
      </c>
      <c r="F3" s="37" t="s">
        <v>22</v>
      </c>
      <c r="G3" s="37" t="s">
        <v>23</v>
      </c>
    </row>
    <row r="4" spans="1:7" s="41" customFormat="1" ht="14.1" customHeight="1">
      <c r="A4" s="38"/>
      <c r="B4" s="38"/>
      <c r="C4" s="38"/>
      <c r="D4" s="39">
        <f>+Table1[[#This Row],[Selesai]]-Table1[[#This Row],[Terima]]</f>
        <v>0</v>
      </c>
      <c r="E4" s="38"/>
      <c r="F4" s="40"/>
      <c r="G4" s="38"/>
    </row>
    <row r="5" spans="1:7" s="41" customFormat="1" ht="14.1" customHeight="1">
      <c r="A5" s="42">
        <v>46082</v>
      </c>
      <c r="B5" s="42">
        <v>46082</v>
      </c>
      <c r="C5" s="42">
        <v>46082</v>
      </c>
      <c r="D5" s="43">
        <f>B5-C5</f>
        <v>0</v>
      </c>
      <c r="E5" s="44"/>
      <c r="F5" s="45"/>
      <c r="G5" s="46"/>
    </row>
    <row r="6" spans="1:7" s="41" customFormat="1" ht="14.1" customHeight="1">
      <c r="A6" s="42">
        <v>46083</v>
      </c>
      <c r="B6" s="42">
        <v>46083</v>
      </c>
      <c r="C6" s="42">
        <v>46083</v>
      </c>
      <c r="D6" s="43">
        <f>+B6-C6</f>
        <v>0</v>
      </c>
      <c r="E6" s="48" t="s">
        <v>24</v>
      </c>
      <c r="F6" s="45">
        <v>1</v>
      </c>
      <c r="G6" s="46"/>
    </row>
    <row r="7" spans="1:7" s="41" customFormat="1" ht="14.1" customHeight="1">
      <c r="A7" s="42">
        <v>46084</v>
      </c>
      <c r="B7" s="42">
        <v>46084</v>
      </c>
      <c r="C7" s="42">
        <v>46084</v>
      </c>
      <c r="D7" s="47">
        <f>B7-C7</f>
        <v>0</v>
      </c>
      <c r="E7" s="44" t="s">
        <v>27</v>
      </c>
      <c r="F7" s="45">
        <v>4</v>
      </c>
      <c r="G7" s="49"/>
    </row>
    <row r="8" spans="1:7" s="41" customFormat="1" ht="14.1" customHeight="1">
      <c r="A8" s="42">
        <v>46085</v>
      </c>
      <c r="B8" s="42">
        <v>46085</v>
      </c>
      <c r="C8" s="42">
        <v>46085</v>
      </c>
      <c r="D8" s="43">
        <f>+B8-C8</f>
        <v>0</v>
      </c>
      <c r="E8" s="48" t="s">
        <v>25</v>
      </c>
      <c r="F8" s="45">
        <v>0</v>
      </c>
      <c r="G8" s="46"/>
    </row>
    <row r="9" spans="1:7">
      <c r="A9" s="42">
        <v>46086</v>
      </c>
      <c r="B9" s="42">
        <v>46086</v>
      </c>
      <c r="C9" s="42">
        <v>46086</v>
      </c>
      <c r="D9" s="43">
        <f>B9-C9</f>
        <v>0</v>
      </c>
      <c r="E9" s="44" t="s">
        <v>26</v>
      </c>
      <c r="F9" s="45">
        <v>2</v>
      </c>
      <c r="G9" s="46"/>
    </row>
    <row r="10" spans="1:7">
      <c r="A10" s="42">
        <v>46087</v>
      </c>
      <c r="B10" s="42">
        <v>46087</v>
      </c>
      <c r="C10" s="42">
        <v>46087</v>
      </c>
      <c r="D10" s="43">
        <f>+B10-C10</f>
        <v>0</v>
      </c>
      <c r="E10" s="48" t="s">
        <v>24</v>
      </c>
      <c r="F10" s="45">
        <v>1</v>
      </c>
      <c r="G10" s="46"/>
    </row>
    <row r="11" spans="1:7">
      <c r="A11" s="42">
        <v>46088</v>
      </c>
      <c r="B11" s="42">
        <v>46088</v>
      </c>
      <c r="C11" s="42">
        <v>46088</v>
      </c>
      <c r="D11" s="43">
        <f>B11-C11</f>
        <v>0</v>
      </c>
      <c r="E11" s="44" t="s">
        <v>40</v>
      </c>
      <c r="F11" s="45">
        <v>3</v>
      </c>
      <c r="G11" s="46"/>
    </row>
    <row r="12" spans="1:7">
      <c r="A12" s="42">
        <v>46089</v>
      </c>
      <c r="B12" s="42">
        <v>46089</v>
      </c>
      <c r="C12" s="42">
        <v>46089</v>
      </c>
      <c r="D12" s="43">
        <f>+B12-C12</f>
        <v>0</v>
      </c>
      <c r="E12" s="44"/>
      <c r="F12" s="45">
        <v>0</v>
      </c>
      <c r="G12" s="46" t="s">
        <v>55</v>
      </c>
    </row>
    <row r="13" spans="1:7">
      <c r="A13" s="42">
        <v>46090</v>
      </c>
      <c r="B13" s="42">
        <v>46090</v>
      </c>
      <c r="C13" s="42">
        <v>46090</v>
      </c>
      <c r="D13" s="43">
        <f>B13-C13</f>
        <v>0</v>
      </c>
      <c r="E13" s="44" t="s">
        <v>25</v>
      </c>
      <c r="F13" s="45">
        <v>0</v>
      </c>
      <c r="G13" s="46"/>
    </row>
    <row r="14" spans="1:7">
      <c r="A14" s="42">
        <v>46091</v>
      </c>
      <c r="B14" s="42">
        <v>46091</v>
      </c>
      <c r="C14" s="42">
        <v>46091</v>
      </c>
      <c r="D14" s="43">
        <f>+B14-C14</f>
        <v>0</v>
      </c>
      <c r="E14" s="44" t="s">
        <v>25</v>
      </c>
      <c r="F14" s="45">
        <v>0</v>
      </c>
      <c r="G14" s="46"/>
    </row>
    <row r="15" spans="1:7">
      <c r="A15" s="42">
        <v>46092</v>
      </c>
      <c r="B15" s="42">
        <v>46092</v>
      </c>
      <c r="C15" s="42">
        <v>46092</v>
      </c>
      <c r="D15" s="43">
        <f>+Table1[[#This Row],[Selesai]]-Table1[[#This Row],[Terima]]</f>
        <v>0</v>
      </c>
      <c r="E15" s="44" t="s">
        <v>24</v>
      </c>
      <c r="F15" s="45">
        <v>1</v>
      </c>
      <c r="G15" s="46"/>
    </row>
    <row r="16" spans="1:7">
      <c r="A16" s="42">
        <v>46093</v>
      </c>
      <c r="B16" s="42">
        <v>46093</v>
      </c>
      <c r="C16" s="42">
        <v>46093</v>
      </c>
      <c r="D16" s="43">
        <f>+Table1[[#This Row],[Selesai]]-Table1[[#This Row],[Terima]]</f>
        <v>0</v>
      </c>
      <c r="E16" s="44" t="s">
        <v>25</v>
      </c>
      <c r="F16" s="45">
        <v>0</v>
      </c>
      <c r="G16" s="46"/>
    </row>
    <row r="17" spans="1:7">
      <c r="A17" s="42">
        <v>46094</v>
      </c>
      <c r="B17" s="42">
        <v>46094</v>
      </c>
      <c r="C17" s="42">
        <v>46094</v>
      </c>
      <c r="D17" s="43">
        <f>+Table1[[#This Row],[Selesai]]-Table1[[#This Row],[Terima]]</f>
        <v>0</v>
      </c>
      <c r="E17" s="44" t="s">
        <v>25</v>
      </c>
      <c r="F17" s="45">
        <v>0</v>
      </c>
      <c r="G17" s="46"/>
    </row>
    <row r="18" spans="1:7">
      <c r="A18" s="42">
        <v>46095</v>
      </c>
      <c r="B18" s="42">
        <v>46095</v>
      </c>
      <c r="C18" s="42">
        <v>46095</v>
      </c>
      <c r="D18" s="43">
        <f>+Table1[[#This Row],[Selesai]]-Table1[[#This Row],[Terima]]</f>
        <v>0</v>
      </c>
      <c r="E18" s="44" t="s">
        <v>24</v>
      </c>
      <c r="F18" s="45">
        <v>1</v>
      </c>
      <c r="G18" s="46"/>
    </row>
    <row r="19" spans="1:7">
      <c r="A19" s="42">
        <v>46096</v>
      </c>
      <c r="B19" s="42">
        <v>46096</v>
      </c>
      <c r="C19" s="42">
        <v>46096</v>
      </c>
      <c r="D19" s="43">
        <f>+Table1[[#This Row],[Selesai]]-Table1[[#This Row],[Terima]]</f>
        <v>0</v>
      </c>
      <c r="E19" s="44"/>
      <c r="F19" s="45">
        <v>0</v>
      </c>
      <c r="G19" s="46" t="s">
        <v>55</v>
      </c>
    </row>
    <row r="20" spans="1:7">
      <c r="A20" s="42">
        <v>46097</v>
      </c>
      <c r="B20" s="42">
        <v>46097</v>
      </c>
      <c r="C20" s="42">
        <v>46097</v>
      </c>
      <c r="D20" s="43">
        <f>+Table1[[#This Row],[Selesai]]-Table1[[#This Row],[Terima]]</f>
        <v>0</v>
      </c>
      <c r="E20" s="44" t="s">
        <v>26</v>
      </c>
      <c r="F20" s="45">
        <v>2</v>
      </c>
      <c r="G20" s="46"/>
    </row>
    <row r="21" spans="1:7">
      <c r="A21" s="42">
        <v>46098</v>
      </c>
      <c r="B21" s="42">
        <v>46098</v>
      </c>
      <c r="C21" s="42">
        <v>46098</v>
      </c>
      <c r="D21" s="43">
        <f>+Table1[[#This Row],[Selesai]]-Table1[[#This Row],[Terima]]</f>
        <v>0</v>
      </c>
      <c r="E21" s="44" t="s">
        <v>40</v>
      </c>
      <c r="F21" s="45">
        <v>3</v>
      </c>
      <c r="G21" s="46"/>
    </row>
    <row r="22" spans="1:7">
      <c r="A22" s="42">
        <v>46099</v>
      </c>
      <c r="B22" s="42">
        <v>46099</v>
      </c>
      <c r="C22" s="42">
        <v>46099</v>
      </c>
      <c r="D22" s="43">
        <f>+Table1[[#This Row],[Selesai]]-Table1[[#This Row],[Terima]]</f>
        <v>0</v>
      </c>
      <c r="E22" s="44" t="s">
        <v>25</v>
      </c>
      <c r="F22" s="45">
        <v>0</v>
      </c>
      <c r="G22" s="46"/>
    </row>
    <row r="23" spans="1:7">
      <c r="A23" s="42">
        <v>46100</v>
      </c>
      <c r="B23" s="42">
        <v>46100</v>
      </c>
      <c r="C23" s="42">
        <v>46100</v>
      </c>
      <c r="D23" s="43">
        <f>+Table1[[#This Row],[Selesai]]-Table1[[#This Row],[Terima]]</f>
        <v>0</v>
      </c>
      <c r="E23" s="44"/>
      <c r="F23" s="45">
        <v>0</v>
      </c>
      <c r="G23" s="46" t="s">
        <v>55</v>
      </c>
    </row>
    <row r="24" spans="1:7">
      <c r="A24" s="42">
        <v>46101</v>
      </c>
      <c r="B24" s="42">
        <v>46101</v>
      </c>
      <c r="C24" s="42">
        <v>46101</v>
      </c>
      <c r="D24" s="43">
        <f>+Table1[[#This Row],[Selesai]]-Table1[[#This Row],[Terima]]</f>
        <v>0</v>
      </c>
      <c r="E24" s="44"/>
      <c r="F24" s="45">
        <v>0</v>
      </c>
      <c r="G24" s="46" t="s">
        <v>55</v>
      </c>
    </row>
    <row r="25" spans="1:7">
      <c r="A25" s="42">
        <v>46102</v>
      </c>
      <c r="B25" s="42">
        <v>46102</v>
      </c>
      <c r="C25" s="42">
        <v>46102</v>
      </c>
      <c r="D25" s="43">
        <f>+Table1[[#This Row],[Selesai]]-Table1[[#This Row],[Terima]]</f>
        <v>0</v>
      </c>
      <c r="E25" s="44"/>
      <c r="F25" s="45">
        <v>0</v>
      </c>
      <c r="G25" s="46" t="s">
        <v>55</v>
      </c>
    </row>
    <row r="26" spans="1:7">
      <c r="A26" s="42">
        <v>46103</v>
      </c>
      <c r="B26" s="42">
        <v>46103</v>
      </c>
      <c r="C26" s="42">
        <v>46103</v>
      </c>
      <c r="D26" s="43">
        <f>+Table1[[#This Row],[Selesai]]-Table1[[#This Row],[Terima]]</f>
        <v>0</v>
      </c>
      <c r="E26" s="44"/>
      <c r="F26" s="45">
        <v>0</v>
      </c>
      <c r="G26" s="46" t="s">
        <v>55</v>
      </c>
    </row>
    <row r="27" spans="1:7">
      <c r="A27" s="42">
        <v>46104</v>
      </c>
      <c r="B27" s="42">
        <v>46104</v>
      </c>
      <c r="C27" s="42">
        <v>46104</v>
      </c>
      <c r="D27" s="43">
        <f>+Table1[[#This Row],[Selesai]]-Table1[[#This Row],[Terima]]</f>
        <v>0</v>
      </c>
      <c r="E27" s="44"/>
      <c r="F27" s="45">
        <v>0</v>
      </c>
      <c r="G27" s="46" t="s">
        <v>55</v>
      </c>
    </row>
    <row r="28" spans="1:7">
      <c r="A28" s="42">
        <v>46105</v>
      </c>
      <c r="B28" s="42">
        <v>46105</v>
      </c>
      <c r="C28" s="42">
        <v>46105</v>
      </c>
      <c r="D28" s="43">
        <f>+Table1[[#This Row],[Selesai]]-Table1[[#This Row],[Terima]]</f>
        <v>0</v>
      </c>
      <c r="E28" s="44"/>
      <c r="F28" s="45">
        <v>0</v>
      </c>
      <c r="G28" s="46" t="s">
        <v>55</v>
      </c>
    </row>
    <row r="29" spans="1:7">
      <c r="A29" s="42">
        <v>46106</v>
      </c>
      <c r="B29" s="42">
        <v>46106</v>
      </c>
      <c r="C29" s="42">
        <v>46106</v>
      </c>
      <c r="D29" s="43">
        <f>+Table1[[#This Row],[Selesai]]-Table1[[#This Row],[Terima]]</f>
        <v>0</v>
      </c>
      <c r="E29" s="44"/>
      <c r="F29" s="45">
        <v>0</v>
      </c>
      <c r="G29" s="46" t="s">
        <v>55</v>
      </c>
    </row>
    <row r="30" spans="1:7">
      <c r="A30" s="42">
        <v>46107</v>
      </c>
      <c r="B30" s="42">
        <v>46107</v>
      </c>
      <c r="C30" s="42">
        <v>46107</v>
      </c>
      <c r="D30" s="43">
        <f>+Table1[[#This Row],[Selesai]]-Table1[[#This Row],[Terima]]</f>
        <v>0</v>
      </c>
      <c r="E30" s="44" t="s">
        <v>25</v>
      </c>
      <c r="F30" s="45">
        <v>0</v>
      </c>
      <c r="G30" s="46"/>
    </row>
    <row r="31" spans="1:7">
      <c r="A31" s="42">
        <v>46108</v>
      </c>
      <c r="B31" s="42">
        <v>46108</v>
      </c>
      <c r="C31" s="42">
        <v>46108</v>
      </c>
      <c r="D31" s="43">
        <f>+Table1[[#This Row],[Selesai]]-Table1[[#This Row],[Terima]]</f>
        <v>0</v>
      </c>
      <c r="E31" s="44" t="s">
        <v>25</v>
      </c>
      <c r="F31" s="45">
        <v>0</v>
      </c>
      <c r="G31" s="46"/>
    </row>
    <row r="32" spans="1:7">
      <c r="A32" s="42">
        <v>46109</v>
      </c>
      <c r="B32" s="42">
        <v>46109</v>
      </c>
      <c r="C32" s="42">
        <v>46109</v>
      </c>
      <c r="D32" s="43">
        <f>+Table1[[#This Row],[Selesai]]-Table1[[#This Row],[Terima]]</f>
        <v>0</v>
      </c>
      <c r="E32" s="44" t="s">
        <v>25</v>
      </c>
      <c r="F32" s="45">
        <v>0</v>
      </c>
      <c r="G32" s="46"/>
    </row>
    <row r="33" spans="1:7">
      <c r="A33" s="42">
        <v>46110</v>
      </c>
      <c r="B33" s="42">
        <v>46110</v>
      </c>
      <c r="C33" s="42">
        <v>46110</v>
      </c>
      <c r="D33" s="43">
        <f>+Table1[[#This Row],[Selesai]]-Table1[[#This Row],[Terima]]</f>
        <v>0</v>
      </c>
      <c r="E33" s="44" t="s">
        <v>25</v>
      </c>
      <c r="F33" s="45">
        <v>0</v>
      </c>
      <c r="G33" s="46"/>
    </row>
    <row r="34" spans="1:7">
      <c r="A34" s="42">
        <v>46111</v>
      </c>
      <c r="B34" s="42">
        <v>46111</v>
      </c>
      <c r="C34" s="42">
        <v>46111</v>
      </c>
      <c r="D34" s="43">
        <f>+Table1[[#This Row],[Selesai]]-Table1[[#This Row],[Terima]]</f>
        <v>0</v>
      </c>
      <c r="E34" s="44" t="s">
        <v>25</v>
      </c>
      <c r="F34" s="45">
        <v>0</v>
      </c>
      <c r="G34" s="46"/>
    </row>
    <row r="35" spans="1:7" ht="15.75" thickBot="1">
      <c r="A35" s="42">
        <v>46112</v>
      </c>
      <c r="B35" s="42">
        <v>46112</v>
      </c>
      <c r="C35" s="42">
        <v>46112</v>
      </c>
      <c r="D35" s="43">
        <f>+Table1[[#This Row],[Selesai]]-Table1[[#This Row],[Terima]]</f>
        <v>0</v>
      </c>
      <c r="E35" s="44" t="s">
        <v>24</v>
      </c>
      <c r="F35" s="45">
        <v>3</v>
      </c>
      <c r="G35" s="49"/>
    </row>
    <row r="36" spans="1:7" ht="15.75" thickBot="1">
      <c r="A36" s="50"/>
      <c r="B36" s="50"/>
      <c r="C36" s="50"/>
      <c r="D36" s="51"/>
      <c r="E36" s="50" t="s">
        <v>56</v>
      </c>
      <c r="F36" s="52">
        <f>SUM(F5:F35)</f>
        <v>21</v>
      </c>
      <c r="G36" s="51"/>
    </row>
    <row r="37" spans="1:7">
      <c r="A37" s="72"/>
      <c r="B37" s="72"/>
      <c r="C37" s="72"/>
      <c r="D37" s="73"/>
      <c r="E37" s="102" t="s">
        <v>6</v>
      </c>
      <c r="F37" s="103">
        <f>+Table1[[#Totals],[Nota]]/29</f>
        <v>0.72413793103448276</v>
      </c>
      <c r="G37" s="73"/>
    </row>
    <row r="38" spans="1:7">
      <c r="A38" s="53"/>
      <c r="B38" s="53"/>
      <c r="C38" s="53"/>
      <c r="D38" s="54"/>
      <c r="E38" s="55"/>
      <c r="F38" s="55"/>
      <c r="G38" s="56"/>
    </row>
    <row r="39" spans="1:7">
      <c r="A39" s="53"/>
      <c r="B39" s="53"/>
      <c r="C39" s="53"/>
      <c r="D39" s="57"/>
      <c r="E39" s="55"/>
      <c r="F39" s="55"/>
      <c r="G39" s="56"/>
    </row>
    <row r="40" spans="1:7">
      <c r="A40" s="53"/>
      <c r="B40" s="53"/>
      <c r="C40" s="53"/>
      <c r="D40" s="54"/>
      <c r="E40" s="55"/>
      <c r="F40" s="55"/>
      <c r="G40" s="56"/>
    </row>
    <row r="41" spans="1:7">
      <c r="A41" s="53"/>
      <c r="B41" s="53"/>
      <c r="C41" s="53"/>
      <c r="D41" s="57"/>
      <c r="E41" s="55"/>
      <c r="F41" s="55"/>
      <c r="G41" s="56"/>
    </row>
    <row r="42" spans="1:7">
      <c r="A42" s="53"/>
      <c r="B42" s="53"/>
      <c r="C42" s="53"/>
      <c r="D42" s="54"/>
      <c r="E42" s="55"/>
      <c r="F42" s="55"/>
      <c r="G42" s="56"/>
    </row>
    <row r="43" spans="1:7">
      <c r="A43" s="53"/>
      <c r="B43" s="53"/>
      <c r="C43" s="53"/>
      <c r="D43" s="57"/>
      <c r="E43" s="55"/>
      <c r="F43" s="55"/>
      <c r="G43" s="56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5"/>
  <sheetViews>
    <sheetView workbookViewId="0">
      <selection activeCell="B8" sqref="B8"/>
    </sheetView>
  </sheetViews>
  <sheetFormatPr defaultRowHeight="15"/>
  <cols>
    <col min="1" max="1" width="6.42578125" bestFit="1" customWidth="1"/>
    <col min="2" max="2" width="14.7109375" bestFit="1" customWidth="1"/>
    <col min="3" max="3" width="21.7109375" customWidth="1"/>
    <col min="4" max="4" width="35.7109375" bestFit="1" customWidth="1"/>
    <col min="5" max="5" width="17.28515625" bestFit="1" customWidth="1"/>
    <col min="6" max="6" width="30.85546875" customWidth="1"/>
  </cols>
  <sheetData>
    <row r="1" spans="1:6">
      <c r="A1" s="58" t="s">
        <v>28</v>
      </c>
      <c r="B1" s="59" t="s">
        <v>29</v>
      </c>
      <c r="C1" s="59" t="s">
        <v>11</v>
      </c>
      <c r="D1" s="59" t="s">
        <v>30</v>
      </c>
      <c r="E1" s="59" t="s">
        <v>19</v>
      </c>
      <c r="F1" s="60" t="s">
        <v>31</v>
      </c>
    </row>
    <row r="2" spans="1:6">
      <c r="A2" s="61">
        <v>1</v>
      </c>
      <c r="B2" s="62" t="s">
        <v>34</v>
      </c>
      <c r="C2" s="63" t="s">
        <v>32</v>
      </c>
      <c r="D2" s="63" t="s">
        <v>38</v>
      </c>
      <c r="E2" s="65">
        <v>46045</v>
      </c>
      <c r="F2" s="64"/>
    </row>
    <row r="3" spans="1:6">
      <c r="A3" s="61"/>
      <c r="B3" s="62"/>
      <c r="C3" s="63" t="s">
        <v>33</v>
      </c>
      <c r="D3" s="63" t="s">
        <v>39</v>
      </c>
      <c r="E3" s="65">
        <v>46048</v>
      </c>
      <c r="F3" s="66"/>
    </row>
    <row r="4" spans="1:6">
      <c r="A4" s="61"/>
      <c r="B4" s="62"/>
      <c r="C4" s="63"/>
      <c r="D4" s="63"/>
      <c r="E4" s="67"/>
      <c r="F4" s="66"/>
    </row>
    <row r="5" spans="1:6">
      <c r="A5" s="61">
        <v>2</v>
      </c>
      <c r="B5" s="62" t="s">
        <v>35</v>
      </c>
      <c r="C5" s="63" t="s">
        <v>32</v>
      </c>
      <c r="D5" s="63" t="s">
        <v>36</v>
      </c>
      <c r="E5" s="65">
        <v>46076</v>
      </c>
      <c r="F5" s="64"/>
    </row>
    <row r="6" spans="1:6">
      <c r="A6" s="61"/>
      <c r="B6" s="62"/>
      <c r="C6" s="63" t="s">
        <v>33</v>
      </c>
      <c r="D6" s="63" t="s">
        <v>37</v>
      </c>
      <c r="E6" s="65">
        <v>46079</v>
      </c>
      <c r="F6" s="66"/>
    </row>
    <row r="7" spans="1:6">
      <c r="A7" s="61"/>
      <c r="B7" s="62"/>
      <c r="C7" s="63"/>
      <c r="D7" s="63"/>
      <c r="E7" s="67"/>
      <c r="F7" s="66"/>
    </row>
    <row r="8" spans="1:6">
      <c r="A8" s="61">
        <v>3</v>
      </c>
      <c r="B8" s="62" t="s">
        <v>50</v>
      </c>
      <c r="C8" s="63" t="s">
        <v>32</v>
      </c>
      <c r="D8" s="63" t="s">
        <v>53</v>
      </c>
      <c r="E8" s="65">
        <v>46104</v>
      </c>
      <c r="F8" s="66"/>
    </row>
    <row r="9" spans="1:6">
      <c r="A9" s="61"/>
      <c r="B9" s="62"/>
      <c r="C9" s="63" t="s">
        <v>33</v>
      </c>
      <c r="D9" s="63" t="s">
        <v>54</v>
      </c>
      <c r="E9" s="65">
        <v>46107</v>
      </c>
      <c r="F9" s="66"/>
    </row>
    <row r="10" spans="1:6">
      <c r="A10" s="61"/>
      <c r="B10" s="62"/>
      <c r="C10" s="63"/>
      <c r="D10" s="63"/>
      <c r="E10" s="67"/>
      <c r="F10" s="66"/>
    </row>
    <row r="11" spans="1:6">
      <c r="A11" s="61"/>
      <c r="B11" s="62"/>
      <c r="C11" s="63"/>
      <c r="D11" s="63"/>
      <c r="E11" s="67"/>
      <c r="F11" s="66"/>
    </row>
    <row r="12" spans="1:6">
      <c r="A12" s="61"/>
      <c r="B12" s="62"/>
      <c r="C12" s="63"/>
      <c r="D12" s="62"/>
      <c r="E12" s="62"/>
      <c r="F12" s="66"/>
    </row>
    <row r="13" spans="1:6">
      <c r="A13" s="61"/>
      <c r="B13" s="62"/>
      <c r="C13" s="63"/>
      <c r="D13" s="62"/>
      <c r="E13" s="62"/>
      <c r="F13" s="66"/>
    </row>
    <row r="14" spans="1:6">
      <c r="A14" s="68"/>
      <c r="B14" s="69"/>
      <c r="C14" s="70"/>
      <c r="D14" s="69"/>
      <c r="E14" s="69"/>
      <c r="F14" s="71"/>
    </row>
    <row r="15" spans="1:6">
      <c r="A15" s="61"/>
      <c r="B15" s="62"/>
      <c r="C15" s="63"/>
      <c r="D15" s="63"/>
      <c r="E15" s="67"/>
      <c r="F15" s="66"/>
    </row>
    <row r="16" spans="1:6">
      <c r="A16" s="61"/>
      <c r="B16" s="62"/>
      <c r="C16" s="63"/>
      <c r="D16" s="62"/>
      <c r="E16" s="62"/>
      <c r="F16" s="66"/>
    </row>
    <row r="17" spans="1:6">
      <c r="A17" s="61"/>
      <c r="B17" s="62"/>
      <c r="C17" s="63"/>
      <c r="D17" s="62"/>
      <c r="E17" s="62"/>
      <c r="F17" s="66"/>
    </row>
    <row r="18" spans="1:6">
      <c r="A18" s="61"/>
      <c r="B18" s="62"/>
      <c r="C18" s="63"/>
      <c r="D18" s="62"/>
      <c r="E18" s="62"/>
      <c r="F18" s="66"/>
    </row>
    <row r="19" spans="1:6">
      <c r="A19" s="61"/>
      <c r="B19" s="62"/>
      <c r="C19" s="63"/>
      <c r="D19" s="62"/>
      <c r="E19" s="62"/>
      <c r="F19" s="66"/>
    </row>
    <row r="20" spans="1:6">
      <c r="A20" s="61"/>
      <c r="B20" s="62"/>
      <c r="C20" s="63"/>
      <c r="D20" s="62"/>
      <c r="E20" s="62"/>
      <c r="F20" s="66"/>
    </row>
    <row r="21" spans="1:6">
      <c r="A21" s="61"/>
      <c r="B21" s="62"/>
      <c r="C21" s="63"/>
      <c r="D21" s="62"/>
      <c r="E21" s="62"/>
      <c r="F21" s="66"/>
    </row>
    <row r="22" spans="1:6">
      <c r="A22" s="61"/>
      <c r="B22" s="62"/>
      <c r="C22" s="63"/>
      <c r="D22" s="62"/>
      <c r="E22" s="62"/>
      <c r="F22" s="66"/>
    </row>
    <row r="23" spans="1:6">
      <c r="A23" s="61"/>
      <c r="B23" s="62"/>
      <c r="C23" s="63"/>
      <c r="D23" s="62"/>
      <c r="E23" s="62"/>
      <c r="F23" s="66"/>
    </row>
    <row r="24" spans="1:6">
      <c r="A24" s="61"/>
      <c r="B24" s="62"/>
      <c r="C24" s="63"/>
      <c r="D24" s="62"/>
      <c r="E24" s="62"/>
      <c r="F24" s="66"/>
    </row>
    <row r="25" spans="1:6">
      <c r="A25" s="61"/>
      <c r="B25" s="62"/>
      <c r="C25" s="63"/>
      <c r="D25" s="62"/>
      <c r="E25" s="62"/>
      <c r="F25" s="6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Olah Data Daily Stock</vt:lpstr>
      <vt:lpstr>BACK UP</vt:lpstr>
      <vt:lpstr>Faktur Hijau</vt:lpstr>
      <vt:lpstr>ASURANSI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S</dc:creator>
  <cp:lastModifiedBy>Dewi S</cp:lastModifiedBy>
  <dcterms:created xsi:type="dcterms:W3CDTF">2025-12-04T03:56:23Z</dcterms:created>
  <dcterms:modified xsi:type="dcterms:W3CDTF">2026-04-09T05:30:00Z</dcterms:modified>
</cp:coreProperties>
</file>