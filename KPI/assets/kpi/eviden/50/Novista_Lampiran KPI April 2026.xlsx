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90" windowWidth="19875" windowHeight="7215" activeTab="4"/>
  </bookViews>
  <sheets>
    <sheet name="PO Non komersil" sheetId="1" r:id="rId1"/>
    <sheet name="Stok opname" sheetId="4" r:id="rId2"/>
    <sheet name="Inisiatif" sheetId="5" r:id="rId3"/>
    <sheet name="SOP" sheetId="6" r:id="rId4"/>
    <sheet name="Administrasi 2024-2026" sheetId="7" r:id="rId5"/>
  </sheets>
  <calcPr calcId="145621"/>
</workbook>
</file>

<file path=xl/calcChain.xml><?xml version="1.0" encoding="utf-8"?>
<calcChain xmlns="http://schemas.openxmlformats.org/spreadsheetml/2006/main">
  <c r="F5" i="5" l="1"/>
  <c r="F4" i="5"/>
  <c r="F190" i="4" l="1"/>
  <c r="F194" i="4" s="1"/>
  <c r="E190" i="4"/>
  <c r="F193" i="4" l="1"/>
  <c r="W122" i="1"/>
  <c r="V122" i="1"/>
  <c r="U122" i="1"/>
  <c r="T122" i="1"/>
  <c r="W121" i="1"/>
  <c r="V121" i="1"/>
  <c r="U121" i="1"/>
  <c r="T121" i="1"/>
  <c r="W120" i="1"/>
  <c r="V120" i="1"/>
  <c r="U120" i="1"/>
  <c r="T120" i="1"/>
  <c r="W119" i="1"/>
  <c r="V119" i="1"/>
  <c r="U119" i="1"/>
  <c r="T119" i="1"/>
  <c r="W118" i="1"/>
  <c r="V118" i="1"/>
  <c r="U118" i="1"/>
  <c r="T118" i="1"/>
  <c r="W117" i="1"/>
  <c r="V117" i="1"/>
  <c r="U117" i="1"/>
  <c r="T117" i="1"/>
  <c r="W116" i="1"/>
  <c r="V116" i="1"/>
  <c r="U116" i="1"/>
  <c r="T116" i="1"/>
  <c r="W115" i="1"/>
  <c r="V115" i="1"/>
  <c r="U115" i="1"/>
  <c r="T115" i="1"/>
  <c r="W114" i="1"/>
  <c r="V114" i="1"/>
  <c r="U114" i="1"/>
  <c r="T114" i="1"/>
  <c r="W113" i="1"/>
  <c r="V113" i="1"/>
  <c r="U113" i="1"/>
  <c r="T113" i="1"/>
  <c r="W112" i="1"/>
  <c r="V112" i="1"/>
  <c r="U112" i="1"/>
  <c r="T112" i="1"/>
  <c r="W111" i="1"/>
  <c r="V111" i="1"/>
  <c r="U111" i="1"/>
  <c r="T111" i="1"/>
  <c r="W110" i="1"/>
  <c r="V110" i="1"/>
  <c r="U110" i="1"/>
  <c r="T110" i="1"/>
  <c r="W109" i="1"/>
  <c r="V109" i="1"/>
  <c r="U109" i="1"/>
  <c r="T109" i="1"/>
  <c r="W108" i="1"/>
  <c r="V108" i="1"/>
  <c r="U108" i="1"/>
  <c r="T108" i="1"/>
  <c r="W107" i="1"/>
  <c r="V107" i="1"/>
  <c r="U107" i="1"/>
  <c r="T107" i="1"/>
  <c r="W106" i="1"/>
  <c r="V106" i="1"/>
  <c r="U106" i="1"/>
  <c r="T106" i="1"/>
  <c r="W105" i="1"/>
  <c r="V105" i="1"/>
  <c r="U105" i="1"/>
  <c r="T105" i="1"/>
  <c r="W104" i="1"/>
  <c r="V104" i="1"/>
  <c r="U104" i="1"/>
  <c r="T104" i="1"/>
  <c r="W103" i="1"/>
  <c r="V103" i="1"/>
  <c r="U103" i="1"/>
  <c r="T103" i="1"/>
  <c r="W102" i="1"/>
  <c r="V102" i="1"/>
  <c r="U102" i="1"/>
  <c r="T102" i="1"/>
  <c r="W101" i="1"/>
  <c r="V101" i="1"/>
  <c r="U101" i="1"/>
  <c r="T101" i="1"/>
  <c r="W100" i="1"/>
  <c r="V100" i="1"/>
  <c r="U100" i="1"/>
  <c r="T100" i="1"/>
  <c r="W99" i="1"/>
  <c r="V99" i="1"/>
  <c r="U99" i="1"/>
  <c r="T99" i="1"/>
  <c r="W98" i="1"/>
  <c r="V98" i="1"/>
  <c r="U98" i="1"/>
  <c r="T98" i="1"/>
  <c r="W97" i="1"/>
  <c r="V97" i="1"/>
  <c r="U97" i="1"/>
  <c r="T97" i="1"/>
  <c r="W96" i="1"/>
  <c r="V96" i="1"/>
  <c r="U96" i="1"/>
  <c r="T96" i="1"/>
  <c r="W95" i="1"/>
  <c r="V95" i="1"/>
  <c r="U95" i="1"/>
  <c r="T95" i="1"/>
  <c r="W94" i="1"/>
  <c r="V94" i="1"/>
  <c r="U94" i="1"/>
  <c r="T94" i="1"/>
  <c r="W93" i="1"/>
  <c r="V93" i="1"/>
  <c r="U93" i="1"/>
  <c r="T93" i="1"/>
  <c r="W92" i="1"/>
  <c r="V92" i="1"/>
  <c r="U92" i="1"/>
  <c r="T92" i="1"/>
  <c r="W91" i="1"/>
  <c r="V91" i="1"/>
  <c r="U91" i="1"/>
  <c r="T91" i="1"/>
  <c r="W90" i="1"/>
  <c r="V90" i="1"/>
  <c r="U90" i="1"/>
  <c r="T90" i="1"/>
  <c r="W89" i="1"/>
  <c r="V89" i="1"/>
  <c r="U89" i="1"/>
  <c r="T89" i="1"/>
  <c r="W88" i="1"/>
  <c r="V88" i="1"/>
  <c r="U88" i="1"/>
  <c r="T88" i="1"/>
  <c r="W87" i="1"/>
  <c r="V87" i="1"/>
  <c r="U87" i="1"/>
  <c r="T87" i="1"/>
  <c r="W86" i="1"/>
  <c r="V86" i="1"/>
  <c r="U86" i="1"/>
  <c r="T86" i="1"/>
  <c r="W85" i="1"/>
  <c r="V85" i="1"/>
  <c r="U85" i="1"/>
  <c r="T85" i="1"/>
  <c r="W84" i="1"/>
  <c r="V84" i="1"/>
  <c r="U84" i="1"/>
  <c r="T84" i="1"/>
  <c r="W83" i="1"/>
  <c r="V83" i="1"/>
  <c r="U83" i="1"/>
  <c r="T83" i="1"/>
  <c r="W82" i="1"/>
  <c r="V82" i="1"/>
  <c r="U82" i="1"/>
  <c r="T82" i="1"/>
  <c r="W81" i="1"/>
  <c r="V81" i="1"/>
  <c r="U81" i="1"/>
  <c r="T81" i="1"/>
  <c r="W80" i="1"/>
  <c r="V80" i="1"/>
  <c r="U80" i="1"/>
  <c r="T80" i="1"/>
  <c r="W79" i="1"/>
  <c r="V79" i="1"/>
  <c r="U79" i="1"/>
  <c r="T79" i="1"/>
  <c r="W78" i="1"/>
  <c r="V78" i="1"/>
  <c r="U78" i="1"/>
  <c r="T78" i="1"/>
  <c r="W77" i="1"/>
  <c r="V77" i="1"/>
  <c r="U77" i="1"/>
  <c r="T77" i="1"/>
  <c r="W76" i="1"/>
  <c r="V76" i="1"/>
  <c r="U76" i="1"/>
  <c r="T76" i="1"/>
  <c r="W75" i="1"/>
  <c r="V75" i="1"/>
  <c r="U75" i="1"/>
  <c r="T75" i="1"/>
  <c r="W74" i="1"/>
  <c r="V74" i="1"/>
  <c r="U74" i="1"/>
  <c r="T74" i="1"/>
  <c r="W73" i="1"/>
  <c r="V73" i="1"/>
  <c r="U73" i="1"/>
  <c r="T73" i="1"/>
  <c r="W72" i="1"/>
  <c r="V72" i="1"/>
  <c r="U72" i="1"/>
  <c r="T72" i="1"/>
  <c r="W71" i="1"/>
  <c r="V71" i="1"/>
  <c r="U71" i="1"/>
  <c r="T71" i="1"/>
  <c r="W70" i="1"/>
  <c r="V70" i="1"/>
  <c r="U70" i="1"/>
  <c r="T70" i="1"/>
  <c r="W69" i="1"/>
  <c r="V69" i="1"/>
  <c r="U69" i="1"/>
  <c r="T69" i="1"/>
  <c r="W68" i="1"/>
  <c r="V68" i="1"/>
  <c r="U68" i="1"/>
  <c r="T68" i="1"/>
  <c r="W67" i="1"/>
  <c r="V67" i="1"/>
  <c r="U67" i="1"/>
  <c r="T67" i="1"/>
  <c r="W66" i="1"/>
  <c r="V66" i="1"/>
  <c r="U66" i="1"/>
  <c r="T66" i="1"/>
  <c r="W65" i="1"/>
  <c r="V65" i="1"/>
  <c r="U65" i="1"/>
  <c r="T65" i="1"/>
  <c r="W64" i="1"/>
  <c r="V64" i="1"/>
  <c r="U64" i="1"/>
  <c r="T64" i="1"/>
  <c r="W63" i="1"/>
  <c r="V63" i="1"/>
  <c r="U63" i="1"/>
  <c r="T63" i="1"/>
  <c r="W62" i="1"/>
  <c r="V62" i="1"/>
  <c r="U62" i="1"/>
  <c r="T62" i="1"/>
  <c r="W61" i="1"/>
  <c r="V61" i="1"/>
  <c r="U61" i="1"/>
  <c r="T61" i="1"/>
  <c r="W60" i="1"/>
  <c r="V60" i="1"/>
  <c r="U60" i="1"/>
  <c r="T60" i="1"/>
  <c r="W59" i="1"/>
  <c r="V59" i="1"/>
  <c r="U59" i="1"/>
  <c r="T59" i="1"/>
  <c r="W58" i="1"/>
  <c r="V58" i="1"/>
  <c r="U58" i="1"/>
  <c r="T58" i="1"/>
  <c r="W57" i="1"/>
  <c r="V57" i="1"/>
  <c r="U57" i="1"/>
  <c r="T57" i="1"/>
  <c r="W56" i="1"/>
  <c r="V56" i="1"/>
  <c r="U56" i="1"/>
  <c r="T56" i="1"/>
  <c r="W55" i="1"/>
  <c r="V55" i="1"/>
  <c r="U55" i="1"/>
  <c r="T55" i="1"/>
  <c r="W54" i="1"/>
  <c r="V54" i="1"/>
  <c r="U54" i="1"/>
  <c r="T54" i="1"/>
  <c r="W53" i="1"/>
  <c r="V53" i="1"/>
  <c r="U53" i="1"/>
  <c r="T53" i="1"/>
  <c r="W52" i="1"/>
  <c r="V52" i="1"/>
  <c r="U52" i="1"/>
  <c r="T52" i="1"/>
  <c r="W51" i="1"/>
  <c r="V51" i="1"/>
  <c r="U51" i="1"/>
  <c r="T51" i="1"/>
  <c r="W50" i="1"/>
  <c r="V50" i="1"/>
  <c r="U50" i="1"/>
  <c r="T50" i="1"/>
  <c r="W49" i="1"/>
  <c r="V49" i="1"/>
  <c r="U49" i="1"/>
  <c r="T49" i="1"/>
  <c r="W48" i="1"/>
  <c r="V48" i="1"/>
  <c r="U48" i="1"/>
  <c r="T48" i="1"/>
  <c r="W47" i="1"/>
  <c r="V47" i="1"/>
  <c r="U47" i="1"/>
  <c r="T47" i="1"/>
  <c r="W46" i="1"/>
  <c r="V46" i="1"/>
  <c r="U46" i="1"/>
  <c r="T46" i="1"/>
  <c r="W45" i="1"/>
  <c r="V45" i="1"/>
  <c r="U45" i="1"/>
  <c r="T45" i="1"/>
  <c r="W44" i="1"/>
  <c r="V44" i="1"/>
  <c r="U44" i="1"/>
  <c r="T44" i="1"/>
  <c r="W43" i="1"/>
  <c r="V43" i="1"/>
  <c r="U43" i="1"/>
  <c r="T43" i="1"/>
  <c r="W42" i="1"/>
  <c r="V42" i="1"/>
  <c r="U42" i="1"/>
  <c r="T42" i="1"/>
  <c r="W41" i="1"/>
  <c r="V41" i="1"/>
  <c r="U41" i="1"/>
  <c r="T41" i="1"/>
  <c r="W40" i="1"/>
  <c r="V40" i="1"/>
  <c r="U40" i="1"/>
  <c r="T40" i="1"/>
  <c r="W39" i="1"/>
  <c r="V39" i="1"/>
  <c r="U39" i="1"/>
  <c r="T39" i="1"/>
  <c r="W38" i="1"/>
  <c r="V38" i="1"/>
  <c r="U38" i="1"/>
  <c r="T38" i="1"/>
  <c r="W37" i="1"/>
  <c r="V37" i="1"/>
  <c r="U37" i="1"/>
  <c r="T37" i="1"/>
  <c r="W36" i="1"/>
  <c r="V36" i="1"/>
  <c r="U36" i="1"/>
  <c r="T36" i="1"/>
  <c r="W35" i="1"/>
  <c r="V35" i="1"/>
  <c r="U35" i="1"/>
  <c r="T35" i="1"/>
  <c r="W34" i="1"/>
  <c r="V34" i="1"/>
  <c r="U34" i="1"/>
  <c r="T34" i="1"/>
  <c r="W33" i="1"/>
  <c r="V33" i="1"/>
  <c r="U33" i="1"/>
  <c r="T33" i="1"/>
  <c r="W32" i="1"/>
  <c r="V32" i="1"/>
  <c r="U32" i="1"/>
  <c r="T32" i="1"/>
  <c r="W31" i="1"/>
  <c r="V31" i="1"/>
  <c r="U31" i="1"/>
  <c r="T31" i="1"/>
  <c r="W30" i="1"/>
  <c r="V30" i="1"/>
  <c r="U30" i="1"/>
  <c r="T30" i="1"/>
  <c r="W29" i="1"/>
  <c r="V29" i="1"/>
  <c r="U29" i="1"/>
  <c r="T29" i="1"/>
  <c r="W28" i="1"/>
  <c r="V28" i="1"/>
  <c r="U28" i="1"/>
  <c r="T28" i="1"/>
  <c r="W27" i="1"/>
  <c r="V27" i="1"/>
  <c r="U27" i="1"/>
  <c r="T27" i="1"/>
  <c r="W26" i="1"/>
  <c r="V26" i="1"/>
  <c r="U26" i="1"/>
  <c r="T26" i="1"/>
  <c r="W25" i="1"/>
  <c r="V25" i="1"/>
  <c r="U25" i="1"/>
  <c r="T25" i="1"/>
  <c r="W24" i="1"/>
  <c r="V24" i="1"/>
  <c r="U24" i="1"/>
  <c r="T24" i="1"/>
  <c r="W23" i="1"/>
  <c r="V23" i="1"/>
  <c r="U23" i="1"/>
  <c r="T23" i="1"/>
  <c r="W22" i="1"/>
  <c r="V22" i="1"/>
  <c r="U22" i="1"/>
  <c r="T22" i="1"/>
  <c r="W21" i="1"/>
  <c r="V21" i="1"/>
  <c r="U21" i="1"/>
  <c r="T21" i="1"/>
  <c r="W20" i="1"/>
  <c r="V20" i="1"/>
  <c r="U20" i="1"/>
  <c r="T20" i="1"/>
  <c r="W19" i="1"/>
  <c r="V19" i="1"/>
  <c r="U19" i="1"/>
  <c r="T19" i="1"/>
  <c r="W18" i="1"/>
  <c r="V18" i="1"/>
  <c r="U18" i="1"/>
  <c r="T18" i="1"/>
  <c r="W17" i="1"/>
  <c r="V17" i="1"/>
  <c r="U17" i="1"/>
  <c r="T17" i="1"/>
  <c r="W16" i="1"/>
  <c r="V16" i="1"/>
  <c r="U16" i="1"/>
  <c r="T16" i="1"/>
  <c r="W15" i="1"/>
  <c r="V15" i="1"/>
  <c r="U15" i="1"/>
  <c r="T15" i="1"/>
  <c r="W14" i="1"/>
  <c r="V14" i="1"/>
  <c r="U14" i="1"/>
  <c r="T14" i="1"/>
  <c r="W13" i="1"/>
  <c r="V13" i="1"/>
  <c r="U13" i="1"/>
  <c r="T13" i="1"/>
  <c r="W12" i="1"/>
  <c r="V12" i="1"/>
  <c r="U12" i="1"/>
  <c r="T12" i="1"/>
  <c r="W11" i="1"/>
  <c r="V11" i="1"/>
  <c r="U11" i="1"/>
  <c r="T11" i="1"/>
  <c r="W10" i="1"/>
  <c r="V10" i="1"/>
  <c r="U10" i="1"/>
  <c r="T10" i="1"/>
  <c r="W9" i="1"/>
  <c r="V9" i="1"/>
  <c r="U9" i="1"/>
  <c r="T9" i="1"/>
  <c r="W8" i="1"/>
  <c r="V8" i="1"/>
  <c r="U8" i="1"/>
  <c r="T8" i="1"/>
  <c r="W7" i="1"/>
  <c r="V7" i="1"/>
  <c r="U7" i="1"/>
  <c r="T7" i="1"/>
  <c r="W6" i="1"/>
  <c r="V6" i="1"/>
  <c r="U6" i="1"/>
  <c r="T6" i="1"/>
  <c r="W5" i="1"/>
  <c r="W123" i="1" s="1"/>
  <c r="V5" i="1"/>
  <c r="V123" i="1" s="1"/>
  <c r="U5" i="1"/>
  <c r="U123" i="1" s="1"/>
  <c r="T5" i="1"/>
  <c r="T123" i="1" s="1"/>
</calcChain>
</file>

<file path=xl/sharedStrings.xml><?xml version="1.0" encoding="utf-8"?>
<sst xmlns="http://schemas.openxmlformats.org/spreadsheetml/2006/main" count="2734" uniqueCount="1373">
  <si>
    <t>002/06/04/2026</t>
  </si>
  <si>
    <t>Dhanny</t>
  </si>
  <si>
    <t>IT</t>
  </si>
  <si>
    <t>Monitor PC HDMI</t>
  </si>
  <si>
    <t>Monitor PC HDMI FHD</t>
  </si>
  <si>
    <t>Online</t>
  </si>
  <si>
    <t>MSI Authorized Store Jakarta, shopee</t>
  </si>
  <si>
    <t xml:space="preserve">Ok. Barang sesuai </t>
  </si>
  <si>
    <t>TP Link TL-SG1016D</t>
  </si>
  <si>
    <t>Switch Hub Server 16 Port</t>
  </si>
  <si>
    <t>TP-LINK TechLife, shopee</t>
  </si>
  <si>
    <t>Ok. Port 16</t>
  </si>
  <si>
    <t>TP Link TL-SG1024D</t>
  </si>
  <si>
    <t>Switch Hub Server 24 Port</t>
  </si>
  <si>
    <t>IT-Shop Official Shop, shopee</t>
  </si>
  <si>
    <t xml:space="preserve">Ok. Port 24 </t>
  </si>
  <si>
    <t>001/04/04/2026</t>
  </si>
  <si>
    <t>Nita</t>
  </si>
  <si>
    <t>GA</t>
  </si>
  <si>
    <t>Polish Pledge</t>
  </si>
  <si>
    <t>170 ml</t>
  </si>
  <si>
    <t>Kulakan Variasi Murah, Shopee</t>
  </si>
  <si>
    <t>OB</t>
  </si>
  <si>
    <t>Ok. 170 ml</t>
  </si>
  <si>
    <t>003/08/04/2026</t>
  </si>
  <si>
    <t xml:space="preserve">Keset </t>
  </si>
  <si>
    <t>Keset mushola dan loby</t>
  </si>
  <si>
    <t xml:space="preserve">Online </t>
  </si>
  <si>
    <t xml:space="preserve">Wodejia.id, shopee </t>
  </si>
  <si>
    <t xml:space="preserve">Ok. Total 3, bahan antislip </t>
  </si>
  <si>
    <t>Keset pantry</t>
  </si>
  <si>
    <t xml:space="preserve">Home Manner Official Shop, Shopee </t>
  </si>
  <si>
    <t>Ok, keset 2 buah</t>
  </si>
  <si>
    <t>001/07/04/2026</t>
  </si>
  <si>
    <t>Lampu Dop Engkel</t>
  </si>
  <si>
    <t>24 volt</t>
  </si>
  <si>
    <t>Hikari88, Shopee</t>
  </si>
  <si>
    <t>Ok. Pas 20, tidak ada yang putus dan pecah</t>
  </si>
  <si>
    <t>004/08/04/2026</t>
  </si>
  <si>
    <t>Refill Kain Pel</t>
  </si>
  <si>
    <t>warna biru</t>
  </si>
  <si>
    <t>Aghnia_socks, Shopee</t>
  </si>
  <si>
    <t>Ok. Warna biru</t>
  </si>
  <si>
    <t>001/06/04/2026</t>
  </si>
  <si>
    <t>Refil Stella Otomatis</t>
  </si>
  <si>
    <t>vheeoktaviani, Shopee</t>
  </si>
  <si>
    <t>Stella refill balinese dan greenfantasy</t>
  </si>
  <si>
    <t>003/07/04/2026</t>
  </si>
  <si>
    <t>Stella refill sakura dan greenfantasy</t>
  </si>
  <si>
    <t>002/07/04/2026</t>
  </si>
  <si>
    <t>Stop Kran</t>
  </si>
  <si>
    <t>Sambungan Toilet/Shower/Wastafel</t>
  </si>
  <si>
    <t>BUN Signature, shopee</t>
  </si>
  <si>
    <t>Ok. 2 pcs normal</t>
  </si>
  <si>
    <t>001/08/04/2026</t>
  </si>
  <si>
    <t xml:space="preserve">Nanda </t>
  </si>
  <si>
    <t>Sales</t>
  </si>
  <si>
    <t>Stempel Trodat</t>
  </si>
  <si>
    <t>Direksi Karisma</t>
  </si>
  <si>
    <t>Offline</t>
  </si>
  <si>
    <t>Ryo Digital Printing</t>
  </si>
  <si>
    <t>Ok. Stempel berfungsi</t>
  </si>
  <si>
    <t>002/10/04/2026</t>
  </si>
  <si>
    <t>Galon Air</t>
  </si>
  <si>
    <t>Galon air untuk direksi</t>
  </si>
  <si>
    <t>Depo Air Minum</t>
  </si>
  <si>
    <t>Ok. Pas 2 galon</t>
  </si>
  <si>
    <t>003/10/04/2026</t>
  </si>
  <si>
    <t>Air Mineral 550 ml</t>
  </si>
  <si>
    <t>Air mineral untuk direksi</t>
  </si>
  <si>
    <t>Ok. Pas 2 slop</t>
  </si>
  <si>
    <t>005/08/04/2026</t>
  </si>
  <si>
    <t>Obat Demacolin</t>
  </si>
  <si>
    <t>Obat Batuk dan Flu</t>
  </si>
  <si>
    <t>Sumber Abadi Jember</t>
  </si>
  <si>
    <t>HRD</t>
  </si>
  <si>
    <t>Ok. 5 strip</t>
  </si>
  <si>
    <t>006/08/04/2026</t>
  </si>
  <si>
    <t>Obat Paracetamol</t>
  </si>
  <si>
    <t>Obat Anti Nyeri (Demam)</t>
  </si>
  <si>
    <t>Ok. 2 strip</t>
  </si>
  <si>
    <t>004/07/04/2026</t>
  </si>
  <si>
    <t>Lem Red</t>
  </si>
  <si>
    <t>Untuk Kendaraan Q3/P-8190-UG</t>
  </si>
  <si>
    <t>Wijaya Motor Jember</t>
  </si>
  <si>
    <t>Mekanik</t>
  </si>
  <si>
    <t>Dihandle GA</t>
  </si>
  <si>
    <t>Packing AS Roda</t>
  </si>
  <si>
    <t>Kampas Rem Belakang</t>
  </si>
  <si>
    <t>002/08/04/2026</t>
  </si>
  <si>
    <t>Oli Futura</t>
  </si>
  <si>
    <t xml:space="preserve"> Castrol GTX 10/40</t>
  </si>
  <si>
    <t>Dua Jaya Jember</t>
  </si>
  <si>
    <t>008/08/04/2026</t>
  </si>
  <si>
    <t>Metal Duduk</t>
  </si>
  <si>
    <t>Untuk Kendaraan K27/P-9904-UG</t>
  </si>
  <si>
    <t>Hasil Motor Jember</t>
  </si>
  <si>
    <t>Piston</t>
  </si>
  <si>
    <t>Ring Piston</t>
  </si>
  <si>
    <t>Boring</t>
  </si>
  <si>
    <t>Lem Gasket</t>
  </si>
  <si>
    <t>007/08/04/2026</t>
  </si>
  <si>
    <t>Metal Jalan</t>
  </si>
  <si>
    <t>Pack Silinder Kop, Pak Dek Klep, Pack Kalter, Oring, Mur, Baut</t>
  </si>
  <si>
    <t>Obat Ibuprofen</t>
  </si>
  <si>
    <t>Obat Anti Nyeri</t>
  </si>
  <si>
    <t>Pastii8, Shopee</t>
  </si>
  <si>
    <t>Ok. 2 strip. Exp 12/27</t>
  </si>
  <si>
    <t>001/14/04/2026</t>
  </si>
  <si>
    <t>Spidol Maker Jumbo</t>
  </si>
  <si>
    <t>Biru</t>
  </si>
  <si>
    <t>Agung Wardana Jember</t>
  </si>
  <si>
    <t>Restock</t>
  </si>
  <si>
    <t>Ok. 2 buah warna biru</t>
  </si>
  <si>
    <t>Hitam</t>
  </si>
  <si>
    <t>ATK Jaya Store, Shopee</t>
  </si>
  <si>
    <t>Ok. 2 buah warna hitam</t>
  </si>
  <si>
    <t>001/11/04/2026</t>
  </si>
  <si>
    <t>Karet Slebor</t>
  </si>
  <si>
    <t>untuk kendaraan Q2/P-8199-UG</t>
  </si>
  <si>
    <t>002/14/04/2026</t>
  </si>
  <si>
    <t>Lady</t>
  </si>
  <si>
    <t>Purchasing</t>
  </si>
  <si>
    <t>Baterai</t>
  </si>
  <si>
    <t>AAA</t>
  </si>
  <si>
    <t>Macan Tertawa, Shopee</t>
  </si>
  <si>
    <t xml:space="preserve">Ok. 12 pcs </t>
  </si>
  <si>
    <t>Sabun Ekonomi</t>
  </si>
  <si>
    <t>1500 ml Jeruk Nipis</t>
  </si>
  <si>
    <t>Sinar Berkah99, Shopee</t>
  </si>
  <si>
    <t>Isi Bulpen</t>
  </si>
  <si>
    <t>Merah</t>
  </si>
  <si>
    <t>ATK123.Surabaya, Shopee</t>
  </si>
  <si>
    <t>Ok. 2 pack (24 pcs)</t>
  </si>
  <si>
    <t>Kresek</t>
  </si>
  <si>
    <t>24 cm</t>
  </si>
  <si>
    <t>Berkah Plastik Lengkap, Shopee</t>
  </si>
  <si>
    <t>Ok. Lengkap 10 pack</t>
  </si>
  <si>
    <t>Kecil (15 cm)</t>
  </si>
  <si>
    <t>DMAplastik, Shopee</t>
  </si>
  <si>
    <t>Ok. 5 pack</t>
  </si>
  <si>
    <t>Lampu Hannocs</t>
  </si>
  <si>
    <t>9 Watt Sonic</t>
  </si>
  <si>
    <t>Hannochs Official Shop, Shopee</t>
  </si>
  <si>
    <t>Ok. 10 pcs aman</t>
  </si>
  <si>
    <t>Paper Fastener</t>
  </si>
  <si>
    <t>Paper Fastener V-Tec (50 Sets)</t>
  </si>
  <si>
    <t>Whe Stationery, Shopee</t>
  </si>
  <si>
    <t>Ok. 5 pack putih</t>
  </si>
  <si>
    <t>55 cm</t>
  </si>
  <si>
    <t>Aneka Packingndo, Shopee</t>
  </si>
  <si>
    <t>Ok. 10 pack</t>
  </si>
  <si>
    <t>001/13/04/2026</t>
  </si>
  <si>
    <t>Tie Rod</t>
  </si>
  <si>
    <t>Untuk Kendaraan K45/P-8801-UH</t>
  </si>
  <si>
    <t>003/15/04/2026</t>
  </si>
  <si>
    <t xml:space="preserve">Mouse </t>
  </si>
  <si>
    <t>Logitech - M90</t>
  </si>
  <si>
    <t>Retailsolutionbec, Shopee</t>
  </si>
  <si>
    <t>Ok. Merk sesuai</t>
  </si>
  <si>
    <t>001/15/04/2026</t>
  </si>
  <si>
    <t>Kunci Jendela</t>
  </si>
  <si>
    <t>Untuk Ruang IT (Grendel Jendela)</t>
  </si>
  <si>
    <t>Duta Murah, Tokopedia</t>
  </si>
  <si>
    <t>002/20/04/2026</t>
  </si>
  <si>
    <t xml:space="preserve">Paku </t>
  </si>
  <si>
    <t>Paku cor untuk banner</t>
  </si>
  <si>
    <t>TB Berkat Jaya Jember</t>
  </si>
  <si>
    <t>Ok. 1 ons</t>
  </si>
  <si>
    <t>003/14/04/2026</t>
  </si>
  <si>
    <t>Kertas Flipchart</t>
  </si>
  <si>
    <t>untuk ruang meeting lantai 1</t>
  </si>
  <si>
    <t>BINTANGSUKSESATK, Shopee</t>
  </si>
  <si>
    <t>Ok. 4 pcs (per pcs 25 lbr)</t>
  </si>
  <si>
    <t>002/15/02/2026</t>
  </si>
  <si>
    <t>Ban Original Aeolus</t>
  </si>
  <si>
    <t>untuk kendaraan Q12/P-8388-UG</t>
  </si>
  <si>
    <t>Sumber Kilat Jember</t>
  </si>
  <si>
    <t>002/17/04/2026</t>
  </si>
  <si>
    <t>Oli Transmisi</t>
  </si>
  <si>
    <t>Mesran Rored HDA 90</t>
  </si>
  <si>
    <t>PT Harlindo Sejahtera Jember</t>
  </si>
  <si>
    <t>Oli Gardan</t>
  </si>
  <si>
    <t>Mesran HDA 140</t>
  </si>
  <si>
    <t>Filter Solar Atas Untuk Euro 4</t>
  </si>
  <si>
    <t>KM006101A1</t>
  </si>
  <si>
    <t>Filter Solar Bawah Untuk Euro 4</t>
  </si>
  <si>
    <t>KM006102A1</t>
  </si>
  <si>
    <t>Filter Oli Kendaraan</t>
  </si>
  <si>
    <t>ME013307</t>
  </si>
  <si>
    <t>001/16/04/2026</t>
  </si>
  <si>
    <t>Karet Stoper</t>
  </si>
  <si>
    <t>untuk kendaraan Q7/P-8178-UG</t>
  </si>
  <si>
    <t>001/18/04/2026</t>
  </si>
  <si>
    <t>Ban Original Gajah Tunggal</t>
  </si>
  <si>
    <t xml:space="preserve">Mekanik </t>
  </si>
  <si>
    <t>006/17/04/2026</t>
  </si>
  <si>
    <t>Cat Pylox</t>
  </si>
  <si>
    <t>Untuk Cat pintu Emergency E-2 (Cat Diton)</t>
  </si>
  <si>
    <t>Toko Cat Tegal Makmur Jember</t>
  </si>
  <si>
    <t>Diberikan ke pos security untuk digunakan hari minggu</t>
  </si>
  <si>
    <t>005/17/04/2026</t>
  </si>
  <si>
    <t>untuk kendaran Q15/P-8379-UG</t>
  </si>
  <si>
    <t>004/17/04/2026</t>
  </si>
  <si>
    <t>Untuk kendaraan Q15/P-8379-UG</t>
  </si>
  <si>
    <t>003/17/04/2026</t>
  </si>
  <si>
    <t>untuk kendaraan K78/P-8092-UG</t>
  </si>
  <si>
    <t>006/18/04/2026</t>
  </si>
  <si>
    <t>Alif</t>
  </si>
  <si>
    <t>Logistik</t>
  </si>
  <si>
    <t xml:space="preserve">Lem Rajawali </t>
  </si>
  <si>
    <t>untuk karton paket ulat</t>
  </si>
  <si>
    <t>Waringengemilang, Shopee</t>
  </si>
  <si>
    <t>Ok. 1 kg aman tanpa bocor</t>
  </si>
  <si>
    <t>001/20/04/2026</t>
  </si>
  <si>
    <t>Gembok</t>
  </si>
  <si>
    <t>untuk driver Baidowi</t>
  </si>
  <si>
    <t>Vinsky Sanitary</t>
  </si>
  <si>
    <t>Ok. 6 pcs</t>
  </si>
  <si>
    <t>005/18/04/2026</t>
  </si>
  <si>
    <t>Lakban</t>
  </si>
  <si>
    <t>Fragile</t>
  </si>
  <si>
    <t>Mbak_hilla27, Shopee</t>
  </si>
  <si>
    <t>004/18/04/2026</t>
  </si>
  <si>
    <t>Wiper Kaca Depan</t>
  </si>
  <si>
    <t>Pitingan Lampu Doble</t>
  </si>
  <si>
    <t>003/18/04/2026</t>
  </si>
  <si>
    <t>Klaher Roda</t>
  </si>
  <si>
    <t>002/18/04/2026</t>
  </si>
  <si>
    <t>Banner</t>
  </si>
  <si>
    <t>60 x 90 cm</t>
  </si>
  <si>
    <t>Langsung diberikan HRD</t>
  </si>
  <si>
    <t>002/21/04/2026</t>
  </si>
  <si>
    <t>Ika</t>
  </si>
  <si>
    <t>Keuangan</t>
  </si>
  <si>
    <t xml:space="preserve">Isolasi </t>
  </si>
  <si>
    <t>Kecil Lubang Besar</t>
  </si>
  <si>
    <t>001/21/04/2026</t>
  </si>
  <si>
    <t>Mouse Komputer</t>
  </si>
  <si>
    <t>DBklik Official Store, Shopee</t>
  </si>
  <si>
    <t>006/20/04/2026</t>
  </si>
  <si>
    <t>untuk kendaraan K25/P-9805-UG</t>
  </si>
  <si>
    <t>005/20/04/2026</t>
  </si>
  <si>
    <t>untuk kendaraan K99/P-8622-UG</t>
  </si>
  <si>
    <t>004/20/04/2026</t>
  </si>
  <si>
    <t>untuk kendaraan Q9/P-8271-UG</t>
  </si>
  <si>
    <t>003/20/04/2026</t>
  </si>
  <si>
    <t>Serok Ikan</t>
  </si>
  <si>
    <t>Untuk bersihkan sampah tandon kolam</t>
  </si>
  <si>
    <t>Rodma Store, Shopee</t>
  </si>
  <si>
    <t>Ok. Lebar jaring kecil warna hitam</t>
  </si>
  <si>
    <t>002/22/04/2026</t>
  </si>
  <si>
    <t>Cat Besi Emco</t>
  </si>
  <si>
    <t>EMCO Official - Surabaya, Shopee</t>
  </si>
  <si>
    <t>Ok. Varian red chilli 1 kg</t>
  </si>
  <si>
    <t>Thiner</t>
  </si>
  <si>
    <t>1L</t>
  </si>
  <si>
    <t>Ok. 2 pcs, kemasan aman</t>
  </si>
  <si>
    <t>Kuas</t>
  </si>
  <si>
    <t>2.5 Dim</t>
  </si>
  <si>
    <t>Toko Bangunan ll Gudang Kunci, Shopee</t>
  </si>
  <si>
    <t>Ok. 2 pcs kuas 2,5"</t>
  </si>
  <si>
    <t>005/21/04/2026</t>
  </si>
  <si>
    <t>Cutter</t>
  </si>
  <si>
    <t>untuk gd eceran</t>
  </si>
  <si>
    <t>Ast Official_Store, Shopee</t>
  </si>
  <si>
    <t xml:space="preserve">Ok. Cutter besi </t>
  </si>
  <si>
    <t>001/22/04/2026</t>
  </si>
  <si>
    <t xml:space="preserve">Purchasing </t>
  </si>
  <si>
    <t>Vixal</t>
  </si>
  <si>
    <t>750 ml Lemon</t>
  </si>
  <si>
    <t>Unilever Indonesia Official Shop, Shopee</t>
  </si>
  <si>
    <t>Barang bocor dan tumpah</t>
  </si>
  <si>
    <t>Tinta EPSON 003</t>
  </si>
  <si>
    <t>CYAN</t>
  </si>
  <si>
    <t>Lapak.Printer, Shopee</t>
  </si>
  <si>
    <t>Ok. Barang dan jumlah sesuai</t>
  </si>
  <si>
    <t>MAGENTA</t>
  </si>
  <si>
    <t>YELLOW</t>
  </si>
  <si>
    <t>Amplop</t>
  </si>
  <si>
    <t>Panjang Non Perekat</t>
  </si>
  <si>
    <t>Ok. 50 kotak</t>
  </si>
  <si>
    <t>Tinta Epson 664</t>
  </si>
  <si>
    <t>Media_Printer, Shopee</t>
  </si>
  <si>
    <t>Ok. 2 pcs</t>
  </si>
  <si>
    <t>Batrai</t>
  </si>
  <si>
    <t>Kecil kalkulaor</t>
  </si>
  <si>
    <t>Rajawali Pedaringan Solo, Shopee</t>
  </si>
  <si>
    <t>Dikirim 2 pcs</t>
  </si>
  <si>
    <t>001/23/04/2026</t>
  </si>
  <si>
    <t>AA1 (Baterai jam dinding)</t>
  </si>
  <si>
    <t>Hananagaleri, Shopee</t>
  </si>
  <si>
    <t>Ok. Batrai ABC 12 pcs</t>
  </si>
  <si>
    <t>003/21/04/2026</t>
  </si>
  <si>
    <t>untuk kendaraan K59/P-8060-UG</t>
  </si>
  <si>
    <t>001/17/04/2026</t>
  </si>
  <si>
    <t>Kunci Pas Wastafel</t>
  </si>
  <si>
    <t>Untuk Peralatan Ganti Kran Air Wastafel</t>
  </si>
  <si>
    <t>Atdiva Official Store, Shopee</t>
  </si>
  <si>
    <t>Ok. Sudah sesuai</t>
  </si>
  <si>
    <t>004/22/04/2026</t>
  </si>
  <si>
    <t>Water Coolant</t>
  </si>
  <si>
    <t>untuk All Kendaraan</t>
  </si>
  <si>
    <t>003/22/04/2026</t>
  </si>
  <si>
    <t>Master Kopling Bawah</t>
  </si>
  <si>
    <t>untuk kendaraan K89/P-8694-UG</t>
  </si>
  <si>
    <t>005/22/04/2026</t>
  </si>
  <si>
    <t>Flayer</t>
  </si>
  <si>
    <t>Untuk di taruh di kendaraan Truck</t>
  </si>
  <si>
    <t>Soerabaja Hayam Wuruk Jember</t>
  </si>
  <si>
    <t>Ok. 30 pcs</t>
  </si>
  <si>
    <t>004/24/04/2026</t>
  </si>
  <si>
    <t>Adaptor 2A</t>
  </si>
  <si>
    <t>Adaptor Output : 5V - 2A</t>
  </si>
  <si>
    <t>Captain Network, Shopee</t>
  </si>
  <si>
    <t>Ok. Merk dan jumlah sesuai</t>
  </si>
  <si>
    <t>Adaptor 12V - 2A</t>
  </si>
  <si>
    <t>Universal Adaptor</t>
  </si>
  <si>
    <t>CCTV Indoor</t>
  </si>
  <si>
    <t>CCTV Indoor Ezviz</t>
  </si>
  <si>
    <t>Multi Komputer, Shopee</t>
  </si>
  <si>
    <t>Ok. Jumlah 12 pcs</t>
  </si>
  <si>
    <t>CCTV Outdoor</t>
  </si>
  <si>
    <t>CCTV Outdoor Ezviz</t>
  </si>
  <si>
    <t>TokoNetworking Official Store, Shopee</t>
  </si>
  <si>
    <t>Tang Crimping</t>
  </si>
  <si>
    <t>AMPCom - Rj45 Passthrough</t>
  </si>
  <si>
    <t>PixelLink Official Store, Shopee</t>
  </si>
  <si>
    <t>Cutter Crimping</t>
  </si>
  <si>
    <t>Cutter tang crimping passthrough</t>
  </si>
  <si>
    <t>AHMMUARIEF NETWORK, Shopee</t>
  </si>
  <si>
    <t>Durabus 3/4</t>
  </si>
  <si>
    <t>Duradus untuk cover outdoor ukuran 3/4</t>
  </si>
  <si>
    <t>Safety Abadi, Shopee</t>
  </si>
  <si>
    <t>Duradus Jumbo</t>
  </si>
  <si>
    <t>Duradus untuk cover outdoor ukuran jumbo</t>
  </si>
  <si>
    <t>DUNIA LAMPU OFC, Shopee</t>
  </si>
  <si>
    <t>001/24/04/2026</t>
  </si>
  <si>
    <t>002/24/04/2026</t>
  </si>
  <si>
    <t>Lem</t>
  </si>
  <si>
    <t>Lem Stick</t>
  </si>
  <si>
    <t>Bos Bul89, Shopee</t>
  </si>
  <si>
    <t>Ok. Sesuai 25 gram 5 pcs</t>
  </si>
  <si>
    <t>003/24/04/2026</t>
  </si>
  <si>
    <t>Metal Bulan</t>
  </si>
  <si>
    <t>Kaos</t>
  </si>
  <si>
    <t>Promosi</t>
  </si>
  <si>
    <t>002/25/04/2026</t>
  </si>
  <si>
    <t>Neurobion Forte</t>
  </si>
  <si>
    <t>untuk vitamin hewan peliharaan</t>
  </si>
  <si>
    <t>Halodoc Official Shop, Shopee</t>
  </si>
  <si>
    <t>Ok. 1 pcs neurobion</t>
  </si>
  <si>
    <t>007/28/04/2026</t>
  </si>
  <si>
    <t>Filter Oli</t>
  </si>
  <si>
    <t>O/F 15400-RK9 JAZZ HONDA</t>
  </si>
  <si>
    <t>Oli Mesin</t>
  </si>
  <si>
    <t>CASTROL MAGNATEC 6X4 D/LOCK</t>
  </si>
  <si>
    <t>001/27/04/2026</t>
  </si>
  <si>
    <t>Kartu Telkomsel</t>
  </si>
  <si>
    <t>Untuk online shop &amp; purchasing</t>
  </si>
  <si>
    <t>Data Store Surabaya, Shopee</t>
  </si>
  <si>
    <t>Ok. 2 pcs kartu</t>
  </si>
  <si>
    <t>001/25/04/2026</t>
  </si>
  <si>
    <t>Handle Kursi</t>
  </si>
  <si>
    <t>Untuk Handle Kursi ruang Meeting</t>
  </si>
  <si>
    <t>JMO Sore, Shopee</t>
  </si>
  <si>
    <t>Ok. 1 set (2 pcs)</t>
  </si>
  <si>
    <t>001/29/04/2026</t>
  </si>
  <si>
    <t>Mur Baut</t>
  </si>
  <si>
    <t>untuk trolley</t>
  </si>
  <si>
    <t>Istana Baut Jember</t>
  </si>
  <si>
    <t>Dihandle logistik</t>
  </si>
  <si>
    <t>005/28/04/2026</t>
  </si>
  <si>
    <t>It</t>
  </si>
  <si>
    <t>Ethernet Media Converter</t>
  </si>
  <si>
    <t>Fiber Optic Media Converter (HTB GS 03)</t>
  </si>
  <si>
    <t xml:space="preserve">Ok. 2 pcs                                               </t>
  </si>
  <si>
    <t>004/28/04/2026</t>
  </si>
  <si>
    <t>Fixcomart Official Shop, Shopee</t>
  </si>
  <si>
    <t>Datang hanya 7 pcs. Pengembalian dana 13 pcs</t>
  </si>
  <si>
    <t>003/28/04/2026</t>
  </si>
  <si>
    <t>Rantai Biji Lada</t>
  </si>
  <si>
    <t>Untuk HRD</t>
  </si>
  <si>
    <t>Omahtassouvenir, Shopee</t>
  </si>
  <si>
    <t>002/27/04/2026</t>
  </si>
  <si>
    <t>Sticker Transparan</t>
  </si>
  <si>
    <t>Untuk segel inner box Paket Ulat dan Paket 3 Jurus</t>
  </si>
  <si>
    <t>GokilPack, Shopee</t>
  </si>
  <si>
    <t xml:space="preserve">Promosi </t>
  </si>
  <si>
    <t>Ok. 5400 pcs</t>
  </si>
  <si>
    <t>002/29/04/2026</t>
  </si>
  <si>
    <t>Branding Box Truck</t>
  </si>
  <si>
    <t>Untuk kendaraan truk FE74N</t>
  </si>
  <si>
    <t>Multiprint Jember</t>
  </si>
  <si>
    <t>Ok. Sudah dipasang</t>
  </si>
  <si>
    <t>003/29/04/2026</t>
  </si>
  <si>
    <t>004/29/04/2026</t>
  </si>
  <si>
    <t>Obeng Elektrik Toolkit</t>
  </si>
  <si>
    <t>Toolkit eletrik untuk maintenance</t>
  </si>
  <si>
    <t>Isku Official Shop, Shopee</t>
  </si>
  <si>
    <t>Ok. Merk isku</t>
  </si>
  <si>
    <t>001/30/04/2026</t>
  </si>
  <si>
    <t>Kwitansi</t>
  </si>
  <si>
    <t>untuk HRD ( Bu Riza)</t>
  </si>
  <si>
    <t>Penstore.id Office, Shopee</t>
  </si>
  <si>
    <t>001/02/05/2026</t>
  </si>
  <si>
    <t>Keset</t>
  </si>
  <si>
    <t>untuk depan dan luar lobi, dan untuk musholla (keset cadangan)</t>
  </si>
  <si>
    <t>Sieratops, Shopee
Graciasukseslestari, Shopee</t>
  </si>
  <si>
    <t>Ok. 1 pcs karpet keriting 3 M</t>
  </si>
  <si>
    <t>002/30/04/2026</t>
  </si>
  <si>
    <t>Release Bearing</t>
  </si>
  <si>
    <t>untuk perbaikan kampas kopling Q2/P-8199-UG</t>
  </si>
  <si>
    <t>Kampas Kopling</t>
  </si>
  <si>
    <t>KARISMA</t>
  </si>
  <si>
    <t>Rekap Laporan Pembelian PO Non Komersil</t>
  </si>
  <si>
    <t>NO</t>
  </si>
  <si>
    <t>NO PO</t>
  </si>
  <si>
    <t>Tanggal Transaksi</t>
  </si>
  <si>
    <t>PIC</t>
  </si>
  <si>
    <t>Departemen</t>
  </si>
  <si>
    <t>Nama Barang</t>
  </si>
  <si>
    <t>Deskripsi</t>
  </si>
  <si>
    <t>Qty</t>
  </si>
  <si>
    <t>Harga Satuan (Rp)</t>
  </si>
  <si>
    <t>Total Harga (Rp)</t>
  </si>
  <si>
    <t>Harga CO (Rp)</t>
  </si>
  <si>
    <t>Pembelian</t>
  </si>
  <si>
    <t>Toko</t>
  </si>
  <si>
    <t>Kategori</t>
  </si>
  <si>
    <t xml:space="preserve">Request </t>
  </si>
  <si>
    <t>Arrived</t>
  </si>
  <si>
    <t>Review</t>
  </si>
  <si>
    <t>Tgl Diorderkan</t>
  </si>
  <si>
    <t>3 Vendor (Kadep)</t>
  </si>
  <si>
    <t>DIR</t>
  </si>
  <si>
    <t>Buy</t>
  </si>
  <si>
    <t>PO Full</t>
  </si>
  <si>
    <t>Kadep</t>
  </si>
  <si>
    <t>Periode April 2026</t>
  </si>
  <si>
    <t xml:space="preserve">Timing </t>
  </si>
  <si>
    <t>FORM STOCK COUNT BARANG NON KOMERSIL</t>
  </si>
  <si>
    <t xml:space="preserve">Bulan </t>
  </si>
  <si>
    <t>: April 2026</t>
  </si>
  <si>
    <t xml:space="preserve">Pelaksana </t>
  </si>
  <si>
    <t>: Admin PO Non Komersil</t>
  </si>
  <si>
    <t>Tanggal : 30 April 2026</t>
  </si>
  <si>
    <t>Storage</t>
  </si>
  <si>
    <t xml:space="preserve">Stock </t>
  </si>
  <si>
    <t>Stock Fisik</t>
  </si>
  <si>
    <t xml:space="preserve">Selisih </t>
  </si>
  <si>
    <t>Satuan</t>
  </si>
  <si>
    <t>Keterangan</t>
  </si>
  <si>
    <t>-</t>
  </si>
  <si>
    <t>Pcs</t>
  </si>
  <si>
    <t xml:space="preserve">Ekonomi </t>
  </si>
  <si>
    <t>Pack</t>
  </si>
  <si>
    <t>Isolasi</t>
  </si>
  <si>
    <t xml:space="preserve">Kertas </t>
  </si>
  <si>
    <t>Flipcart</t>
  </si>
  <si>
    <t>lembar</t>
  </si>
  <si>
    <t xml:space="preserve">Kresek </t>
  </si>
  <si>
    <t>Kecil</t>
  </si>
  <si>
    <t xml:space="preserve">Lampu Hannochs </t>
  </si>
  <si>
    <t xml:space="preserve">Paper Fastener </t>
  </si>
  <si>
    <t>Pita Printer</t>
  </si>
  <si>
    <t>Yellow</t>
  </si>
  <si>
    <t>Btl</t>
  </si>
  <si>
    <t>Cyan</t>
  </si>
  <si>
    <t>Magenta</t>
  </si>
  <si>
    <t>Paper Bag</t>
  </si>
  <si>
    <t>26 x 36 x 8 cm</t>
  </si>
  <si>
    <t>ARSIP</t>
  </si>
  <si>
    <t>Nota Kasbon Driver</t>
  </si>
  <si>
    <t xml:space="preserve">Nota Tanda Terima </t>
  </si>
  <si>
    <t xml:space="preserve">Tanda Terima </t>
  </si>
  <si>
    <t xml:space="preserve">Nota Kasbon </t>
  </si>
  <si>
    <t>Umum</t>
  </si>
  <si>
    <t>bendel</t>
  </si>
  <si>
    <t>Nota PH</t>
  </si>
  <si>
    <t>Bukti Potongan Harga</t>
  </si>
  <si>
    <t>Nota Bukti Perincian / Pengiriman</t>
  </si>
  <si>
    <t>Rincian Biaya Driver</t>
  </si>
  <si>
    <t>Isi Bulpen Cetekan</t>
  </si>
  <si>
    <t>ATK 1</t>
  </si>
  <si>
    <t>Buku Hardcover</t>
  </si>
  <si>
    <t>1/2 Folio</t>
  </si>
  <si>
    <t>Pensil</t>
  </si>
  <si>
    <t>Kayu Faber Castel</t>
  </si>
  <si>
    <t>Rautan</t>
  </si>
  <si>
    <t>Putar / Mekanik</t>
  </si>
  <si>
    <t>Paperclip</t>
  </si>
  <si>
    <t>Trigonal No. 3 (25mm)</t>
  </si>
  <si>
    <t>kotak</t>
  </si>
  <si>
    <t>Lampu UV</t>
  </si>
  <si>
    <t>untuk uang</t>
  </si>
  <si>
    <t>Refil Spidol Boardmarker</t>
  </si>
  <si>
    <t>Lampu Hannochs</t>
  </si>
  <si>
    <t>Pipih 15 watt</t>
  </si>
  <si>
    <t>Charger AAA</t>
  </si>
  <si>
    <t xml:space="preserve">Benang Jahit Putih </t>
  </si>
  <si>
    <t>Roll</t>
  </si>
  <si>
    <t>Buku Tulis</t>
  </si>
  <si>
    <t xml:space="preserve">Ukuran Folio </t>
  </si>
  <si>
    <t>Bulpen</t>
  </si>
  <si>
    <t>Bulpen Cetekan</t>
  </si>
  <si>
    <t>Bulpen Hitam Cetekan</t>
  </si>
  <si>
    <t>CDR</t>
  </si>
  <si>
    <t>Disket</t>
  </si>
  <si>
    <t>Gantungan Kunci</t>
  </si>
  <si>
    <t>Isi Staples</t>
  </si>
  <si>
    <t>No. 3</t>
  </si>
  <si>
    <t>No. 10</t>
  </si>
  <si>
    <t>No. 1215</t>
  </si>
  <si>
    <t>Isi Pensil</t>
  </si>
  <si>
    <t>Lead 0.5</t>
  </si>
  <si>
    <t>Jarum Karung</t>
  </si>
  <si>
    <t>Kalkulator</t>
  </si>
  <si>
    <t>Citizen</t>
  </si>
  <si>
    <t>Kartu Stok</t>
  </si>
  <si>
    <t>Kuning</t>
  </si>
  <si>
    <t>Stiker</t>
  </si>
  <si>
    <t>lbr</t>
  </si>
  <si>
    <t>Loose Leaf B5</t>
  </si>
  <si>
    <t>Loose Leaf A5</t>
  </si>
  <si>
    <t>Kertas Label</t>
  </si>
  <si>
    <t>No. 121 (38x76mm)</t>
  </si>
  <si>
    <t>Karbon</t>
  </si>
  <si>
    <t>4 dim</t>
  </si>
  <si>
    <t>Pipih 12 Watt</t>
  </si>
  <si>
    <t>25 Watt Sonic</t>
  </si>
  <si>
    <t>Lampu Sorot</t>
  </si>
  <si>
    <t>Lampu Sorot 50 Watt, Cahaya Putih.</t>
  </si>
  <si>
    <t>Lampu Ulir</t>
  </si>
  <si>
    <t>Masker</t>
  </si>
  <si>
    <t>Trigonal No.1 (28mm)</t>
  </si>
  <si>
    <t>Penghapus</t>
  </si>
  <si>
    <t>Faber Castel</t>
  </si>
  <si>
    <t xml:space="preserve">Pensil Mekanik </t>
  </si>
  <si>
    <t>Faber Castell</t>
  </si>
  <si>
    <t>Penggaris</t>
  </si>
  <si>
    <t>Penggaris Panjang 30 cm</t>
  </si>
  <si>
    <t>Plong</t>
  </si>
  <si>
    <t>Target Durable Punch</t>
  </si>
  <si>
    <t>Refil Spidol Permanent Marker</t>
  </si>
  <si>
    <t>Sarung Tangan</t>
  </si>
  <si>
    <t>Latex Hitam</t>
  </si>
  <si>
    <t>Spidol Board Marker</t>
  </si>
  <si>
    <t>Spidol Permanent Marker</t>
  </si>
  <si>
    <t>spidol maker Jumbo</t>
  </si>
  <si>
    <t xml:space="preserve">Spidol Board Maker </t>
  </si>
  <si>
    <t>Spidol maker Jumbo</t>
  </si>
  <si>
    <t>Stater</t>
  </si>
  <si>
    <t>Sticky Note</t>
  </si>
  <si>
    <t>Kecil (37651)</t>
  </si>
  <si>
    <t>Tinta Printer HP</t>
  </si>
  <si>
    <t>Magenta - GT52</t>
  </si>
  <si>
    <t>Yellow - GT52</t>
  </si>
  <si>
    <t>Cyan - GT52</t>
  </si>
  <si>
    <t>Black</t>
  </si>
  <si>
    <t xml:space="preserve">Tinta EPSON 003 </t>
  </si>
  <si>
    <t>BLACK</t>
  </si>
  <si>
    <t>Hitam - GT53</t>
  </si>
  <si>
    <t>Tinta Stampel</t>
  </si>
  <si>
    <t>Trodat 7011 - 25 ml - Biru</t>
  </si>
  <si>
    <t>TipeX</t>
  </si>
  <si>
    <t>Kertas</t>
  </si>
  <si>
    <t>Cair</t>
  </si>
  <si>
    <t>Coklat polos ukuran folio</t>
  </si>
  <si>
    <t>ATK 2</t>
  </si>
  <si>
    <t>Kertas Bufalo</t>
  </si>
  <si>
    <t>Batrai ABC</t>
  </si>
  <si>
    <t>Jumbo</t>
  </si>
  <si>
    <t>Sedang</t>
  </si>
  <si>
    <t>Hitam 35 cm x 60 cm</t>
  </si>
  <si>
    <t>Notepad Kecil</t>
  </si>
  <si>
    <t>Ukuran A6</t>
  </si>
  <si>
    <t>35 cm</t>
  </si>
  <si>
    <t xml:space="preserve">Binder Clips </t>
  </si>
  <si>
    <t>No. 107 (1,9cm)</t>
  </si>
  <si>
    <t>Bulpen Gel</t>
  </si>
  <si>
    <t xml:space="preserve">Amplop Coklat </t>
  </si>
  <si>
    <t>1/2 Folio Ukuran 19 x 25</t>
  </si>
  <si>
    <t>Autan Lotion</t>
  </si>
  <si>
    <t>Untuk membersihkan tulisan pada barang retur</t>
  </si>
  <si>
    <t xml:space="preserve">Binder Clips  </t>
  </si>
  <si>
    <t>No. 111  (2,5cm)</t>
  </si>
  <si>
    <t>No.155 (3,2cm)</t>
  </si>
  <si>
    <t>Cable Tie</t>
  </si>
  <si>
    <t>Kabel Tis/Tali Krek. 4.8 x 400mm. Isi 100 pcs.</t>
  </si>
  <si>
    <t>Kabel ties 3.6x250</t>
  </si>
  <si>
    <t>Kabel ties untuk perapian</t>
  </si>
  <si>
    <t xml:space="preserve">Demacolin </t>
  </si>
  <si>
    <t>Gantungan Dinding</t>
  </si>
  <si>
    <t>HeadPhone Logiteck</t>
  </si>
  <si>
    <t>untuk telfon SC</t>
  </si>
  <si>
    <t>Isi Cutter</t>
  </si>
  <si>
    <t>Besar</t>
  </si>
  <si>
    <t xml:space="preserve">Isi Bulpen </t>
  </si>
  <si>
    <t>Pak Agoes</t>
  </si>
  <si>
    <t>Isolasi Listrik PVC</t>
  </si>
  <si>
    <t>3/4" x 20 Yard</t>
  </si>
  <si>
    <t>Kecil Lubang Kecil</t>
  </si>
  <si>
    <t>Karet</t>
  </si>
  <si>
    <t>Hitam Sampah</t>
  </si>
  <si>
    <t>Menyesuaikan stok fisik</t>
  </si>
  <si>
    <t>28 cm</t>
  </si>
  <si>
    <t>40 cm</t>
  </si>
  <si>
    <t>Hitam 15 cm</t>
  </si>
  <si>
    <t>Kg</t>
  </si>
  <si>
    <t>Hitam 24 cm</t>
  </si>
  <si>
    <t>15 Watt Sonic</t>
  </si>
  <si>
    <t>Lampu Dop Engkel 24 volt</t>
  </si>
  <si>
    <t xml:space="preserve">Lampu H4 </t>
  </si>
  <si>
    <t>24 Volt 70W</t>
  </si>
  <si>
    <t xml:space="preserve">Lem Sealer Bening </t>
  </si>
  <si>
    <t xml:space="preserve">Map </t>
  </si>
  <si>
    <t>L bening</t>
  </si>
  <si>
    <t>Map</t>
  </si>
  <si>
    <t>L (Hijau)</t>
  </si>
  <si>
    <t>L Merah</t>
  </si>
  <si>
    <t>Map Business File</t>
  </si>
  <si>
    <t>Map Plong Plastik</t>
  </si>
  <si>
    <t>Minyak Ikan</t>
  </si>
  <si>
    <t>Jumbo No. 5 (50mm)</t>
  </si>
  <si>
    <t>Pasta</t>
  </si>
  <si>
    <t>Thermal Paste</t>
  </si>
  <si>
    <t>Pita Kawat File</t>
  </si>
  <si>
    <t xml:space="preserve">Pita Kawat Metalik </t>
  </si>
  <si>
    <t>Seal Tip</t>
  </si>
  <si>
    <t>Vitamin C 250mg</t>
  </si>
  <si>
    <t>Double Tape Kecil</t>
  </si>
  <si>
    <t>1/2"</t>
  </si>
  <si>
    <t>ATK 3</t>
  </si>
  <si>
    <t>Double Tape Sedang</t>
  </si>
  <si>
    <t>1"</t>
  </si>
  <si>
    <t>Panjang Perekat</t>
  </si>
  <si>
    <t>Sedang Perekat</t>
  </si>
  <si>
    <t>Kecil Perekat</t>
  </si>
  <si>
    <t>Kecil Non Perekat</t>
  </si>
  <si>
    <t>Benang Bol</t>
  </si>
  <si>
    <t>Putih</t>
  </si>
  <si>
    <t>Double tape spon</t>
  </si>
  <si>
    <t>24MM X 5 Meter</t>
  </si>
  <si>
    <t>Flyer Thank You</t>
  </si>
  <si>
    <t>Online Shop Karisma</t>
  </si>
  <si>
    <t>Label Thermal</t>
  </si>
  <si>
    <t>100 x 150</t>
  </si>
  <si>
    <t>Coklat</t>
  </si>
  <si>
    <t>Bening</t>
  </si>
  <si>
    <t>Hitam Besar (48MM)</t>
  </si>
  <si>
    <t>Sumpit</t>
  </si>
  <si>
    <t>Merk Panda</t>
  </si>
  <si>
    <t>Kapur Ajaib</t>
  </si>
  <si>
    <t>Bagus</t>
  </si>
  <si>
    <t>CLEANING</t>
  </si>
  <si>
    <t xml:space="preserve">Aceton </t>
  </si>
  <si>
    <t>1 Liter</t>
  </si>
  <si>
    <t>Baygon Semprotan Anti Nyamuk</t>
  </si>
  <si>
    <t>kemasan 750 ml</t>
  </si>
  <si>
    <t>CITRIC ACID/GARAM ASAM</t>
  </si>
  <si>
    <t>Cling</t>
  </si>
  <si>
    <t>425 ml Apple Fresh</t>
  </si>
  <si>
    <t>Dettol</t>
  </si>
  <si>
    <t>750 ml</t>
  </si>
  <si>
    <t>Harpic</t>
  </si>
  <si>
    <t>450 ml Original</t>
  </si>
  <si>
    <t>Pengharum Ruangan</t>
  </si>
  <si>
    <t>Stela Pocket</t>
  </si>
  <si>
    <t xml:space="preserve">Rinso Detergen </t>
  </si>
  <si>
    <t>Royco</t>
  </si>
  <si>
    <t>Sabun Cuci Mobil</t>
  </si>
  <si>
    <t>Ltr</t>
  </si>
  <si>
    <t>Proyek</t>
  </si>
  <si>
    <t>Stella Aerosol / Semprot</t>
  </si>
  <si>
    <t>Kemasan 350 ml</t>
  </si>
  <si>
    <t>Super Pell</t>
  </si>
  <si>
    <t>770 ml Apple</t>
  </si>
  <si>
    <t>770 ml Lemon</t>
  </si>
  <si>
    <t>Swallow Toilet Colour Ball</t>
  </si>
  <si>
    <t xml:space="preserve">Vanish </t>
  </si>
  <si>
    <t>150 ml</t>
  </si>
  <si>
    <t>Buku Barcode Bayer</t>
  </si>
  <si>
    <t>PURCHASING</t>
  </si>
  <si>
    <t>Buku Barcode Syngenta</t>
  </si>
  <si>
    <t>Box File</t>
  </si>
  <si>
    <t>Lipat</t>
  </si>
  <si>
    <t>R BELAKANG</t>
  </si>
  <si>
    <t>Kertas Continuous TTB</t>
  </si>
  <si>
    <t>9,5 x 11 : 2 - 4 ply NCR</t>
  </si>
  <si>
    <t>Box</t>
  </si>
  <si>
    <t>F4</t>
  </si>
  <si>
    <t>A4</t>
  </si>
  <si>
    <t>4 Ply NCR PRS</t>
  </si>
  <si>
    <t>3 Ply NCR</t>
  </si>
  <si>
    <t>Kertas Kuning</t>
  </si>
  <si>
    <t>Lampu Philips</t>
  </si>
  <si>
    <t>TL 36 Watt</t>
  </si>
  <si>
    <t>Map Plastik</t>
  </si>
  <si>
    <t>Display Book/Clear Holder</t>
  </si>
  <si>
    <t>Mika Harga</t>
  </si>
  <si>
    <t>Warna Biru Ukuran P. 89 x L. 4.2 cm</t>
  </si>
  <si>
    <t>Karung Zak Sedang</t>
  </si>
  <si>
    <t>Ukuran 115 x 75 cm</t>
  </si>
  <si>
    <t>Tissue</t>
  </si>
  <si>
    <t>Paseo 540 ply</t>
  </si>
  <si>
    <t>Total Barang Non Komersil</t>
  </si>
  <si>
    <t>Total QTY Barang Tidak Klop Belum PO/Adj</t>
  </si>
  <si>
    <t>Total Jenis Barang Tidak Klop Belum PO/Adj</t>
  </si>
  <si>
    <t>% Barang Klop Berdasarkan Qty</t>
  </si>
  <si>
    <t>% Barang Klop Berdasarkan Jenis Barang</t>
  </si>
  <si>
    <t>Daftar List Inisiatif</t>
  </si>
  <si>
    <t>Bulan April</t>
  </si>
  <si>
    <t>No</t>
  </si>
  <si>
    <t xml:space="preserve">Tanggal Inisiatif </t>
  </si>
  <si>
    <t>Inisiatif</t>
  </si>
  <si>
    <t>Planning</t>
  </si>
  <si>
    <t>Tanggal Dilakukan</t>
  </si>
  <si>
    <t>Terealisasi</t>
  </si>
  <si>
    <t>Pembuatan list daftar nama barang PO Non Komersil</t>
  </si>
  <si>
    <t>Membuat dan mencetak list daftar nama barang PO Non Komersil</t>
  </si>
  <si>
    <t>Mengubah nama PIC Logistik di PO Digital</t>
  </si>
  <si>
    <t>Menginform IT untuk mengubah nama PIC Logistik yang awalnya Bayu menjadi Alif</t>
  </si>
  <si>
    <t>REVIEW SOP NON KOMERSIL</t>
  </si>
  <si>
    <t>Tanggal Review</t>
  </si>
  <si>
    <t>Judul SOP</t>
  </si>
  <si>
    <t xml:space="preserve">Hasil </t>
  </si>
  <si>
    <t>SOP Pengajuan Barang Non Komersil</t>
  </si>
  <si>
    <t xml:space="preserve">Ada bagian yang belum relevan </t>
  </si>
  <si>
    <r>
      <t xml:space="preserve">1. Poin f : SOP meeting april mengubah timing realisasi setelah persetujuan direksi dari H+2 menjadi H+1
2. setelah poin f : Pembelian barang melalui marketplace Shopee wajib menggunakan link affiliate yang telah diajukan dan disetujui oleh direksi
3. Poin g : Memerge pembayaran VA dan transfer
Admin Purchasing mengajukan pembayaran ke admin pembayaran:
1. </t>
    </r>
    <r>
      <rPr>
        <sz val="11"/>
        <color rgb="FFFF0000"/>
        <rFont val="Calibri"/>
        <family val="2"/>
        <scheme val="minor"/>
      </rPr>
      <t>Pembayaran melalui via Shopeepay dengan</t>
    </r>
    <r>
      <rPr>
        <sz val="11"/>
        <color theme="1"/>
        <rFont val="Calibri"/>
        <family val="2"/>
        <scheme val="minor"/>
      </rPr>
      <t xml:space="preserve"> menyerahkan bukti pesanan (</t>
    </r>
    <r>
      <rPr>
        <i/>
        <sz val="11"/>
        <color theme="1"/>
        <rFont val="Calibri"/>
        <family val="2"/>
        <scheme val="minor"/>
      </rPr>
      <t>screenshot</t>
    </r>
    <r>
      <rPr>
        <sz val="11"/>
        <color theme="1"/>
        <rFont val="Calibri"/>
        <family val="2"/>
        <scheme val="minor"/>
      </rPr>
      <t xml:space="preserve">) kepada admin pembayaran via WA. </t>
    </r>
    <r>
      <rPr>
        <sz val="11"/>
        <color rgb="FFFF0000"/>
        <rFont val="Calibri"/>
        <family val="2"/>
        <scheme val="minor"/>
      </rPr>
      <t>Mencetak bukti pesanan beserta user yang akan memakai untuk diserahkan ke admin pembayaran sebagai arsip</t>
    </r>
    <r>
      <rPr>
        <sz val="11"/>
        <color theme="1"/>
        <rFont val="Calibri"/>
        <family val="2"/>
        <scheme val="minor"/>
      </rPr>
      <t xml:space="preserve">. Admin Purchasing mencocokan saldo Shopeepay dengan admin pembayaran
2. </t>
    </r>
    <r>
      <rPr>
        <sz val="11"/>
        <color rgb="FFFF0000"/>
        <rFont val="Calibri"/>
        <family val="2"/>
        <scheme val="minor"/>
      </rPr>
      <t xml:space="preserve">Pembayaran via Virtual Account (VA) dan via transfer dengan menyerahkan bukti pesanan dan bukti approval direksi kepada admin pembayaran via WA. Mencetak bukti pesanan atau menyerahkan nota asli yang sudah ada beserta user yang akan memakai untuk diserahkan ke admin pembayaran sebagai arsip. 
</t>
    </r>
    <r>
      <rPr>
        <sz val="11"/>
        <rFont val="Calibri"/>
        <family val="2"/>
        <scheme val="minor"/>
      </rPr>
      <t xml:space="preserve">3. </t>
    </r>
    <r>
      <rPr>
        <sz val="11"/>
        <color rgb="FFFF0000"/>
        <rFont val="Calibri"/>
        <family val="2"/>
        <scheme val="minor"/>
      </rPr>
      <t xml:space="preserve">Pembayaran via tunai </t>
    </r>
    <r>
      <rPr>
        <sz val="11"/>
        <rFont val="Calibri"/>
        <family val="2"/>
        <scheme val="minor"/>
      </rPr>
      <t>dengan mengisi form kasbon sesuai jumlah pembelanjaan dari PO Digital kepada Admin Pembayaran. Admin Purchasing membelanjakan atau menyerahkan uang kepada yang akan
membelanjakan H+0. Apabila barang sudah dibeli, Admin Purchasing memberikan nota kepada Admin Pembayaran dengan catatan user yang akan menggunakan barang H+0</t>
    </r>
  </si>
  <si>
    <t xml:space="preserve">SOP Pemilihan Vendor PO Non Komersil </t>
  </si>
  <si>
    <t>Sudah relevan</t>
  </si>
  <si>
    <t>PO Pengadaan Barang Promosi</t>
  </si>
  <si>
    <t>Surat Perintah Pengambilan Barang</t>
  </si>
  <si>
    <t>Transactions Journal</t>
  </si>
  <si>
    <t>PERIODE 01 JANUARI 2024 - 30 April 2026</t>
  </si>
  <si>
    <t>No.</t>
  </si>
  <si>
    <t>Date</t>
  </si>
  <si>
    <t>Descriptions</t>
  </si>
  <si>
    <t>Debit</t>
  </si>
  <si>
    <t>Credit</t>
  </si>
  <si>
    <t>Tissue=2 u/R, Direktur</t>
  </si>
  <si>
    <t>Air Minum=4 Dus u/R. Direktur</t>
  </si>
  <si>
    <t>Air Minum Galon=1 u/R. Direktur</t>
  </si>
  <si>
    <t>Sarana Kebersihan "Jember Roxy Square" (Terlampir)</t>
  </si>
  <si>
    <t>Air Minum=5 Dus u/R. Meeting &amp; Lobby</t>
  </si>
  <si>
    <t>Gantungan Dinding=2 "Rupa-Rupa" u/Cheklist Kebersihan</t>
  </si>
  <si>
    <t>Genio Cleaner Formula=1 "Shopee" u/Pembersih Stainless</t>
  </si>
  <si>
    <t>Paper Wrap=2 "Toko HS. Jaya" u/Memwrapping Dos yang Rusak</t>
  </si>
  <si>
    <t>ATK "Bitcom, Ramai Jaya &amp; Aneka Jaya" (Terlampir)</t>
  </si>
  <si>
    <t>ATK "Galunggung Putra II &amp; Agung Wardana" (Terlampir)</t>
  </si>
  <si>
    <t>Cling Btl 425ml=1 "Roxy"</t>
  </si>
  <si>
    <t xml:space="preserve">ATK "Agung Wardana" (CFK Simen 3Ply) </t>
  </si>
  <si>
    <t>Pengki/Cikrak=1,Sapu Ijuk=3 u/sarana kebersihan "Gahana"</t>
  </si>
  <si>
    <t>ATK "Prima Stationary" (Bantalan stempel TTD Pak Agoes)</t>
  </si>
  <si>
    <t>Mama Lemon=2, Superpel=2, Aganol=1, Vixal=4 u/Perlengkapan OB "Makmur Jaya"</t>
  </si>
  <si>
    <t>Pel sumbu=2, Sorek Pel Air=1 u/Perlengkapan OB "Makmur Jaya"</t>
  </si>
  <si>
    <t>Label Sticker Thermal=2500 Pcs u/Online Shop "Shopee"</t>
  </si>
  <si>
    <t>Dus Parcel Kecil (414), Dus Parcel Besar (202) "Langgeng Jaya Megabox</t>
  </si>
  <si>
    <t>Kuas 2 1/2 = 2, paku=1 pns u/Perlengkapan OB "Serba Jaya"</t>
  </si>
  <si>
    <t>Nota u/Permintaan Service Kendaraan "DNY Printing"</t>
  </si>
  <si>
    <t>ATK "Galunggung Putra II, ud Mas Agung,&amp; Agung Wardana" (Terlampir)</t>
  </si>
  <si>
    <t>ATK "Bitcom, Senyum Media,&amp; Agung Wardana" (Terlampir)</t>
  </si>
  <si>
    <t>Tempah Sampah Outdoor (4) u/KIU "Shopee"</t>
  </si>
  <si>
    <t>ATK (Materai 10.000=100 Lembar) "Kantor Pos Jember"</t>
  </si>
  <si>
    <t>ATK (Kresek uk 40=4, 35=4, 28=4, 24=2)</t>
  </si>
  <si>
    <t>ATK "Bitcom, Indokarta, Agung Wardana, Shopee" (Terlampir)</t>
  </si>
  <si>
    <t>Bubble Wrap 40 cmx50 m u/KIU Online Shop "Shopee"</t>
  </si>
  <si>
    <t>Harpic=1, Vixal=3, Aganol=1 u/Kebersihan Kantor "Senyum Media"</t>
  </si>
  <si>
    <t>Sapu lidi=4, parkir u/Kebersihan Kantor</t>
  </si>
  <si>
    <t>Ekonomi Liquid=3, Superpel=2, Vanish=1 u/Kebersihan Kantor "Senyum Media"</t>
  </si>
  <si>
    <t>Air Minum Indomaret Galon 19L=1 u/R. Direktur "Indomaret"</t>
  </si>
  <si>
    <t>Garam Asam=10 pcs u/Perlengkapan Kebersihan Gd. FKA "Toko Senyum"</t>
  </si>
  <si>
    <t>Harpic Triple Act450=1 u/Perlengkapan Kebersihan Gd. FKA "Indomaret"</t>
  </si>
  <si>
    <t>Kuas 3=1, Kuas 1 stillong=1 u/Perlengkapan Kebersihan Gd. FKA "Serba Jaya"</t>
  </si>
  <si>
    <t>Gula=1, Kapal Api=2 u/Ruang Meeting Training SE "Alfamart, Toko Afiya"</t>
  </si>
  <si>
    <t>Sapu Biasa Hitam=7, Serok sampah=8 u/GA "Toko Lumayan"</t>
  </si>
  <si>
    <t>Air Minum Cleo Galon+Air=3 u/R. Direktur "Tanobel"</t>
  </si>
  <si>
    <t>Air Minum Cleo Galon=1 u/R. Direktur "Tanobel"</t>
  </si>
  <si>
    <t>Air Minum Cleo Cup 220=6 u/GA "Tanobel"</t>
  </si>
  <si>
    <t>Pot Bunga=1 u/GA "Shopee"</t>
  </si>
  <si>
    <t>Rantai Plastik=5 u/Pot Bunga u/GA "Tokopedia"</t>
  </si>
  <si>
    <t>Vanish=1 u/GA (Pembersih Toilet) "Alfamart"</t>
  </si>
  <si>
    <t>ATK "Galunggung Putra, Senyum Media, Robinson Interior, Agung Wardana" (Terlampir)</t>
  </si>
  <si>
    <t>Kran angsa=1, Seltip=1, Parkir u/ATK "Fajar Sentosa"</t>
  </si>
  <si>
    <t>Gembok=2, Isarplas=1 u/ATK "Toko Semangat Baru"</t>
  </si>
  <si>
    <t>Jarum Kasur=1 pak u/ATK "Hoki"</t>
  </si>
  <si>
    <t>Kresek 40cm=4 kg, Kresek 28cm=4 Kg u/ATK "Galunggung"</t>
  </si>
  <si>
    <t>Pel Lorek=1, Parkir u/ATK "Lumayan"</t>
  </si>
  <si>
    <t>Spidol Permanen Snowman=4 u/Logistik "Shopee"</t>
  </si>
  <si>
    <t>Trimmer Line Nilon=1 u/GA "Shopee"</t>
  </si>
  <si>
    <t>Dettol Liquid u/GA "Slamet P&amp;D"</t>
  </si>
  <si>
    <t>Polki Pembersih Keramik=2 u/GA "Shopee"</t>
  </si>
  <si>
    <t>Air Minum Cleo Botol=5 u/GA "Tanobel"</t>
  </si>
  <si>
    <t>Dettol Liquid u/Stock R. Direktur "Shopee"</t>
  </si>
  <si>
    <t>Sekop Penyiangan=1 u/OB "Shopee"</t>
  </si>
  <si>
    <t>Mic Wireless Clip On u/Online Shop Faisal "Shopee"</t>
  </si>
  <si>
    <t>Sarung Tangan Rajut u/GA "Shopee"</t>
  </si>
  <si>
    <t>ATK "Agung Wardana" (Terlampir)</t>
  </si>
  <si>
    <t>Air Minum Cleo Cup 220=7 u/GA "Tanobel"</t>
  </si>
  <si>
    <t>Air Minum Cleo Galon=4 u/R. Direktur "Tanobel"</t>
  </si>
  <si>
    <t>Selang Air Trilliun DOF 5/8 Inch=10m u/Mandi Anjing Pintu No.7 "Shopee"</t>
  </si>
  <si>
    <t>Kikir Gergaji Segitiga 4" Gagang Karet Handle=1 u/GA "Tokopedia"</t>
  </si>
  <si>
    <t>KAP Lampu Jalan PJU E7=1 u/GA "Tokopedia"</t>
  </si>
  <si>
    <t>Panasonic Eneloop A3, Batt isi Ulang1.2V=3 u/Stock Logistik "Shopee"</t>
  </si>
  <si>
    <t>Kresek Merah Jumbo=14, Kresek Bening=4Kg u/ Gudang "Galunggung"</t>
  </si>
  <si>
    <t>ATK Plagban Daimaru=5, Kartu Stok=10 "Agung Wardana"</t>
  </si>
  <si>
    <t>TTB (80 Box) "Embong Semesta Computindo"</t>
  </si>
  <si>
    <t>Air Minum Cleo Cup 220=5 u/GA "Tanobel"</t>
  </si>
  <si>
    <t>Magic Com Cosmos 2.5L=1 u/Olah Pakan Anjing "Jember Makmur Elektronik"</t>
  </si>
  <si>
    <t>Sekop Pasir Komodo=2 u/GA "Tokopedia"</t>
  </si>
  <si>
    <t>Calok Arit Panjang=1 u/GA "Tokopedia"</t>
  </si>
  <si>
    <t>Sapu Ijuk Kipas Gama=1 u/GA "Tokopedia"</t>
  </si>
  <si>
    <t>Cikrak Gagang Plastik=2 u/GA "Tokopedia"</t>
  </si>
  <si>
    <t>Pisau Ranting Kayu=1 u/GA "Shopee"</t>
  </si>
  <si>
    <t>Batu Asah Gosok Ungkal=1 u/GA "Shopee"</t>
  </si>
  <si>
    <t>Sekop Pasir 12 mm=2 u/GA "Shopee"</t>
  </si>
  <si>
    <t>Seal Tape 1 Inch 10m=1, BC 1/2 inch kran air=1 u/GA "Shopee"</t>
  </si>
  <si>
    <t>Air Minum Cleo Galon=3 u/R. Direktur "Tanobel"</t>
  </si>
  <si>
    <t>Air Minum Cleo Cup 220=3 u/GA "Tanobel"</t>
  </si>
  <si>
    <t>Sarung Tangan Nitrile=1 u/IT "Shopee"</t>
  </si>
  <si>
    <t>Stella AF Pocket=1 u/Kamar Mandi Dept. Keu "Jember Roxy Square"</t>
  </si>
  <si>
    <t>Gunting Rumput Taman=1 u/Taman Kantor "Shopee"</t>
  </si>
  <si>
    <t>Sekop Lempak Tanah Gagang Besi=1 u/Taman&amp;Saluran air "Shopee"</t>
  </si>
  <si>
    <t>Pel Sumbu Flexible Jumbo=1 u/Sarana Kebersihan "Ramai Jaya" (Parkir)</t>
  </si>
  <si>
    <t>Kertas Roti Buram=55 Lbr u/ATK "Senyum Media"</t>
  </si>
  <si>
    <t>Bufalo Putih=1 Pak u/ATK "Senyum Media"</t>
  </si>
  <si>
    <t>Air Minum Cleo Botol=3 u/GA "Tanobel"</t>
  </si>
  <si>
    <t>Thinner A Bintang=1, Emco Cat 1Kg=1 u/Jaring Penghalau Tikus "Shopee"</t>
  </si>
  <si>
    <t xml:space="preserve">Staples Tembak+Isi 4 Pack=1,Staples Tembak=1 u/Muhlisin NTB "Shopee" </t>
  </si>
  <si>
    <t>Sapu Plafon=1 u/Sarana Kebersihan "Shopee"</t>
  </si>
  <si>
    <t>Alat Pel Lantai=1 u/Sarana Kebersihan "Tokopedia"</t>
  </si>
  <si>
    <t>Tang Crimping Kabel RJ45=1 u/Maintenance&amp;Pembuatan Kabel Internet "Tokped"</t>
  </si>
  <si>
    <t>Kopi Brazillian Santos=2 "De' Excelso Café u/Direktur</t>
  </si>
  <si>
    <t>Staples Tembak+Isi 4 Pack=1 u/Arif ABM "Shopee"</t>
  </si>
  <si>
    <t>Staples Tembak=1 u/Muhlisin NTB "Shopee"</t>
  </si>
  <si>
    <t>Kresek 40-50cm=10Pack,Kresek 40cm=5Pack,Kresek 28cm=4Kg u/ATK "Galunggung"</t>
  </si>
  <si>
    <t>Refill Tinta Spidol Hitam=2, Merah=1, Spidol Permanen=1 u/ATK "Shopee"</t>
  </si>
  <si>
    <t>Stella Matic Box Set=1 u/R.Logistik "Shopee"</t>
  </si>
  <si>
    <t>Kemoceng=3 u/Sarana Kebersihan "Shopee"</t>
  </si>
  <si>
    <t>Lakban=12 u/Online Shop "Tokopedia"</t>
  </si>
  <si>
    <t>Keset Handuk=6 u/Musholla FKA(2),Pintu Masuk FKA(1),Kantin(3) "Shopee"</t>
  </si>
  <si>
    <t>Pot Gantung=6 u/Tanaman Belakang Kantin "Shopee"</t>
  </si>
  <si>
    <t>Kartu Stock Barang Kecil=10 Pack u/Warehouse "Shopee"</t>
  </si>
  <si>
    <t>Double Tape=5 u/WH&amp;Stock "Shopee"</t>
  </si>
  <si>
    <t>Kresek Hitam uk.15=1Kg,Uk.24=1kg, Putih Uk.24=10 pack "Galunggung"</t>
  </si>
  <si>
    <t>Pel Lantai 19cm=1 u/Pos Security "Tokopedia"</t>
  </si>
  <si>
    <t>Tongkat STOP Tanggung 24Cm=2 u/Security "Shopee"</t>
  </si>
  <si>
    <t>Lakban Besar Kuning=3 u/Marka APAR Trolly "Shopee"</t>
  </si>
  <si>
    <t>Clear Cleaner Pembersih Kerak Kamar Mandi 1L=1 "Shoppe"</t>
  </si>
  <si>
    <t>Vitamin C 250 mg=10 Box u/Logistik &amp; Stock "Shopee"</t>
  </si>
  <si>
    <t>Paku Kayu=1 Kg u/Logistik "Tokopedia"</t>
  </si>
  <si>
    <t>Pembersih Kerak Toilet=1  "Shopee"</t>
  </si>
  <si>
    <t>Clipboard Papan=4 u/Tes Karyawan "Tokopedia"</t>
  </si>
  <si>
    <t>Rak Pot Bunga Besi Gantung=10 u/Anggrek di Parkir Tamu "Shopee"</t>
  </si>
  <si>
    <t>Kertas Flip Chart Koran Buram=10 u/Training Karyawan "Shopee"</t>
  </si>
  <si>
    <t>Pembersih Kerak Toilet=5 "Shopee"</t>
  </si>
  <si>
    <t>Kabel Ties Hitam=100 pcs u/GA Merapikan Kabel "Shopee"</t>
  </si>
  <si>
    <t>Plastik Seal Segel Koper=101 u/Log Segel Truck Retur Jag.Bisi "Shopee"</t>
  </si>
  <si>
    <t>Impraboard uk 100x75=1 u/R. Meeting "Senyum Media"</t>
  </si>
  <si>
    <t>Tinta Epson =1 Set u/ATK "Shopee"</t>
  </si>
  <si>
    <t>Air Minum Cleo Galon=2 u/R. Direktur "Tanobel"</t>
  </si>
  <si>
    <t>Tinta Printer HP=4 Warna u/Adm Promosi Nonik "Shopee"</t>
  </si>
  <si>
    <t xml:space="preserve">ATK "Agung Wardana" (Terlampir) </t>
  </si>
  <si>
    <t>Tinta Epson Hitam=10 u/Stock "Shopee"</t>
  </si>
  <si>
    <t>Amplop Mambo 100 Lbr Tanpa Lem=75 Ktk u/Stock "Shopee"</t>
  </si>
  <si>
    <t>Molto=1 u/Mengurangi bau di Gd.Eceran "Shopee"</t>
  </si>
  <si>
    <t>Pot Dinding Gantung=20 u/Samping Lobby "Shopee"</t>
  </si>
  <si>
    <t>ATK "Agung Wardana" (Terlampir) (Parkir)</t>
  </si>
  <si>
    <t>Fandy Suryadi u/Biaya Cetak SO Kuning dan Biru @104 buku</t>
  </si>
  <si>
    <t>Amplop Sedang Mambo=47 Ktk u/Stock "Agung Wardana"</t>
  </si>
  <si>
    <t>Refill 8758 /LX 300=10 "Bitcom"</t>
  </si>
  <si>
    <t>Tinta Epson Hitam=1 u/Tariska Purchasing "Shopee"</t>
  </si>
  <si>
    <t>Stella Pocket=4 u/Kamar Mandi Dept. Keu(1), Stock (3)</t>
  </si>
  <si>
    <t>Pot Dinding Gantung=25 u/Samping Lobby "Shopee"</t>
  </si>
  <si>
    <t>Sabun Suci Tangan Green Tea 5 Ltr=1 u/Toilet Keuangan "Shopee"</t>
  </si>
  <si>
    <t>DNY Printing via Fandy Suryadi u/Biaya Cetak Kasbon Sopir 3 rim</t>
  </si>
  <si>
    <t>Kresek "Galunggung Putra"</t>
  </si>
  <si>
    <t>Pita Printer LX300=10 u/Stock "Bitcom"</t>
  </si>
  <si>
    <t>Buku Tamu Folio Besar=1 u/Pos Satpam, 2 u/Stock "Agung Wardana"</t>
  </si>
  <si>
    <t>Sapu Lidi Gagang Kayu=3 u/FKA, Gd.Belakang,Taman "Shopee"</t>
  </si>
  <si>
    <t>Sabun Suci Tangan Green Tea 5 Ltr=1 u/Toilet Lt 1 &amp; 2 "Shopee"</t>
  </si>
  <si>
    <t>Isi Stapler No.10-1m=40 ktk u/Stock "Shopee"</t>
  </si>
  <si>
    <t>Foto Presiden &amp; Wakil u/Lobby "Shopee"</t>
  </si>
  <si>
    <t>Sabun Ekonomi liquid=5 u/Sarana Kebersihan "Shopee"</t>
  </si>
  <si>
    <t>Tiang Peyangga Anggrek 37cm=60 u/Anggrek di Parkir Tamu "Shopee"</t>
  </si>
  <si>
    <t>Tinta Epson 1 Set (Hitam,Kuning,Biru,Merah)=1,Tinta Hitam=2u/Stock "Shopee"</t>
  </si>
  <si>
    <t>Gantungan Kunci Plastik Label=50 pcs u/GA "Shopee"</t>
  </si>
  <si>
    <t>Harpic 450ml=12, Vanish 150ml=24 "Roxy Square"</t>
  </si>
  <si>
    <t>Mic Wireless Clip On=1 u/Content Creator "Shopee"</t>
  </si>
  <si>
    <t>Spidol Besar Permanen Merah=2,Biru=2 u/R.Meeting Lt.1 &amp; Stock "Shopee"</t>
  </si>
  <si>
    <t>Sapu Lantai=1 u/Sarana Kebersihan "Shopee"</t>
  </si>
  <si>
    <t>Pilox 150cc White Doff=2 u/Pengecatan Baling2 Kipas "Shopee"</t>
  </si>
  <si>
    <t>Tiang Peyangga Anggrek 37cm=40 u/Anggrek di Parkir Tamu "Shopee"</t>
  </si>
  <si>
    <t>Cantolan Kawat=4,Bak Mandi=2 u/Tempat Makan Burung di Kandang "Putri Jaya"</t>
  </si>
  <si>
    <t>Sikat Lantai Gagang Nagoya=3 u/GA "Shopee"</t>
  </si>
  <si>
    <t>Pot Bunga Hitam 40cm=15 u/GA "Shopee"</t>
  </si>
  <si>
    <t>Kotak Makan=2 u/Kandang Burung "Fajar Sabtuan"</t>
  </si>
  <si>
    <t>Label Kertas Sticker Roll uk.100x150 isi 500 Pcs=1 u/Online Shop "Shopee"</t>
  </si>
  <si>
    <t>Kemoceng Microfiber=1 u/Sarana Kebersihan "Tokopedia"</t>
  </si>
  <si>
    <t>Baygon Spray Lavender 750ml=1 u/IT "Shopee"</t>
  </si>
  <si>
    <t>Stella 400ml Lemon=2, Apple=1 u/R.Meeting Lt1,Lobby "Shopee"</t>
  </si>
  <si>
    <t>Gembok ATS=6 u/GA, Kendaraan Q9 ,Q10 dan Q11 "Shopee"</t>
  </si>
  <si>
    <t>Steker Gepeng Putih Erke=3 u/IT pasang CCTV "Shopee"</t>
  </si>
  <si>
    <t>Pot Bunga Hitam 40cm=25 pcs u/Anggrek "Shopee"</t>
  </si>
  <si>
    <t>Kabel Ties Hitam 4,8 Inch=2 Pack u/Pengikat Anggrek "Shopee"</t>
  </si>
  <si>
    <t>Karet Gelang Kiloan=3 Kg u/Keu=1,Stock=2 "Shopee"</t>
  </si>
  <si>
    <t>Tali Rafia Wrna 1 Kg=2 u/Losgistik=1,Stock=1 "Shopee"</t>
  </si>
  <si>
    <t>Call Bell/Bell Meja Joyko=1 u/Live Streaming IT "Shopee"</t>
  </si>
  <si>
    <t>Kain Microtex Polos warna Soft Blue=1 Mtr u/Live Streaming IT "Shopee"</t>
  </si>
  <si>
    <t>Kresek Hitam uk.35cm=10 Pack  u/Pick Up BRI Bu Ika(1), Stock (9) "Shopee"</t>
  </si>
  <si>
    <t>Tinta Printer HP Hitam=3 u/Nonik (1), Stock (2) "Shopee"</t>
  </si>
  <si>
    <t>Thermal Pasta=5, Net Connector UTF=1, u/IT "Bitcom"</t>
  </si>
  <si>
    <t>Gayung Jumbo=2 u/Kamar Mandi Pos (1), Stock (1) "Shopee"</t>
  </si>
  <si>
    <t>Kanebo Jumbo "Ishima"=1 u/Alat Pembersih Lt.1 "Shopee"</t>
  </si>
  <si>
    <t>Tali Rani Goni 3 Ply (50Mtr)=2 u/Mengikat Tanaman "Shopee"</t>
  </si>
  <si>
    <t>Tempat Sampah Injak Kotak Silver 10L=1 u/R.Meeting Lt.2 "Shopee"</t>
  </si>
  <si>
    <t>Sendok Semen=1, Penghalus (Raskom)=1 u/Plesteran Gerbang Utama "Shopee"</t>
  </si>
  <si>
    <t>Timba Air Hijau 10L=2 u/Properti Punishment &amp; OB</t>
  </si>
  <si>
    <t>Cleo Mimi 220Ml=6</t>
  </si>
  <si>
    <t>Ekonomi Liq Jeruk Nipis 160 ml=6 u/Logistik "Roxy Square"</t>
  </si>
  <si>
    <t>Dettol Hand Sanitizer 200ml=2 u/Bu Yuanita "Shopee"</t>
  </si>
  <si>
    <t>Sapu Ijuk=1, u/Warehouse "Tokopedi"</t>
  </si>
  <si>
    <t>Baterai UPS Kenika 12V 7 AH=1 u/Zahir Digital "Bitcom"</t>
  </si>
  <si>
    <t>Baterai UPS Kenika 12V 7 AH=1 u/Faisal "Bitcom"</t>
  </si>
  <si>
    <t>Baterai UPS Kenika 12V 7 AH=1 u/GA (Ex. Arif) "Bitcom"</t>
  </si>
  <si>
    <t>Paku Kayu 6 cm=1 Kg u/Logistik "Tokopedia"</t>
  </si>
  <si>
    <t>Gergaji Dahan Kebun &amp; Sarung=1 u/Pangkas Pohon Sawit "Shopee"</t>
  </si>
  <si>
    <t>Kursi Jongkok Plastik Shinpo Orange=4 u/Kantin "Shopee"</t>
  </si>
  <si>
    <t>Kertas Folio Glossy=1 Pack u/Lisgianto "Shopee"</t>
  </si>
  <si>
    <t>Kartu Stock Kwarto 15x21 Kuning=10 pack u/Logistik "Shopee"</t>
  </si>
  <si>
    <t>Kopi Brazillian Santos=2 "De' Excelso Cafe u/Direktur</t>
  </si>
  <si>
    <t>Traffic Cone Orange Putih 70cm=2 u/Marka Jalan Security "Shopee"</t>
  </si>
  <si>
    <t>Selang Angin dan Chuck=1 u/Logistik "Hasil Jaya"</t>
  </si>
  <si>
    <t>Kresek Hitam uk.24x40=5 u/Pick Up BRI "Shopee"</t>
  </si>
  <si>
    <t>Pengharum Ruangan Stella Lemon=3 u/R.Meeting Lt1 &amp; Stock "Shopee"</t>
  </si>
  <si>
    <t>Kertas Sticker HVS Doff=100 Lbr u/GA "Shopee"</t>
  </si>
  <si>
    <t>Nampan Plastik Kotak 37x26 u/Direktur "Shopee"</t>
  </si>
  <si>
    <t>Dus Parcel Kecil (423), Dus Parcel Besar (308) "Langgeng Jaya Megabox</t>
  </si>
  <si>
    <t>USB Type C 4.0 High Grade 240 u/Connector Mic Meeting HRD "Shopee" (26/02)</t>
  </si>
  <si>
    <t>Mikrofon Bluetooht Wireless u/Keperluan Meeting HRD "Shopee" (26/02)</t>
  </si>
  <si>
    <t>SuperPell Pembersih Lantai=5 u/Lantai 2 dan Stock "Shopee" (26/02)</t>
  </si>
  <si>
    <t>Lem Tetes G=3 u/Admin Gudang Benih - Yunika "Shopee"</t>
  </si>
  <si>
    <t>V-Tec Sticky Notes Hiaju=1,Orange=1,Kuning=1 u/Inventaris Gudang "Shopee"</t>
  </si>
  <si>
    <t>Kresek Super Jumbo=10 u/Inventaris Gudang Eceran - Bayu "Shopee"</t>
  </si>
  <si>
    <t>Karet Gelang 500 gram=6 u/Stock "Shopee"</t>
  </si>
  <si>
    <t>Dettol 750 ml Antiseptic=2 u/Stock "Shopee"</t>
  </si>
  <si>
    <t>Spidol Snowman 450 Permanen Biru=1 u/Gudang Eceran &amp; 2 u/Stock "Shopee"</t>
  </si>
  <si>
    <t>Pita Kawat Silver=6 u/File Berkas Deva &amp; Linda "Shopee"</t>
  </si>
  <si>
    <t>Refill Tinta Spidol Permanen Snowman Hitam=3 u/Stock "Shopee"</t>
  </si>
  <si>
    <t>Sapu Ijuk=1 u/P.Supri OB "Shopee"</t>
  </si>
  <si>
    <t>DNY Printing via Fandy Suryadi u/Biaya Cetak Nota Tanda Terima 4 rim</t>
  </si>
  <si>
    <t>Cikrak Gagang Plastik=6 u/Inventaris Gudang "Shopee"</t>
  </si>
  <si>
    <t>Kapstok Baju Stainless 6 Kait=2 u/Inventaris Gudang "Shopee"</t>
  </si>
  <si>
    <t>Sapu Nilon=10 u/Inventaris Gudang "Shopee"</t>
  </si>
  <si>
    <t>Kertas Flip Chart Koran Buram=10 u/Stock (Flipchart R.Meeting) "Shopee"</t>
  </si>
  <si>
    <t>Sitrun Saset Mini 10 gram=10 u/Wastafel yang Berkarat &amp; Stock "Shopee"</t>
  </si>
  <si>
    <t>Biaya Pemasangan CCTV u/Mushola FKA</t>
  </si>
  <si>
    <t>Kabel Roll LY-130 SK Loyal Sapphire u/GA "Shopee"</t>
  </si>
  <si>
    <t>Stella Aerosol 400 ml=3 u/Stock "Shopee"</t>
  </si>
  <si>
    <t>Sikat Baju/Sikat WC=1 u/P. Supri OB"Shopee"</t>
  </si>
  <si>
    <t>Pledge Furniture Polish=1 u/P. Itok (Kerak Wastafel Membandel) "Shopee"</t>
  </si>
  <si>
    <t>Lakban Fragile 45 x 200 y=6 u/Faisal Online Shop"Shopee"</t>
  </si>
  <si>
    <t>Baterai ABC AA Zinc R6 Biru=3 u/Stock"Shopee"</t>
  </si>
  <si>
    <t>Clear Holder Book Folio Biru Muda=1 u/Arini (Vendor) "Shopee"</t>
  </si>
  <si>
    <t>Amplop Mambo (1000 Lbr) Panjang Tanpa Perekat=75 u/Stock "Shopee"</t>
  </si>
  <si>
    <t>Isi Stapler Joyko No. 10=40 u/Stock "Shopee"</t>
  </si>
  <si>
    <t>Kantong Kresek 15/24=15,35/40=10 u/Stock (Kebutuhan Gudang) "Shopee"</t>
  </si>
  <si>
    <t>Tekiro Mata Kunci 36 mm 6pt=1 u/P. Sujud Peralatan Mekanik "Shopee"</t>
  </si>
  <si>
    <t>Kantong Kresek Jumbo Lechi=15 u/Stock (Kebutuhan Gudang) "Shopee"</t>
  </si>
  <si>
    <t>TP-Link TL-SG108 8-Port Dekstop u/Pengganti HUB Gudang"Shopee"</t>
  </si>
  <si>
    <t>Ledvance Paket Hemat 10 Pcs=1 u/Stock "Shopee"</t>
  </si>
  <si>
    <t>Thermal Pasta Z3=1 u/Maintenance PC TC &amp; Logistik "Bitcom"</t>
  </si>
  <si>
    <t>Lakban Kain Kuning=2 u/Admin Gudang Eceran "Shopee"</t>
  </si>
  <si>
    <t>Plastik Seal OPP=1 u/Adm Eceran (Bayu) "Senyum Media"</t>
  </si>
  <si>
    <t>Sapu Lantai Nilon=2 u/Membasmi Lumut "Shopee"</t>
  </si>
  <si>
    <t>Sikat Wire Brush=3 u/Membasmi Lumut "Shopee"</t>
  </si>
  <si>
    <t>Basmut Obat Pembasmi Lumut=10 u/Membasmi Lumut "Shopee"</t>
  </si>
  <si>
    <t>Kaporit Bubuk 90%=1 u/Membasmi Lumut "Shopee"</t>
  </si>
  <si>
    <t>Jason Gunting Rmput Saboten=1 u/P. Suji "Shopee"</t>
  </si>
  <si>
    <t>Aceton Cap Gajah 50 ml=1=1 u/Admin Eceran "Shopee"</t>
  </si>
  <si>
    <t>Kartu Stock Kuning=10 u/Stock "Shopee"</t>
  </si>
  <si>
    <t>Amplop Coklat Folio=1 u/Stock Kirim Barcode "Shopee"</t>
  </si>
  <si>
    <t>Tali Rafia Hitam 850 gr s/d 1 kg=2 u/Stock "Shopee"</t>
  </si>
  <si>
    <t>Kantong Plastik 15 Bening=5 u/Stock "Shopee"</t>
  </si>
  <si>
    <t>Isi Bolpen Hotliner Hitam=3 pack u/Stock "Shopee"</t>
  </si>
  <si>
    <t>Refil 8758/LX 300=10 u/Stock "Bitcom"</t>
  </si>
  <si>
    <t>Air Minum Cleo Cup 220=10, Cleo Botol 220=5 u/GA "Tanobel"</t>
  </si>
  <si>
    <t>Map Fotocopy L Bening Kuning &amp; Merah @1 u/Deva dan Stock "Shopee"</t>
  </si>
  <si>
    <t>Stapler Joyko=4 u/Stock "Shopee"</t>
  </si>
  <si>
    <t>HVS Warna Kuning 500 Lbr=1 u/MIA "Shopee"</t>
  </si>
  <si>
    <t>Stapler Joyko=1 u/Admin Distribusi "Shopee"</t>
  </si>
  <si>
    <t>Aceton Cap Gajah 50 ml=6 u/2 Admin eceran &amp; 4 Stock "Shopee"</t>
  </si>
  <si>
    <t>Paseo 540 Ply isi 48=1 Karton u/Stock "Shopee"</t>
  </si>
  <si>
    <t>Refill MOP Cotton/Kain Pel Biru=1 u/Lt. 2 "Shopee"</t>
  </si>
  <si>
    <t>Pembuka Staples MAX RZ=2 u/Restock "Shopee"</t>
  </si>
  <si>
    <t>Tita Epson 664 Black=10, Black 003=1, Cyan 003=1 u/Restock "Shopee"</t>
  </si>
  <si>
    <t>Tinta HP GT53 Black=3 u/Restock "Shopee"</t>
  </si>
  <si>
    <t>ATS 50 Pendek Gembok Besi=4 u/Admin Gudang Benih - Yunika "Shopee"</t>
  </si>
  <si>
    <t>Pita Ribbon Cartridge Printer Epson=1 u/Printer Dot Matrix Tarizqa "Shopee"</t>
  </si>
  <si>
    <t>Kresek Super Jumbo 55x79 Kuning=10 u/Restock Kebutuhan Eceran "Shopee"</t>
  </si>
  <si>
    <t>Tinta Spidol Permanent Hitam=3 u/Restock ATK "Shopee"</t>
  </si>
  <si>
    <t>Kertas Sticker Thermal 100x150 (500 pcs)=2 u/Restock Online Shop "Shopee"</t>
  </si>
  <si>
    <t>Lakban Fragile Merah 1 slop 6 Roll=2 u/Restock Online Shop "Shopee"</t>
  </si>
  <si>
    <t>Air Minum Cleo Cup 220=10, Cleo Botol 220=10 u/GA "Tanobel"</t>
  </si>
  <si>
    <t>Kable Ties 4.8x400 mm Hitam=2 u/Pipa Kabel CCTV Area Pagar Luar "Shopee"</t>
  </si>
  <si>
    <t>Sabun Cuci Tangan Orange=1 u/Restock "Shopee"</t>
  </si>
  <si>
    <t>Refill Tinta Boilpoin Snowman =12 pCS u/Stock "Shopee"</t>
  </si>
  <si>
    <t>Bolpoin Snowman V-8=24 Pcs u/Helper 20 &amp; Stock 4 "Shopee"</t>
  </si>
  <si>
    <t>Kable Ties 4.8x400 mm Hitam=1 u/Pipa Kabel CCTV Area Pagar Luar "Shopee"</t>
  </si>
  <si>
    <t>Tiang Antrian Hitam=6 u/Area Transit Barang di Gudang "Shopee"</t>
  </si>
  <si>
    <t>Binder Clip=4,Tusuk Sate=1,Benang Wol=2 u/Logistik</t>
  </si>
  <si>
    <t>Kadaka/Sarang Burung=25 u/Bp. Agoes "Shopee"</t>
  </si>
  <si>
    <t>Sikat Pembersih Multifungsi=2 u/Toilet Lt. 1 &amp; Lt. 2 "Shopee"</t>
  </si>
  <si>
    <t>Sapu Lidi Jalanan Taman=6 u/Luar Area Kantor "Shopee"</t>
  </si>
  <si>
    <t>Cikrak Seng=2 u/Luar Area Kantor "Shopee"</t>
  </si>
  <si>
    <t>Amplop Mambo Panjang Tanpa Perekat=25 &amp; Parkir</t>
  </si>
  <si>
    <t>Tinta Epson 003 Hitam L1110/L310=4 u/Stock "Shopee"</t>
  </si>
  <si>
    <t>Lakban 100 1 Dus (72 Pcs) Bening=1 u/Stock "Shopee"</t>
  </si>
  <si>
    <t>Lakban Kuning 46 mm x10 m=2 u/Eceran "Shopee"</t>
  </si>
  <si>
    <t>Spidol Permanen Snowman 1 Pack=1 u/Stock "Shopee"</t>
  </si>
  <si>
    <t>Lem G=3 u/Stock "Shopee"</t>
  </si>
  <si>
    <t>Tali Rafia Hitam 1 Kg=2 u/Stock "Shopee"</t>
  </si>
  <si>
    <t>Stella Aerosol 400 ml Lemon Fresh=3 u/Stock "Shopee"</t>
  </si>
  <si>
    <t>Cikrak Seng=1 u/Luar Area Kantor "Shopee"</t>
  </si>
  <si>
    <t>Kertas Maxi FC 70 F4=13 u/Stock "Bintang Satya Kencana, CV"</t>
  </si>
  <si>
    <t>Kertas PPL CF K4 C=7 &amp; PPL CF K4 PRS=3 u/Stock "Bintang Satya Kencana, CV"</t>
  </si>
  <si>
    <t>Autan Lotion Anti Nyamuk Jeruk=3 u/Admin Eceran "Shopee"</t>
  </si>
  <si>
    <t>Paper Fasterner Acco V-TEC=5 u/Stock "Shopee"</t>
  </si>
  <si>
    <t>Lakban Bening 12 mm 1 Slop (12 Pcs)=1 u/Stock "Shopee"</t>
  </si>
  <si>
    <t>Map L Putih Bening (12 Pcs)=2 u/Stock "Shopee"</t>
  </si>
  <si>
    <t>Aseton 1 Liter=1 u/Gudang Eceran (Relabel) "Shopee"</t>
  </si>
  <si>
    <t>Karung Plastik 100 kg 75x115 cm=100 u/Glangsing Kiriman "Shopee"</t>
  </si>
  <si>
    <t>Karung Plastik 50x80 cm=130 u/Repacking Polybag "Shopee"</t>
  </si>
  <si>
    <t>Kantung ID Card=30 u/Barcode Mobil "Shopee"</t>
  </si>
  <si>
    <t xml:space="preserve">Air Minum Cleo Galon=2 u/R. Direktur "Tanobel"	</t>
  </si>
  <si>
    <t>Timba 40Lt=3 u/Gd.A7,A8,A9</t>
  </si>
  <si>
    <t>Pembersih Sawang = 1 u/Gudang (Parkir)</t>
  </si>
  <si>
    <t>Bambu=3 Pcs u/Pangkas Pelepah Sawit Belakang Pos 1 dan Lobby</t>
  </si>
  <si>
    <t>Media Akar Pakis Papan=50 u/Media Tanam Anggrek "Shopee"</t>
  </si>
  <si>
    <t>T. Sampah=2,T. Sampah Panda=4,Tisu=6,Gayung=1 u/Toilet FKA "Kita Jaya"</t>
  </si>
  <si>
    <t>tusuk Sate Ekonomis=1 u/Kartu Stock "Shopee"</t>
  </si>
  <si>
    <t>Binder Clip Joyko=12 Pack u/Kartu Stock "Shopee"</t>
  </si>
  <si>
    <t>benang Bol=1 u/Kartu Stock "Shopee"</t>
  </si>
  <si>
    <t>TPL Dispenser Lakban=2 u/Packing Online Shop &amp; Eceran "Shopee"</t>
  </si>
  <si>
    <t>Refill Pita Long Life Epson LX300=10 u/Restock "Shopee"</t>
  </si>
  <si>
    <t>Baterai Alkaline AAA isi 6=2 u/Restock "Shopee"</t>
  </si>
  <si>
    <t>Stella Pocket isi 4=1 u/Restock "Shopee"</t>
  </si>
  <si>
    <t>Benang Jahit Karung -+ 150 gram=2 u/Mesin Jahit Zak "Shopee"</t>
  </si>
  <si>
    <t>Tinta Epson 003 Yellow=3, Magenta=3, Cyan=3 u/Restock "Shopee"</t>
  </si>
  <si>
    <t>Ledvance 9 W Paket 5+1 Pcs=2 u/Restock "Shopee"</t>
  </si>
  <si>
    <t>Sitrun Cap Gajah 50 gram=10 u/Restock "Shopee"</t>
  </si>
  <si>
    <t>Tinta Epson 003 Magenta=1 u/Restock "Shopee"</t>
  </si>
  <si>
    <t>Rak Jemuran CH-15=1 u/Jemur Peralatan OB "Shopee"</t>
  </si>
  <si>
    <t>Tinta Trodat 7011 (25 ml) Biru=3 u/Nia &amp; Stock "Shopee"</t>
  </si>
  <si>
    <t>Amplop Coklat 1/2 Folio (19x25cm)=1 u/Mirza &amp; Stock "Shopee"</t>
  </si>
  <si>
    <t>V-Tec Sticky Notes Hijau=1, Kuning=1, Pink=1 u/Nabila,Fira,Stock "Shopee"</t>
  </si>
  <si>
    <t>Wipro Gunting Rumput 12 SF-318S=1 u/Potong Rumput Area Kantor "Tokopedia"</t>
  </si>
  <si>
    <t>Tinta Epson 664 Magenta=3, 003 Magenta=1 u/Restock "Shopee"</t>
  </si>
  <si>
    <t>Lakbban Bening Coklat Seven Star 45 mm 100y 1 Karton=1 u/Restock "Shopee"</t>
  </si>
  <si>
    <t>Benang Kasur=1 u/Menempel Kartu Stock "Shopee"</t>
  </si>
  <si>
    <t>Tusuk Sempol 22cm=1 u/Menempel Kartu Stock "Shopee"</t>
  </si>
  <si>
    <t>Binder Clip Joyko=12 u/Menempel Kartu Stock "Shopee"</t>
  </si>
  <si>
    <t>PPL CF K3 PRS=2 u/Stock "Bintang Satya Kencana, CV"</t>
  </si>
  <si>
    <t>Sumpit=6 Pack, Benang Boll=2Pcs u/Kartu Stock Gudang "Mocca &amp; Senyum Media"</t>
  </si>
  <si>
    <t>Pulpen Standard Hitam &amp; Biru @ 1 Pack u/Restock "Shopee"</t>
  </si>
  <si>
    <t>Kartu Stock Kuning=2 u/Restock "Shopee"</t>
  </si>
  <si>
    <t>Kartu Stock Kuning=8 u/Restock "Shopee"</t>
  </si>
  <si>
    <t>Lem Batang Joyko GS-09=3 u/Lia (1) &amp; Stock (2) "Shopee"</t>
  </si>
  <si>
    <t>Superpell Lemon &amp; Apel @10 u/Restock "Shopee"</t>
  </si>
  <si>
    <t>Toilet Cleaner Pembersih Noda=4 u/Restock "Shopee"</t>
  </si>
  <si>
    <t>Stella Aerosol Orange 350 ml=3 u/Restock "Shopee"</t>
  </si>
  <si>
    <t>LED Hannochs 25 W Putih=3 u/Restock "Shopee"</t>
  </si>
  <si>
    <t>Kenko Binder Clip 107=5 u/Penempelan Kartu Stok "Agung Wardana"</t>
  </si>
  <si>
    <t>Rinso Detergent Bubuk=1 Renceng u/Cuci Keset Direksi "Shopee"</t>
  </si>
  <si>
    <t>Karet Gelang Mahkota 500 gram=3 u/Restock "Shopee"</t>
  </si>
  <si>
    <t>Tali Plastik Rafia Hitam 1 kg=2 u/Restock "Shopee"</t>
  </si>
  <si>
    <t>Lakban Fragile Merah 1 Slop 6 Roll=2 u/Restock "Shopee"</t>
  </si>
  <si>
    <t>Karung Plastik Hijau Muda 115x75=100 u/Restock "Shopee"</t>
  </si>
  <si>
    <t>Karet Gelang Kuning 500 gram=3 u/Restock "Shopee"</t>
  </si>
  <si>
    <t>Kantong Kresek Jumbo Bening=15 u/Restock "Shopee"</t>
  </si>
  <si>
    <t>Stabilo Boss &amp; Neon Kuning=5 u/Linda (1) &amp; Stock (4) "Shopee"</t>
  </si>
  <si>
    <t>Benang Bol=1 u/Kartu Stok "Senyum Media"</t>
  </si>
  <si>
    <t>Catridge HP GT51 Hitam=1 u/Printer HP 310 Nonik "Bitcom"</t>
  </si>
  <si>
    <t>Coffee Capsule Unakaffe Flores=1,Mandheling=1,Toraja=1 u/Bp. Agoes "Shopee"</t>
  </si>
  <si>
    <t>Kantong Kresek Bening 28cm &amp; 35cm @ 10 u/Restock "Shopee"</t>
  </si>
  <si>
    <t>Batu Baterai ABC AA Biru 4 Pcs=3 u/Restock "Shopee"</t>
  </si>
  <si>
    <t>Isi Staples Joyko No.10 Isi 20=2 u/Restock "Shopee"</t>
  </si>
  <si>
    <t>Pulpen Boxy 002p 0.3 mm Hitam=1 u/Ika "Shopee"</t>
  </si>
  <si>
    <t>Price Tag/Data Strip Biru 10 Pcs=1 u/Rak Gudang Eceran "Shopee"</t>
  </si>
  <si>
    <t>Spidol Toyo Putih=2 u/Menandari Bank Kendaraan "Shopee"</t>
  </si>
  <si>
    <t>Circle Cutter 4-19 cm=1 u/Potong Karton Packaging Online Shop "Shopee"</t>
  </si>
  <si>
    <t>Gunting Sedang Joyko=1 u/Gunting Barcode "Shopee"</t>
  </si>
  <si>
    <t>Paket 4 Tinta Epson 003 Black=2, Tinta Epson 003 Black=1 u/Stock "Shopee"</t>
  </si>
  <si>
    <t>Tinta Epson 003 Black=1 u/Admin Distribusi "Shopee"</t>
  </si>
  <si>
    <t>Blueprint Photo Paper A4 230 gsm=2 u/Bp.Yanto &amp; Nonik "Shopee"</t>
  </si>
  <si>
    <t>Kertas Sticker Blueprint A4 120 gsm=1 u/Bp.Yanto "Shopee"</t>
  </si>
  <si>
    <t>Sapu Ijuk Hitam=1 u/R. Studio FKA "Shopee"</t>
  </si>
  <si>
    <t>Jilid Spiral &amp; Laminating Peraturan Perusahaan "Mangli Putra Jaya"</t>
  </si>
  <si>
    <t>Nota Kontan NCR 2 Ply=6 Pcs u/Bp/Helmi Sarwoko (Kanvas)</t>
  </si>
  <si>
    <t>Gembok ATS Nekel 50mm Pendek=10 u/Kend.Q9 (1), Baru (6), Stock (3) "Shopee"</t>
  </si>
  <si>
    <t>Lap Kanebo Lembaran=1 u/R. Kantor Logistik "Shopee"</t>
  </si>
  <si>
    <t>Spidol Permanent Merah=1 u/Marking Accu Kendaraan "Shopee"</t>
  </si>
  <si>
    <t>Lap Kanebo=3 u/OB "Shopee"</t>
  </si>
  <si>
    <t>Sticky Notes Kuning=2, Orane=1, Kecil=1 u/Sales &amp; Stock "Shopee"</t>
  </si>
  <si>
    <t>V-Tec Sticky Notes Kuning=2,Hijau=1 u/Syahra (1), Stock (2) "Shopee"</t>
  </si>
  <si>
    <t>Penggaris=2 u/Putri &amp; Restock "Agung Wardana"</t>
  </si>
  <si>
    <t>Kalkulator=5 u/Linda, Putri, &amp; (3) Restock "Agung Wardana"</t>
  </si>
  <si>
    <t>Lakban 200 yard Coklat 1 Box (54 Roll)=1 u/packing Barang "Shopee"</t>
  </si>
  <si>
    <t>Tinta HP GT53&amp;GT52 Yellow=1 u/Nonik "Shopee"</t>
  </si>
  <si>
    <t>Tinta Refill Spidol Permanen Hitam=3 u/Restock "Shopee"</t>
  </si>
  <si>
    <t>Stella Aerosol Varbena 400 ml=3 u/Restock "Shopee"</t>
  </si>
  <si>
    <t>Vitamin C Afi Farma 250 mg=5 u/Siwi (2), Stock (3) "Shopee"</t>
  </si>
  <si>
    <t>Amplop Panjang Non Perekat=75 u/Restock "Agung Wardana"</t>
  </si>
  <si>
    <t>Kardus Lembaran 30 x 30 cm=50 u/Packing Online Shop "Shopee"</t>
  </si>
  <si>
    <t>Kertas Kayu (Kraft)=25 Lbr u/Pak Heru "Agung Wardana"</t>
  </si>
  <si>
    <t>Tinta HP GT52-53 Yellow=1 u/Nonik "Shopee"</t>
  </si>
  <si>
    <t>Price Tag Hijau &amp;Biru 10 Pcs@6, Merah=7 u/Nama&amp;ED Barang eceran "Shopee"</t>
  </si>
  <si>
    <t>Konicare Minyak Telon 60 ml=1 u/Luluk "Shopee"</t>
  </si>
  <si>
    <t>label Barcode 100 x 150 mm=5 u/Online Shop "Shopee"</t>
  </si>
  <si>
    <t>Swallow Kamper Toilet Collor Ball=5 u/Restock "Shopee"</t>
  </si>
  <si>
    <t>Pledge Polish Orange 170 ml=1 u/Pembersih Porselen "Tokopedia"</t>
  </si>
  <si>
    <t>Bussiness File Folio Hitam Isi 12=1 u/Siwi (8) &amp; Stock (4) "Shopee"</t>
  </si>
  <si>
    <t>Pensil Mekanik Faber Castell 2B=3 u/Siwi (1) &amp; Stock (2) "Shopee"</t>
  </si>
  <si>
    <t>Baygon Aerosol Lavender 750 ml=1 u/Basmi Nyamuk "Shopee"</t>
  </si>
  <si>
    <t>Bussiness File Folio Hitam Isi 12=1 u/Siwi "Tokopedia"</t>
  </si>
  <si>
    <t>Sikat Bebek Toilet=1 u/Toilet Pos 1 "Shopee"</t>
  </si>
  <si>
    <t>Sapu Lidi=6 u/OB Luar "Shopee"</t>
  </si>
  <si>
    <t>Stempel Flash Biru=1 u/Logistik "Andhika Digital"</t>
  </si>
  <si>
    <t>Stempel Pad=2 u/Admin Distribusi (Tunai (1) &amp; Kepada (1)) "Shopee"</t>
  </si>
  <si>
    <t>Tinta HP GT53&amp;GT52 Magenta=1 u/Nonik "Shopee"</t>
  </si>
  <si>
    <t>Air Minum Cleo Cup 220=10 u/GA "Tanobel"</t>
  </si>
  <si>
    <t>Tipe X Kertas Joyko CT-522=2 u/Stock "Shopee"</t>
  </si>
  <si>
    <t>Tipe X Kertas Joyko CT-522=1 u/Admin Gudang Benih/Induk "Shopee"</t>
  </si>
  <si>
    <t>Spidol Snowman Merah=3 u/R.Meeting Lt.1 "Agung Wardana"</t>
  </si>
  <si>
    <t>Kertas Maxi Bright HVS A4=10 u/Luluk (1) &amp; Stock (9) "Agung Wardana"</t>
  </si>
  <si>
    <t>Kartu Stock Kuning=10 u/Restock "Shopee"</t>
  </si>
  <si>
    <t>Isi Tinta Pulpen Hitam 1 Lusin=3 u/Restock "Shopee"</t>
  </si>
  <si>
    <t>Kresek Super Jumbo 55x79 Kuning=10 u/Restock "Shopee"</t>
  </si>
  <si>
    <t>Lakban Fragile 45x200Y Merah putih=12 u/Restock "Shopee"</t>
  </si>
  <si>
    <t>Tali Rafia Pandawa Hitam 1 kg=2 u/Restock "Shopee"</t>
  </si>
  <si>
    <t>Lakban Bening 200 yard BC x 45 m=9 u/Restock "Shopee"</t>
  </si>
  <si>
    <t>Tinta HP GT53&amp;GT52 Cyan=1 u/Nonik "Shopee"</t>
  </si>
  <si>
    <t>Lakban Coklat 200 yard 1 dus (54 Roll)=1 u/Restock "Shopee"</t>
  </si>
  <si>
    <t>Vixal 750 ml=3, Ekonomi Liq Jeruk Nipis 160 ml=6 u/Stock "Roxy Square"</t>
  </si>
  <si>
    <t>Air Minum Cleo Botol 220=10 u/GA "Tanobel"</t>
  </si>
  <si>
    <t>Reaim Tangga Hitam 7 Layer 205CM=1 u/Gudang Eceran "Shopee"</t>
  </si>
  <si>
    <t>Pisau Pemotong Kayu Hitam 40CM=1 u/OB Luar "Shopee"</t>
  </si>
  <si>
    <t>Calok Arit Panjang=1 u/Peralatan OB Luar "Shopee"</t>
  </si>
  <si>
    <t>Papan Clipboard=3 u/Perawatan Hewan Peliharaan (1) &amp; Stok(2)"Agung Wardana"</t>
  </si>
  <si>
    <t>Paracetamol Mersifarma 500MG=1 u/Siwi HRD "Shopee"</t>
  </si>
  <si>
    <t>Demacolin 10 Tablet=2 u/Siwi HRD "Shopee"</t>
  </si>
  <si>
    <t>Paper Clip V-Tech No. 1=10 u/Mirza (1) &amp; Stock (9) "Shopee"</t>
  </si>
  <si>
    <t>paper Clip Joyko No. 3=10 u/LPB (1) &amp; Stock (9) "Tokopedia"</t>
  </si>
  <si>
    <t>Sumpit Bambu+Tusuk Gigi (Isi 50 Psg)=4 u/Penempelan Kartu Stock "Tokopedia"</t>
  </si>
  <si>
    <t>Pembersih Kerak Zenic=5 u/Toilet FKA &amp; Lt.2 (1), Stock (4) "Shopee"</t>
  </si>
  <si>
    <t>Acetone=1liter u/Relabel "Shopee"</t>
  </si>
  <si>
    <t>Gunting Joyko SC-8 =1 u/Gudang Eceran "ShopeePay"</t>
  </si>
  <si>
    <t>paper Clip V-Tec Triangle =10 u/LPB (1) &amp; Stock (9) "ShopeePay"</t>
  </si>
  <si>
    <t>Kain Lap Microfiber MS =1 u/peralatan OB lantai "ShopeePay"</t>
  </si>
  <si>
    <t>Cairan Silikon Polish Yellow 450ml=1 u/peralatan OB Lantai "ShopeePay"</t>
  </si>
  <si>
    <t>Sikat Tangki Air Ong Houseware =1 u/sikat tandon area kantor "ShopeePay"</t>
  </si>
  <si>
    <t>Pensil Mekanik Faber Castell=3 u/Nabila (1) dan Stok (1) "ShopeePay"</t>
  </si>
  <si>
    <t>Kopi Excelso Mandheling (2) u/Direktur "Golden Market"</t>
  </si>
  <si>
    <t xml:space="preserve">Pensil Mekanik=3 u/Nabila, Ahmad, Stock (1) "Agung Wardana" </t>
  </si>
  <si>
    <t>Flasdisk Sandisk CZ410 32G=1 u/Backup HP&amp;Kontak Inventaris Kantor "Shopee"</t>
  </si>
  <si>
    <t>Kertas Flipchart 65x100=100lbr u/Maintanance Kelistrikan CCTV "Shopee"</t>
  </si>
  <si>
    <t>Fresly Air Care Mountain Breeze=2 u/R. Meeting lt.1&amp;R.Meeting Baru "Shopee"</t>
  </si>
  <si>
    <t>Vanish Cair Penghilang Noda 150ml=12 u/Toilet FKA, Toilet lt.1&amp;2 "Shopee"</t>
  </si>
  <si>
    <t>Kamper Toilet Swallow 5S=12pcs u/Toilet lt.1&amp;2(1), stock(11)  "Shopee"</t>
  </si>
  <si>
    <t>Tip Ex Correction=12pcs u/Nabila&amp;Fira, sisanya u/stok "Shopee"</t>
  </si>
  <si>
    <t>Isolasi 12MM 72 Yard Lakban Bening=12 u/Restock "Tokopedia"</t>
  </si>
  <si>
    <t>Kantong Kresek Bening 24cm=10 &amp; 35cm=10 u/ Restock "Shopee"</t>
  </si>
  <si>
    <t>Alat Lakban Besi P002M=1 u/Koordinator Werehouse "Shopee"</t>
  </si>
  <si>
    <t>Kemoceng Bulu Ayam=1 u/Ruang FKA "Shopee"</t>
  </si>
  <si>
    <t>Sapu Ijuk Hitam=1 u/Ruang FKA "Shopee"</t>
  </si>
  <si>
    <t>Pel Sumbu ExtraLarge Nagoya=1 u/Ruang FKA "Shopee"</t>
  </si>
  <si>
    <t>Tinta Epson 003 Magenta=2 u/Restock (Dana kembali) "Shopee"</t>
  </si>
  <si>
    <t>Stabilo Joyko Green=5 u/KEU Nadia(1), Sisa Stock(4) "Shopee"</t>
  </si>
  <si>
    <t>Air Minum Cleo Botol 220=5 u/GA "Tanobel"</t>
  </si>
  <si>
    <t>Tinta Epson 003 Magenta=3 u/Restock "Shopee"</t>
  </si>
  <si>
    <t>Isi Staples Joyko=60 pcs, u/Sales (Hendra,Nonik, Nina) &amp; Stok(57) "Shopee"</t>
  </si>
  <si>
    <t>Amplop Mambo (100 Lbr)=50 u/Stock "Shopee"</t>
  </si>
  <si>
    <t>Sikat WC Gepeng Mikasa=1 u/Sikat Toilet FKA&amp;Toilet Barat Gudang "Shopee"</t>
  </si>
  <si>
    <t>Tinta HP GT53 Black=3, Yellow=1, Magenta=1, Cyan=1 u/KEU Restock "Shopee"</t>
  </si>
  <si>
    <t>Lem Stick Kertas Montana 100g=5 u/ Ika&amp;Lia (2) dan Restock (3) "Shopee"</t>
  </si>
  <si>
    <t>Karet Gelang Kiloan 500 gram=4 u/Keu Stock "Shopee"</t>
  </si>
  <si>
    <t>Sapu Lantai Ijuk=1, u/Lantai 1 "Shopee"</t>
  </si>
  <si>
    <t>Vanish 150 ml=24, Harpic 450 ml=12, Cling 425 ml=12 u/Stock "Roxy Square"</t>
  </si>
  <si>
    <t>Baterai Cas RakkiPanda=1, u/Baterai Alat Display Produk Live "Shopee"</t>
  </si>
  <si>
    <t>Tinta Trodat Biru 7011 25ml=3 u/Keu Restock "Shopee"</t>
  </si>
  <si>
    <t>Pembersih Kamar Mandi Vixal=12, u/Lantai 2 (1) &amp; Stock (11) "Shopee"</t>
  </si>
  <si>
    <t>Coffee Capsule Unakaffe Toraja=3 u/Bp. Agoes "Shopee"</t>
  </si>
  <si>
    <t>Stamp Pad Trodat PT.KARISMA Seri 4961 u/Direksi</t>
  </si>
  <si>
    <t>Nota Catatan BBM=1 rim "DNY Printing"</t>
  </si>
  <si>
    <t xml:space="preserve">Fotokopi Lembar Soal Psikotest Karyawan Baru </t>
  </si>
  <si>
    <t>Tinta Epson 003 Hitam L3210=10 u/Maitenance Printer(1)&amp;Stok(9) "Shopee"</t>
  </si>
  <si>
    <t>Shampoo Motor&amp;Mobil Wax 1 Liter=2 u/Cuci Kendaraan "Shopee"</t>
  </si>
  <si>
    <t>Lem Cair Korea Dua Warna=3 u/Gudang Bawah (1) &amp; Stock (2) "Shopee"</t>
  </si>
  <si>
    <t>ATK (Materai 10.000=100Lbr) "Kantor Pos Jember"</t>
  </si>
  <si>
    <t>Sticker Bulat Viny=1 u/Sampel Segel Inner Box Paket Log&amp;Purchasing "Shopee"</t>
  </si>
  <si>
    <t>Tea Hijau Jenggot (4) u/Bu Ita</t>
  </si>
  <si>
    <t>Kresek Natural uk. 40 Lechi=1 u/Restock (Keu) "Shopee"</t>
  </si>
  <si>
    <t>PPL EV 90 PPS=30 Box u/Stock "Bintang Satya Kencana, CV"</t>
  </si>
  <si>
    <t>Sabun Cuci Piring Ekonomi Power Liquid =5 u/Restock (10 pcs) CCTV "Shopee"</t>
  </si>
  <si>
    <t>Sabun Cuci Piring Ekonomi Power Liquid 1500ML=2 u/Restock "Shopee"</t>
  </si>
  <si>
    <t>Rak Galon New Model Black=1 u/Mess Tegal Besar Pak. Arfin "Shopee"</t>
  </si>
  <si>
    <t>V-Tec Sticky Notes Kuning=2 u/Nabila (1) &amp; Stock (5) "Shopee"</t>
  </si>
  <si>
    <t>Sticker Bulat Viny=200 u/Segel Inner Box Paket Ulat (Sales)  "Shopee"</t>
  </si>
  <si>
    <t>Stella Aerosol Orange 350ml=3 u/Ruang Meeting Lt.1 (1) &amp; Stock (2) "Shopee"</t>
  </si>
  <si>
    <t>Benang Kasur Rami Cap Jagung=2 u/ICS (Kartu Stock) "Shopee"</t>
  </si>
  <si>
    <t>Bulpen Hitam Standard AE7=12 u/Stock Bulpen Hitam "Shopee"</t>
  </si>
  <si>
    <t>Lakban Bening Putih 200 yard x 45mm=1 u/Restock "Shopee"</t>
  </si>
  <si>
    <t>Tinta Spidol Permanent Snowman=3 u/Refil Spidol Permanent Hitam "Shopee"</t>
  </si>
  <si>
    <t>Tipex Cair Merah JK-01 Joyko=1 u/Restok "Shopee"</t>
  </si>
  <si>
    <t>Kantong Kresek Uk. 28x48cm Bening=15 u/Restock "Shopee"</t>
  </si>
  <si>
    <t>Lakban Coklat 200 yard x 45mm=54roll u/Restock "Shopee"</t>
  </si>
  <si>
    <t>Kertas F4=15 Box &amp; A4=6 Box u/Stock "Agung Wardana"</t>
  </si>
  <si>
    <t>Super Pell Pembersih Lantai Lemon=12 u/Restock "Shopee"</t>
  </si>
  <si>
    <t>Gembok Chrome Panjang Majesty=1 u/Kandang Burung "Shopee"</t>
  </si>
  <si>
    <t>Kopi Arabica Badaru=1 u/Direktur (P. agoes) "Shopee"</t>
  </si>
  <si>
    <t>Keran Tutup Galon=1 u/Direksi "Shopee"</t>
  </si>
  <si>
    <t>Binder Klip 107-19MM=36 u/ICS (30) &amp; Stok (6) "Shopee"</t>
  </si>
  <si>
    <t>Gunting Kodok=1 u/Gudang Eceran "Shopee"</t>
  </si>
  <si>
    <t>Sticker Bulat Viny S39=200 u/Segel Inner Box Paket Ulat (Sales)  "Shopee"</t>
  </si>
  <si>
    <t>Benang Kasur Cap Jagung=10 u/ICS (Menempel Kartu Stok)  "Shopee"</t>
  </si>
  <si>
    <t>Baygon Aero Citrus Fresh 753ml=2 u/Musholla (1) &amp; Restok (1) "Shopee"</t>
  </si>
  <si>
    <t>Alat Lakban Besi P002M=1 u/Admin gudang Benih "Shopee"</t>
  </si>
  <si>
    <t>Sapu Lidi Ikat Super Besar=1 u/OB Luar "Shopee"</t>
  </si>
  <si>
    <t>Batu Asah/Gosok 8Inch=1 u/OB Luar "Shopee"</t>
  </si>
  <si>
    <t>Fotocopy Lembar Soal &amp; Jawaban Psikotest Karyawan Baru</t>
  </si>
  <si>
    <t>Tali Rafia Hitam Plastik 1 kg=2 u/Kebutuhan Gudang "Shopee"</t>
  </si>
  <si>
    <t>Amplop Coklat Ukuran Folio=100 u/Admin SJ "Shopee"</t>
  </si>
  <si>
    <t>Shampo Motor&amp;Mobil Wax 1 liter=3 u/Cuci Kendaraan "Shopee"</t>
  </si>
  <si>
    <t>Sikat WC Gepeng Mikasa=1 u/Pak. Asep OB "Shopee"</t>
  </si>
  <si>
    <t>Spidol Jumbo Snowman Biru=2, Hitam=2 u/Stok Ruang Meetin Lt.1 "Shopee"</t>
  </si>
  <si>
    <t>Spidol Permanen Jumbo Snowman Merah=2 u/Stok Ruang Meeting Lt.1 "Shopee"</t>
  </si>
  <si>
    <t>Tempat Sampah Roda 32 Liter=1 u/Sampah Area Ekspedisi Dekat FKA "Shopee"</t>
  </si>
  <si>
    <t>Magicom Miyako=2 u/Memasak Pakan Anjing "Jember Makmur, CV"</t>
  </si>
  <si>
    <t>Serbet Handuk Uk.50x50=1, u/Direksi Kain Lap Handuk "Shopee"</t>
  </si>
  <si>
    <t>Headset Logitech H111=30 u/All Sales Online "Shopee"</t>
  </si>
  <si>
    <t>Lakban Kain Hitam 2Inchx11Meter=4 u/Kor.Werehouse(1) &amp; Stok(3) "Shopee"</t>
  </si>
  <si>
    <t>Sumpit Bambu+Tusuk Gigi (Isi 50 Psg)=9 u/Kartu Stock(5) &amp; Stok(4) "Shopee"</t>
  </si>
  <si>
    <t>Sapu Lidi =2 u/Luar Area Kantor "TK. Normal Jaya"</t>
  </si>
  <si>
    <t>Sapu Gama Kipas=7 u/Sapu Lantai Gudang "Shopee"</t>
  </si>
  <si>
    <t>Kemoceng/Sulak Rafia=2 u/Koordinator Warehouse "Shopee"</t>
  </si>
  <si>
    <t>Gembok ATS Besi Nekel 50mm=4 u/Kendaraan L-300(2) &amp; Stok(2) "Shopee"</t>
  </si>
  <si>
    <t>Roda Kursi Kantor Nylon=1 u/Roda Kursi yang Patah "Shopee"</t>
  </si>
  <si>
    <t>Pot Tanaman Ceper u/GA Area Parkir "UD. Karya Dewata"</t>
  </si>
  <si>
    <t>Air Minum Cleo Cup 220=6, Cleo Botol 220=10 u/GA "Tanobel"</t>
  </si>
  <si>
    <t>Karet Gelang Mahkota 500 gram=4 u/Restock "Shopee"</t>
  </si>
  <si>
    <t>Kartu Stok Barang Kecil Warna Kuning=10 u/Restok "Shopee"</t>
  </si>
  <si>
    <t>Stella Aerosol Lemon 350 ml=3 u/Restock "Shopee"</t>
  </si>
  <si>
    <t>Keset Mie Bihun Antislip Uk 35x60=1 u/Depan Ruang Logistik "Shopee"</t>
  </si>
  <si>
    <t>Kantong Plastik=10pack u/Repacking GW Magicro "Mitra Plastik"</t>
  </si>
  <si>
    <t>DNY Printing via Fandy Suryadi u/Biaya Cetak Nota Service Kendaraan 40 pcs</t>
  </si>
  <si>
    <t>Shampoo Motor&amp;Mobil Wax 5 Liter=1 u/Cuci Kendaraan "Shopee"</t>
  </si>
  <si>
    <t>Kartu Stock Kuning Kwarto Uk. 15x21=5 u/Restok "Shopee"</t>
  </si>
  <si>
    <t>Gembok ATS Besi Nekel 50mm=6 u/Driver &amp; Stok "Shopee"</t>
  </si>
  <si>
    <t>Kartu Stock Kuning=5 u/Stock "Shopee"</t>
  </si>
  <si>
    <t>Kuas Cat tembok &amp; Kayu 2.5 Inch=1 u/OB Membersihkan Kerak Wastafel "Shopee"</t>
  </si>
  <si>
    <t xml:space="preserve">Kopi Bubuk=2 u/R. Direktur "Golden Market" </t>
  </si>
  <si>
    <t>Spidol,Tinta Spidol@3 u/Checker (Spidol),Eceran (Tinta=1),Stock(2) "Shopee"</t>
  </si>
  <si>
    <t>Penggaris Besi=4 u/Checker "Shopee"</t>
  </si>
  <si>
    <t>Keset Mie Bihun=2 u/Kamar Mandi Lt 1 "Shopee"</t>
  </si>
  <si>
    <t>Karpet Keset PVC=1 u/Kamar Mandi Lt 2 "Shopee"</t>
  </si>
  <si>
    <t>Kertas PPL CF K3 C=7 &amp; PPL CF K4 PRS=6 u/Stock "Bintang Satya Kencana, CV"</t>
  </si>
  <si>
    <t>Minyak Kayu Putih=1 u/Siwi "Shopee"</t>
  </si>
  <si>
    <t>Tolak Angin Cair=1 Box u/Siwi "Shopee"</t>
  </si>
  <si>
    <t>Clear Holder u/Nadia "Shopee"</t>
  </si>
  <si>
    <t>Paket Resin 100gr u/Nambal Pail "Shopee"</t>
  </si>
  <si>
    <t>Tmeez Pembersih Kamar Mandi u/Toilet Lt 1&amp;Mushola "Shopee"</t>
  </si>
  <si>
    <t>Zenic u/Toilet Lt 1&amp;Mushola(1),Stock(3)  "Shopee"</t>
  </si>
  <si>
    <t>Tolak Angin Cair Herbal=1 Box u/Siwi "Shopee"</t>
  </si>
  <si>
    <t>Makanan Ringan Hapytos u/Ibu Annelia</t>
  </si>
  <si>
    <t>Faber Castell=5 u/Novi Hendra(2),Stock(3) "Shopee"</t>
  </si>
  <si>
    <t>Air Minum Cleo Cup 220=10, Cleo Botol 220=5, Cleo Galon=2 u/R. Direktur "Ta</t>
  </si>
  <si>
    <t>Lakban Bening 200 Yard=9 u/Warehouse(6),Stock(48) "Shopee"</t>
  </si>
  <si>
    <t>Kertas Flipchart=4 u/R.Meeting Lt 1(25),Stock(75) "Shopee"</t>
  </si>
  <si>
    <t>Amplas Duco 220,Amplas Duco 400@3 u/Kerak Toilet "Shopee"</t>
  </si>
  <si>
    <t>Bubble Wrap Grade A 3kg Hitam=2 Roll u/Gudang Eceran "Bubble Wrap Jember"</t>
  </si>
  <si>
    <t>Kabel Ties Hitam=2 u/GA&amp;Security Stock "Shopee"</t>
  </si>
  <si>
    <t>Seagull Kamper Karbol=12 u/Kamar Mandi&amp;Mushola(1),Stock(11) "Shopee"</t>
  </si>
  <si>
    <t>Stella Fresh Pocket=5 u/Direksi(1),Stock(4)"Shopee"</t>
  </si>
  <si>
    <t>Lem G Orlee=3 u/Lem Gorden R.direksi (1),u/Stok (2) "Shopee"</t>
  </si>
  <si>
    <t>Convex Mirror Outdoor 60cm=1 u/Depan Gerbang Pos 1 "Shopee"</t>
  </si>
  <si>
    <t>Gula Sachet=1 "Tropicana" u/ Tamu "Alfamart"</t>
  </si>
  <si>
    <t>Refil Kain Pel Mop Jepit=1 u/Pel R.direksi "Shopee"</t>
  </si>
  <si>
    <t>Keset Karpet PVC Mie Bihun=1 u/Keset Bawah Tangga Uk.3 meter "Shopee"</t>
  </si>
  <si>
    <t>Refil Pisau Cutter Besar=5 u/Restock "Shopee"</t>
  </si>
  <si>
    <t>Isolasi Double Tape PE=5 u/Perekat Alat Jaringan(1),Stock(4) "Shopee"</t>
  </si>
  <si>
    <t>Amplop Paperline=5 u/Restock Amplop Kecil Perekat "Shopee"</t>
  </si>
  <si>
    <t>Paket 4 Botol Tinta Epson=3 u/Linda(1),Stock(11) "Shopee"</t>
  </si>
  <si>
    <t>Tinta 664M Series=8 u/Restock "Shopee"</t>
  </si>
  <si>
    <t>Pengharum Ruangan=2 "Stella" u/Ruangan "Alfamart"</t>
  </si>
  <si>
    <t>Refil 8758/LX 300=15 u/Lady "Bitcom"</t>
  </si>
  <si>
    <t>Fotocopy Lembar Jawaban Psikotest Karyawan Baru</t>
  </si>
  <si>
    <t>Semprotan Jet Shower=1 u/Toilet Pria Lt 2 "Shopee"</t>
  </si>
  <si>
    <t>Sikat Lantai Plastik=1 u/Sikat Toilet Lt 1 "Shopee"</t>
  </si>
  <si>
    <t>Shampoo Motor&amp;Mobil Wax 1 Liter=1 u/Cuci Kendaraan "Shopee"</t>
  </si>
  <si>
    <t>Keran Air Wastafel Silver=1 u/Wastafel Gudang Belakang "Shopee"</t>
  </si>
  <si>
    <t>Selang Stainless Uk 40 Cm=1 u/Wastafel Gudang Belakang "Shopee"</t>
  </si>
  <si>
    <t>Stella Refil Matic=1 u/Toilet Lt 2 "Shopee"</t>
  </si>
  <si>
    <t>Demacolin 1 Strip=4 u/Luluk(2),Stock(2) "Shopee"</t>
  </si>
  <si>
    <t>Penebah Kasur Lidi Hijau &amp; Pink @1 u/Mushola Lt 2 "Shopee"</t>
  </si>
  <si>
    <t>ATK (Amplop Sedang Perekat=5 Slop&amp;Tinta Boardmarker Hitam=3) "Agung Wardana</t>
  </si>
  <si>
    <t>Sapu Lidi=2 Pcs u/OB Luar "Toko Normal Jaya"</t>
  </si>
  <si>
    <t>Seal Tape Jumbo TBA=5 u/Perekat Wastafel &amp; Stock "Shopee"</t>
  </si>
  <si>
    <t>Baterai ABC=3 u/Alta Semprot Stella(2),Stock(10) "Shopee"</t>
  </si>
  <si>
    <t>Lem Pipa Isarplas Kaleng 400gr=1 u/Lem Pipa Paralon "Tokopedia"</t>
  </si>
  <si>
    <t>Stiker Label HVS=1 u/Segel Parcel(19),Stock(81) "Shopee"</t>
  </si>
  <si>
    <t>Refill Spidol Permanen Hitam=6 u/Checker(1),Stock(5) "Shopee"</t>
  </si>
  <si>
    <t>Stop Kran 2 Cabang=1 u/Toilet Lt 2 "Shopee"</t>
  </si>
  <si>
    <t>Lem Kaca Silicone=2 u/Stock "Shopee"</t>
  </si>
  <si>
    <t>Paket 30pcs Tisu Nove 180s=1 u/Direksi(1),Stock(29) "Shopee"</t>
  </si>
  <si>
    <t>Homeneeds Flexible Hose Selang=1 u/Wastafel Gudang Belakang "Shopee"</t>
  </si>
  <si>
    <t>Baygon Kaleng Citrus Fresh=2 u/Lt 2(1),Stock(1) "Shopee"</t>
  </si>
  <si>
    <t>Benang Jahit Karung=3 u/Menjahit Sak "Shopee"</t>
  </si>
  <si>
    <t>Lampu Downlight 12 Watt=4 u/R.Sales Marketing(1),Stock(3) "Shopee"</t>
  </si>
  <si>
    <t>Paket 30pcs Tisu Nove 180s=3 Pcs u/Direksi(1),Stock(29) "Shopee"</t>
  </si>
  <si>
    <t>Set Alat Stella Matic Apple=3 u/Toilet Lt.1&amp;2 "Shopee"</t>
  </si>
  <si>
    <t>Air Minum Cleo Cup 220=10,Cleo Galon=2 u/R. GA "Tanobel"</t>
  </si>
  <si>
    <t>Air Minum Cleo Galon+Air=1 u/R. Logistik "Tanobel"</t>
  </si>
  <si>
    <t>Stella Aerosol Spray Lemon=3 u/R.Meeting Lt.1(1),Stock(2) "Shopee"</t>
  </si>
  <si>
    <t>Lampu Bohlam Putih=2 u/Lampu Kantin&amp;Gerbang(2),Stock(10) "Shopee"</t>
  </si>
  <si>
    <t>Tali Rafia 1kg Besar=2 u/Stock "Shopee"</t>
  </si>
  <si>
    <t>Karung Ukuran 75x115=100 u/Packing(20),Stock(80) "Shopee"</t>
  </si>
  <si>
    <t>Lampu Bohlam Halogen=6 u/Stock "Shopee"</t>
  </si>
  <si>
    <t>Citrun Cap Gajah=10 u/Stock "Shopee"</t>
  </si>
  <si>
    <t>Citrun Cap Gajah=3 u/Stock "Shopee"</t>
  </si>
  <si>
    <t>Pembelian TTB (80 Box) "Embong Semesta Computindo"</t>
  </si>
  <si>
    <t>Kertas HVS F4 80 GSM=1 u/Printer Laserjet Logistik "Shopee"</t>
  </si>
  <si>
    <t>Lakban 200 Yard 1 Dus=1 u/Eceran(6),Restok(48) "Shopee"</t>
  </si>
  <si>
    <t>Kantong Kresek Uk. 28x48cm Bening=10 u/Eceran(2),Restock(8) "Shopee"</t>
  </si>
  <si>
    <t>Kantong Kresek Lechi Uk. 35cm Bening=15 u/Eceran(2),Restock(13) "Shopee"</t>
  </si>
  <si>
    <t>Kantong Kresek Natural Uk. 40cm Bening=10 u/Eceran(1),Restock(9) "Shopee"</t>
  </si>
  <si>
    <t>Gantungan Adhesive Hook Tempel=1 u/Toilet &amp; Mushola Lt 1 "Shopee"</t>
  </si>
  <si>
    <t>Isi Staples Joyko=3 u/Stock "Shopee"</t>
  </si>
  <si>
    <t>Gergaji 18 inch=1 u/Memotong Kayu Pallet "Shopee"</t>
  </si>
  <si>
    <t>Map L Putih Bening (24 Pcs)=2 u/Stock "Shopee"</t>
  </si>
  <si>
    <t>Tip Ex Correction=12 u/stok "Shopee"</t>
  </si>
  <si>
    <t>Amplop Coklat 1/2 Folio (19x25cm)=1 u/Stock "Shopee"</t>
  </si>
  <si>
    <t>Paper Clip V-Tech No. 1(10),Paper Clip V-Tech No. 3(10) u/Stock "Shopee"</t>
  </si>
  <si>
    <t>Bantex ID Card Holder=20 u/Nametag Operator Hand Pallet Elektrik "Shopee"</t>
  </si>
  <si>
    <t>Teh Hijau=4 u/Direktur (Ibu Yuanita)</t>
  </si>
  <si>
    <t>Ember=1 Pcs u/Toilet Dekat Parkir Direksi "Kita Jaya"</t>
  </si>
  <si>
    <t>Paper Clip V-Tech No. 1=10 u/Stock "Shopee"</t>
  </si>
  <si>
    <t>Paper Clip V-Tech No. 1=9 u/Stock "Shopee"</t>
  </si>
  <si>
    <t>V-Tec Sticky Notes Tanggung=4 u/Sukma (1) &amp; Stock (11) "Shopee"</t>
  </si>
  <si>
    <t>Zentor Meteran 5m x 19mm=1 u/Mengukur Kubikasi Barang "Shopee"</t>
  </si>
  <si>
    <t>Stop Kran 2 Cabang=2 u/Toilet Lt 2 "Shopee"</t>
  </si>
  <si>
    <t>Tali Rafia 1kg Besar Hitam=2 u/Koor Warehouse(1),Stock(1) "Shopee"</t>
  </si>
  <si>
    <t>Keset Karpet PVC Mie Polos Hitam=1 u/ R.Keuangan Musholla Lt. 2 "Shopee"</t>
  </si>
  <si>
    <t>Jerigen 20 L=3 Pcs u/Tempat Cadangan BBM "Kita Jaya"</t>
  </si>
  <si>
    <t>Gembok ATS Besi Nekel 50mm=3 u/Gudang Baru "Shopee"</t>
  </si>
  <si>
    <t>Sikat Kawat Baja 4.5 cm=1 u/Sikat Lumut "Shopee"</t>
  </si>
  <si>
    <t>Lakban Air=3 u/Gudang Baru "Gudang Lakban"</t>
  </si>
  <si>
    <t>Jerigen 25 lt=3 u/Solar BBM</t>
  </si>
  <si>
    <t>Kemoceng/Sulak Rafia=3 u/Gudang Baru "Shopee"</t>
  </si>
  <si>
    <t>Sapu Gama Kipas=3 u/Gudang Baru "Shopee"</t>
  </si>
  <si>
    <t>Cikrak Seng=3 u/Gudang Baru "Shopee"</t>
  </si>
  <si>
    <t>Pembuka Kran Patah Dalam=1 u/Alat Membuka Pipa Kran Air "Shopee"</t>
  </si>
  <si>
    <t>Lakban 200 yard 45 mm Bening=1 u/Gudang Eceran(2),Stock(52) "Shopee"</t>
  </si>
  <si>
    <t>Lakban 200 yard 45 mm Bening=1 Roll u/Gudang Eceran "Shopee"</t>
  </si>
  <si>
    <t>Shampoo Motor&amp;Mobil Wax 5 Liter=1 u/Cuci Kendaraan(1),Stock(4) "Shopee"</t>
  </si>
  <si>
    <t>Binder Klip 107-19MM=24 u/ICS &amp; Kartu Stok "Shopee"</t>
  </si>
  <si>
    <t>Lakban 200 yard 45 mm Bening=1 u/Gudang Eceran "Shopee"</t>
  </si>
  <si>
    <t>Kartu Stock Kuning=10 u/ICS Gudang A,B,C "Shopee"</t>
  </si>
  <si>
    <t>Air Minum Cleo Botol=10, Cleo Galon=4 u/GA "Tanobel"</t>
  </si>
  <si>
    <t>Plastik Kartu Panitia Bening=14 u/Kartu Pemeriksaan APAR (Gd.Baru) "Shopee"</t>
  </si>
  <si>
    <t>Stiker APAR=10 u/Gudang Baru "Shopee"</t>
  </si>
  <si>
    <t>Dus Parcel Kecil (375), Dus Parcel Besar (322) "Langgeng Jaya Megabox</t>
  </si>
  <si>
    <t>Plong Besar Joyko Perforator=1 u/Luluk "Shopee"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</si>
</sst>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_(* #,##0_);_(* \(#,##0\);_(* &quot;-&quot;??_);_(@_)"/>
    <numFmt numFmtId="168" formatCode="0.0"/>
    <numFmt numFmtId="169" formatCode="0.0%"/>
    <numFmt numFmtId="170" formatCode="[$-409]d\-mmm\-yy;@"/>
    <numFmt numFmtId="171" formatCode="_-* #,##0.00_-;\-* #,##0.00_-;_-* &quot;-&quot;??_-;_-@_-"/>
    <numFmt numFmtId="172" formatCode="_(* #,##0.000_);_(* \(#,##0.000\);_(* &quot;-&quot;??_);_(@_)"/>
  </numFmts>
  <fonts count="2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rgb="FF0070C0"/>
      <name val="Calibri"/>
      <family val="2"/>
      <scheme val="minor"/>
    </font>
    <font>
      <b/>
      <sz val="14"/>
      <color theme="1"/>
      <name val="Calibri"/>
      <family val="2"/>
      <scheme val="minor"/>
    </font>
    <font>
      <b/>
      <sz val="11"/>
      <color rgb="FFC00000"/>
      <name val="Calibri"/>
      <family val="2"/>
      <scheme val="minor"/>
    </font>
    <font>
      <b/>
      <sz val="11"/>
      <name val="Calibri"/>
      <family val="2"/>
    </font>
    <font>
      <sz val="11"/>
      <color rgb="FF000000"/>
      <name val="Calibri"/>
      <family val="2"/>
    </font>
    <font>
      <sz val="8"/>
      <color rgb="FF000000"/>
      <name val="Calibri"/>
      <family val="2"/>
    </font>
    <font>
      <b/>
      <sz val="8"/>
      <color rgb="FF000000"/>
      <name val="Calibri"/>
      <family val="2"/>
    </font>
    <font>
      <sz val="9"/>
      <color rgb="FF000000"/>
      <name val="Calibri"/>
      <family val="2"/>
    </font>
    <font>
      <b/>
      <sz val="8"/>
      <color theme="1"/>
      <name val="Calibri"/>
      <family val="2"/>
      <scheme val="minor"/>
    </font>
    <font>
      <i/>
      <sz val="11"/>
      <color theme="1"/>
      <name val="Calibri"/>
      <family val="2"/>
      <scheme val="minor"/>
    </font>
    <font>
      <sz val="11"/>
      <name val="Calibri"/>
      <family val="2"/>
      <scheme val="minor"/>
    </font>
    <font>
      <sz val="9"/>
      <name val="Arial"/>
      <family val="2"/>
    </font>
    <font>
      <b/>
      <sz val="13"/>
      <color rgb="FF000000"/>
      <name val="Segoe UI"/>
      <family val="2"/>
    </font>
    <font>
      <b/>
      <sz val="16"/>
      <color rgb="FF1079AE"/>
      <name val="Segoe UI"/>
      <family val="2"/>
    </font>
    <font>
      <b/>
      <sz val="8"/>
      <color rgb="FF800000"/>
      <name val="Segoe UI"/>
      <family val="2"/>
    </font>
    <font>
      <b/>
      <sz val="8"/>
      <color rgb="FF000000"/>
      <name val="Segoe UI"/>
      <family val="2"/>
    </font>
    <font>
      <sz val="9"/>
      <color theme="1"/>
      <name val="Arial"/>
      <family val="2"/>
    </font>
    <font>
      <b/>
      <sz val="9"/>
      <name val="Arial"/>
      <family val="2"/>
    </font>
    <font>
      <b/>
      <sz val="9"/>
      <color rgb="FF000000"/>
      <name val="Arial"/>
      <family val="2"/>
    </font>
    <font>
      <sz val="9"/>
      <color rgb="FF002060"/>
      <name val="Arial"/>
      <family val="2"/>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0" fontId="8" fillId="0" borderId="0"/>
    <xf numFmtId="9" fontId="8" fillId="0" borderId="0" applyFont="0" applyFill="0" applyBorder="0" applyAlignment="0" applyProtection="0"/>
    <xf numFmtId="0" fontId="16" fillId="0" borderId="0">
      <alignment horizontal="center" vertical="top"/>
    </xf>
    <xf numFmtId="0" fontId="17" fillId="0" borderId="0">
      <alignment horizontal="center" vertical="top"/>
    </xf>
    <xf numFmtId="0" fontId="18" fillId="0" borderId="0">
      <alignment horizontal="center" vertical="top"/>
    </xf>
    <xf numFmtId="0" fontId="19" fillId="0" borderId="0">
      <alignment horizontal="left" vertical="center"/>
    </xf>
    <xf numFmtId="0" fontId="19" fillId="0" borderId="0">
      <alignment horizontal="right" vertical="center"/>
    </xf>
    <xf numFmtId="171" fontId="1" fillId="0" borderId="0" applyFont="0" applyFill="0" applyBorder="0" applyAlignment="0" applyProtection="0"/>
  </cellStyleXfs>
  <cellXfs count="118">
    <xf numFmtId="0" fontId="0" fillId="0" borderId="0" xfId="0"/>
    <xf numFmtId="0" fontId="0" fillId="0" borderId="1" xfId="0" applyBorder="1" applyAlignment="1">
      <alignment horizontal="center" vertical="center"/>
    </xf>
    <xf numFmtId="0" fontId="0" fillId="0" borderId="1" xfId="0" applyBorder="1"/>
    <xf numFmtId="164" fontId="0" fillId="0" borderId="1" xfId="1" applyNumberFormat="1" applyFont="1" applyBorder="1" applyAlignment="1">
      <alignment vertical="center"/>
    </xf>
    <xf numFmtId="164" fontId="0" fillId="0" borderId="1" xfId="1" applyNumberFormat="1" applyFont="1" applyBorder="1" applyAlignment="1">
      <alignment horizontal="right" vertical="center"/>
    </xf>
    <xf numFmtId="3" fontId="0" fillId="0" borderId="1" xfId="0" applyNumberFormat="1" applyBorder="1" applyAlignment="1">
      <alignment vertical="center"/>
    </xf>
    <xf numFmtId="0" fontId="0" fillId="0" borderId="1" xfId="0" applyBorder="1" applyAlignment="1">
      <alignment horizontal="left" vertical="center"/>
    </xf>
    <xf numFmtId="14" fontId="0" fillId="0" borderId="1" xfId="0" applyNumberFormat="1" applyBorder="1" applyAlignment="1">
      <alignment horizontal="right" vertical="center"/>
    </xf>
    <xf numFmtId="0" fontId="0" fillId="0" borderId="2" xfId="0" applyBorder="1" applyAlignment="1">
      <alignment horizontal="left" vertical="center"/>
    </xf>
    <xf numFmtId="164" fontId="0" fillId="0" borderId="1" xfId="1" applyNumberFormat="1" applyFont="1" applyFill="1" applyBorder="1" applyAlignment="1">
      <alignment horizontal="center" vertical="center"/>
    </xf>
    <xf numFmtId="164" fontId="0" fillId="0" borderId="1" xfId="1" applyNumberFormat="1" applyFont="1" applyBorder="1" applyAlignment="1">
      <alignment horizontal="center" vertical="center"/>
    </xf>
    <xf numFmtId="0" fontId="0" fillId="0" borderId="1" xfId="0" applyBorder="1" applyAlignment="1">
      <alignment horizontal="left" vertical="center" wrapText="1"/>
    </xf>
    <xf numFmtId="164" fontId="0" fillId="0" borderId="2" xfId="1"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0" fillId="0" borderId="1" xfId="0" applyBorder="1" applyAlignment="1"/>
    <xf numFmtId="1" fontId="0" fillId="0" borderId="1" xfId="0" applyNumberFormat="1" applyBorder="1" applyAlignment="1">
      <alignment horizontal="center"/>
    </xf>
    <xf numFmtId="0" fontId="0" fillId="0" borderId="3" xfId="0" applyBorder="1" applyAlignment="1">
      <alignment horizontal="center" vertical="center"/>
    </xf>
    <xf numFmtId="164" fontId="0" fillId="0" borderId="3" xfId="1" applyNumberFormat="1" applyFon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0" fillId="0" borderId="0" xfId="0" applyBorder="1" applyAlignment="1">
      <alignment horizontal="center" vertical="center"/>
    </xf>
    <xf numFmtId="0" fontId="4" fillId="0" borderId="0" xfId="0" applyFont="1" applyBorder="1"/>
    <xf numFmtId="0" fontId="0" fillId="0" borderId="0" xfId="0" applyBorder="1"/>
    <xf numFmtId="164" fontId="0" fillId="0" borderId="0" xfId="1" applyNumberFormat="1" applyFont="1" applyBorder="1" applyAlignment="1">
      <alignment horizontal="center" vertical="center"/>
    </xf>
    <xf numFmtId="0" fontId="5" fillId="0" borderId="0" xfId="0" applyFont="1" applyBorder="1"/>
    <xf numFmtId="0" fontId="6" fillId="0" borderId="0" xfId="0" applyFont="1" applyBorder="1"/>
    <xf numFmtId="0" fontId="7" fillId="2" borderId="6" xfId="0" applyFont="1" applyFill="1" applyBorder="1" applyAlignment="1">
      <alignment horizontal="center" vertical="center"/>
    </xf>
    <xf numFmtId="14" fontId="7" fillId="2" borderId="6" xfId="0" applyNumberFormat="1" applyFont="1" applyFill="1" applyBorder="1" applyAlignment="1">
      <alignment horizontal="center" vertical="center" wrapText="1"/>
    </xf>
    <xf numFmtId="164" fontId="7" fillId="2" borderId="6" xfId="1" applyNumberFormat="1" applyFont="1" applyFill="1" applyBorder="1" applyAlignment="1">
      <alignment horizontal="center" vertical="center" wrapText="1"/>
    </xf>
    <xf numFmtId="1" fontId="7" fillId="2" borderId="6" xfId="0" applyNumberFormat="1" applyFont="1" applyFill="1" applyBorder="1" applyAlignment="1">
      <alignment horizontal="center" vertical="center"/>
    </xf>
    <xf numFmtId="14" fontId="0" fillId="0" borderId="1" xfId="0" applyNumberFormat="1" applyBorder="1" applyAlignment="1"/>
    <xf numFmtId="0" fontId="0" fillId="0" borderId="0" xfId="0" applyAlignment="1"/>
    <xf numFmtId="164" fontId="0" fillId="0" borderId="1" xfId="1" applyNumberFormat="1" applyFont="1" applyFill="1" applyBorder="1" applyAlignment="1">
      <alignment vertical="center"/>
    </xf>
    <xf numFmtId="0" fontId="0" fillId="0" borderId="1" xfId="0" applyBorder="1" applyAlignment="1">
      <alignment wrapText="1"/>
    </xf>
    <xf numFmtId="0" fontId="0" fillId="0" borderId="2" xfId="0" applyBorder="1" applyAlignment="1"/>
    <xf numFmtId="0" fontId="0" fillId="0" borderId="0" xfId="0" applyFont="1" applyAlignment="1"/>
    <xf numFmtId="3" fontId="0" fillId="0" borderId="1" xfId="0" applyNumberFormat="1" applyBorder="1" applyAlignment="1"/>
    <xf numFmtId="0" fontId="0" fillId="0" borderId="1" xfId="0" applyFill="1" applyBorder="1" applyAlignment="1"/>
    <xf numFmtId="3" fontId="0" fillId="0" borderId="0" xfId="0" applyNumberFormat="1" applyAlignment="1"/>
    <xf numFmtId="0" fontId="0" fillId="0" borderId="3" xfId="0" applyBorder="1" applyAlignment="1"/>
    <xf numFmtId="0" fontId="0" fillId="0" borderId="4" xfId="0" applyBorder="1" applyAlignment="1"/>
    <xf numFmtId="14" fontId="0" fillId="0" borderId="3" xfId="0" applyNumberFormat="1" applyBorder="1" applyAlignment="1"/>
    <xf numFmtId="0" fontId="0" fillId="0" borderId="2" xfId="0" applyBorder="1" applyAlignment="1">
      <alignment vertical="center"/>
    </xf>
    <xf numFmtId="0" fontId="0" fillId="0" borderId="0" xfId="0" applyAlignment="1">
      <alignment horizontal="center" vertical="center"/>
    </xf>
    <xf numFmtId="0" fontId="3" fillId="0" borderId="0" xfId="0" applyFont="1"/>
    <xf numFmtId="168" fontId="0" fillId="3" borderId="1" xfId="0" applyNumberFormat="1" applyFill="1" applyBorder="1" applyAlignment="1">
      <alignment horizontal="center" vertical="center"/>
    </xf>
    <xf numFmtId="0" fontId="9" fillId="0" borderId="0" xfId="2" applyFont="1"/>
    <xf numFmtId="0" fontId="10" fillId="0" borderId="0" xfId="2" applyFont="1"/>
    <xf numFmtId="0" fontId="9" fillId="0" borderId="0" xfId="2" applyFont="1" applyAlignment="1">
      <alignment horizontal="center"/>
    </xf>
    <xf numFmtId="0" fontId="11" fillId="0" borderId="0" xfId="2" applyFont="1"/>
    <xf numFmtId="0" fontId="10" fillId="0" borderId="7" xfId="2" applyFont="1" applyBorder="1" applyAlignment="1">
      <alignment horizontal="center" vertical="center"/>
    </xf>
    <xf numFmtId="0" fontId="9" fillId="0" borderId="7" xfId="2" applyFont="1" applyBorder="1" applyAlignment="1">
      <alignment horizontal="center" vertical="center"/>
    </xf>
    <xf numFmtId="0" fontId="9" fillId="0" borderId="7" xfId="2" applyFont="1" applyBorder="1" applyAlignment="1">
      <alignment vertical="center"/>
    </xf>
    <xf numFmtId="0" fontId="9" fillId="0" borderId="7" xfId="2" applyFont="1" applyFill="1" applyBorder="1" applyAlignment="1">
      <alignment horizontal="center" vertical="center"/>
    </xf>
    <xf numFmtId="0" fontId="9" fillId="0" borderId="7" xfId="2" applyFont="1" applyFill="1" applyBorder="1" applyAlignment="1">
      <alignment vertical="center"/>
    </xf>
    <xf numFmtId="0" fontId="11" fillId="0" borderId="0" xfId="2" applyFont="1" applyFill="1"/>
    <xf numFmtId="0" fontId="12" fillId="0" borderId="8" xfId="2" applyFont="1" applyBorder="1" applyAlignment="1">
      <alignment horizontal="right"/>
    </xf>
    <xf numFmtId="0" fontId="9" fillId="0" borderId="1" xfId="2" applyFont="1" applyBorder="1" applyAlignment="1">
      <alignment horizontal="center" vertical="center"/>
    </xf>
    <xf numFmtId="0" fontId="11" fillId="0" borderId="0" xfId="2" applyFont="1" applyAlignment="1">
      <alignment horizontal="center"/>
    </xf>
    <xf numFmtId="0" fontId="12" fillId="0" borderId="9" xfId="2" applyFont="1" applyBorder="1" applyAlignment="1">
      <alignment horizontal="right"/>
    </xf>
    <xf numFmtId="0" fontId="9" fillId="0" borderId="4" xfId="2" applyFont="1" applyBorder="1" applyAlignment="1">
      <alignment horizontal="center" vertical="center"/>
    </xf>
    <xf numFmtId="169" fontId="9" fillId="0" borderId="2" xfId="3" applyNumberFormat="1" applyFont="1" applyBorder="1" applyAlignment="1">
      <alignment horizontal="center" vertical="center"/>
    </xf>
    <xf numFmtId="0" fontId="5" fillId="0" borderId="0" xfId="0" applyFont="1"/>
    <xf numFmtId="170" fontId="0" fillId="0" borderId="0" xfId="0" applyNumberFormat="1"/>
    <xf numFmtId="0" fontId="3" fillId="4" borderId="1" xfId="0" applyFont="1" applyFill="1" applyBorder="1" applyAlignment="1">
      <alignment horizontal="center" vertical="center" wrapText="1"/>
    </xf>
    <xf numFmtId="170" fontId="3" fillId="4" borderId="1" xfId="0" applyNumberFormat="1" applyFont="1" applyFill="1" applyBorder="1" applyAlignment="1">
      <alignment horizontal="center" vertical="center" wrapText="1"/>
    </xf>
    <xf numFmtId="170" fontId="0" fillId="0" borderId="1" xfId="0" applyNumberFormat="1" applyBorder="1" applyAlignment="1">
      <alignment horizontal="center" vertical="center"/>
    </xf>
    <xf numFmtId="0" fontId="0" fillId="5" borderId="1" xfId="0" applyFill="1" applyBorder="1" applyAlignment="1">
      <alignment horizontal="center" vertical="center"/>
    </xf>
    <xf numFmtId="170" fontId="0" fillId="5" borderId="1" xfId="0" applyNumberFormat="1" applyFill="1" applyBorder="1" applyAlignment="1">
      <alignment horizontal="center" vertical="center" wrapText="1"/>
    </xf>
    <xf numFmtId="170" fontId="0" fillId="0" borderId="1" xfId="0" applyNumberFormat="1" applyBorder="1" applyAlignment="1">
      <alignment horizontal="center"/>
    </xf>
    <xf numFmtId="16" fontId="15" fillId="0" borderId="0" xfId="0" applyNumberFormat="1" applyFont="1" applyAlignment="1">
      <alignment horizontal="center" vertical="center"/>
    </xf>
    <xf numFmtId="15" fontId="16" fillId="0" borderId="0" xfId="4" quotePrefix="1" applyNumberFormat="1" applyAlignment="1">
      <alignment horizontal="left" vertical="center"/>
    </xf>
    <xf numFmtId="0" fontId="16" fillId="0" borderId="0" xfId="4" applyAlignment="1">
      <alignment horizontal="center" vertical="center"/>
    </xf>
    <xf numFmtId="0" fontId="16" fillId="0" borderId="0" xfId="4" applyAlignment="1">
      <alignment vertical="center"/>
    </xf>
    <xf numFmtId="0" fontId="15" fillId="0" borderId="0" xfId="0" applyFont="1" applyAlignment="1">
      <alignment horizontal="center" vertical="center"/>
    </xf>
    <xf numFmtId="15" fontId="17" fillId="0" borderId="0" xfId="5" quotePrefix="1" applyNumberFormat="1" applyAlignment="1">
      <alignment horizontal="left" vertical="center"/>
    </xf>
    <xf numFmtId="0" fontId="17" fillId="0" borderId="0" xfId="5" applyAlignment="1">
      <alignment horizontal="center" vertical="center"/>
    </xf>
    <xf numFmtId="0" fontId="17" fillId="0" borderId="0" xfId="5" applyAlignment="1">
      <alignment vertical="center"/>
    </xf>
    <xf numFmtId="15" fontId="18" fillId="0" borderId="0" xfId="6" quotePrefix="1" applyNumberFormat="1" applyFont="1" applyAlignment="1">
      <alignment horizontal="left" vertical="center"/>
    </xf>
    <xf numFmtId="0" fontId="19" fillId="0" borderId="0" xfId="7" applyAlignment="1">
      <alignment horizontal="center" vertical="center"/>
    </xf>
    <xf numFmtId="16" fontId="19" fillId="0" borderId="0" xfId="7" applyNumberFormat="1" applyAlignment="1">
      <alignment horizontal="center" vertical="center"/>
    </xf>
    <xf numFmtId="14" fontId="19" fillId="0" borderId="0" xfId="7" applyNumberFormat="1" applyAlignment="1">
      <alignment vertical="center"/>
    </xf>
    <xf numFmtId="15" fontId="20" fillId="0" borderId="0" xfId="0" applyNumberFormat="1" applyFont="1" applyAlignment="1">
      <alignment vertical="center"/>
    </xf>
    <xf numFmtId="0" fontId="20" fillId="0" borderId="0" xfId="0" applyFont="1" applyAlignment="1">
      <alignment vertical="center"/>
    </xf>
    <xf numFmtId="0" fontId="21" fillId="0" borderId="10" xfId="0" applyFont="1" applyBorder="1" applyAlignment="1">
      <alignment horizontal="center" vertical="center"/>
    </xf>
    <xf numFmtId="15" fontId="22" fillId="0" borderId="10" xfId="8" quotePrefix="1" applyNumberFormat="1" applyFont="1" applyBorder="1" applyAlignment="1">
      <alignment horizontal="center" vertical="center"/>
    </xf>
    <xf numFmtId="0" fontId="22" fillId="0" borderId="10" xfId="8" quotePrefix="1" applyFont="1" applyBorder="1" applyAlignment="1">
      <alignment horizontal="center" vertical="center"/>
    </xf>
    <xf numFmtId="43" fontId="22" fillId="0" borderId="10" xfId="1" quotePrefix="1" applyFont="1" applyBorder="1" applyAlignment="1">
      <alignment horizontal="center" vertical="center"/>
    </xf>
    <xf numFmtId="0" fontId="20" fillId="0" borderId="0" xfId="0" applyFont="1" applyAlignment="1">
      <alignment horizontal="center" vertical="center"/>
    </xf>
    <xf numFmtId="43" fontId="20" fillId="0" borderId="0" xfId="1" applyFont="1" applyAlignment="1">
      <alignment vertical="center"/>
    </xf>
    <xf numFmtId="0" fontId="23" fillId="0" borderId="0" xfId="0" applyFont="1" applyAlignment="1">
      <alignment vertical="center"/>
    </xf>
    <xf numFmtId="0" fontId="15" fillId="0" borderId="0" xfId="0" applyFont="1" applyAlignment="1">
      <alignment vertical="center"/>
    </xf>
    <xf numFmtId="0" fontId="20" fillId="0" borderId="0" xfId="0" applyFont="1" applyFill="1" applyAlignment="1">
      <alignment horizontal="left" vertical="center"/>
    </xf>
    <xf numFmtId="0" fontId="20" fillId="0" borderId="0" xfId="0" applyFont="1" applyAlignment="1">
      <alignment horizontal="left" vertical="center"/>
    </xf>
    <xf numFmtId="0" fontId="15" fillId="0" borderId="0" xfId="0" applyFont="1" applyFill="1" applyAlignment="1">
      <alignment vertical="center"/>
    </xf>
    <xf numFmtId="171" fontId="20" fillId="0" borderId="0" xfId="9" applyFont="1" applyAlignment="1">
      <alignment vertical="center"/>
    </xf>
    <xf numFmtId="43" fontId="20" fillId="0" borderId="0" xfId="0" applyNumberFormat="1" applyFont="1" applyAlignment="1">
      <alignment vertical="center"/>
    </xf>
    <xf numFmtId="170" fontId="20" fillId="0" borderId="0" xfId="0" applyNumberFormat="1" applyFont="1" applyBorder="1"/>
    <xf numFmtId="0" fontId="20" fillId="0" borderId="0" xfId="0" applyFont="1" applyBorder="1"/>
    <xf numFmtId="43" fontId="20" fillId="0" borderId="0" xfId="1" applyFont="1"/>
    <xf numFmtId="170" fontId="20" fillId="0" borderId="0" xfId="0" applyNumberFormat="1" applyFont="1" applyBorder="1" applyAlignment="1">
      <alignment horizontal="right" vertical="center"/>
    </xf>
    <xf numFmtId="0" fontId="20" fillId="0" borderId="0" xfId="0" applyFont="1" applyBorder="1" applyAlignment="1">
      <alignment horizontal="left" vertical="center"/>
    </xf>
    <xf numFmtId="170" fontId="20" fillId="0" borderId="0" xfId="0" applyNumberFormat="1" applyFont="1" applyBorder="1" applyAlignment="1">
      <alignment horizontal="right" vertical="center" wrapText="1"/>
    </xf>
    <xf numFmtId="0" fontId="20" fillId="0" borderId="0" xfId="0" applyFont="1" applyBorder="1" applyAlignment="1">
      <alignment horizontal="left" vertical="center" wrapText="1"/>
    </xf>
    <xf numFmtId="172" fontId="20" fillId="0" borderId="0" xfId="1" applyNumberFormat="1" applyFont="1"/>
    <xf numFmtId="0" fontId="20" fillId="0" borderId="0" xfId="0" applyFont="1" applyBorder="1" applyAlignment="1">
      <alignment vertical="center" wrapText="1"/>
    </xf>
    <xf numFmtId="0" fontId="20" fillId="0" borderId="0" xfId="0" applyFont="1" applyBorder="1" applyAlignment="1"/>
    <xf numFmtId="0" fontId="20" fillId="0" borderId="0" xfId="0" applyFont="1" applyBorder="1" applyAlignment="1">
      <alignment vertical="center"/>
    </xf>
    <xf numFmtId="170" fontId="20" fillId="0" borderId="0" xfId="0" applyNumberFormat="1" applyFont="1" applyBorder="1" applyAlignment="1">
      <alignment vertical="center"/>
    </xf>
    <xf numFmtId="43" fontId="20" fillId="0" borderId="0" xfId="1" applyFont="1" applyAlignment="1">
      <alignment wrapText="1"/>
    </xf>
    <xf numFmtId="0" fontId="0" fillId="0" borderId="0" xfId="0" applyAlignment="1">
      <alignment horizontal="center"/>
    </xf>
  </cellXfs>
  <cellStyles count="10">
    <cellStyle name="Comma" xfId="1" builtinId="3"/>
    <cellStyle name="Comma 110" xfId="9"/>
    <cellStyle name="Normal" xfId="0" builtinId="0"/>
    <cellStyle name="Normal 2" xfId="2"/>
    <cellStyle name="Percent 2" xfId="3"/>
    <cellStyle name="S3" xfId="5"/>
    <cellStyle name="S4" xfId="4"/>
    <cellStyle name="S5" xfId="6"/>
    <cellStyle name="S6" xfId="7"/>
    <cellStyle name="S7"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hyperlink" Target="https://10.10.10.12/zahirdigital/"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742</xdr:row>
      <xdr:rowOff>0</xdr:rowOff>
    </xdr:from>
    <xdr:to>
      <xdr:col>1</xdr:col>
      <xdr:colOff>304800</xdr:colOff>
      <xdr:row>743</xdr:row>
      <xdr:rowOff>95250</xdr:rowOff>
    </xdr:to>
    <xdr:sp macro="" textlink="">
      <xdr:nvSpPr>
        <xdr:cNvPr id="2" name="AutoShape 1" descr="https://10.10.10.12/zahirdigital/logo.png">
          <a:hlinkClick xmlns:r="http://schemas.openxmlformats.org/officeDocument/2006/relationships" r:id="rId1"/>
        </xdr:cNvPr>
        <xdr:cNvSpPr>
          <a:spLocks noChangeAspect="1" noChangeArrowheads="1"/>
        </xdr:cNvSpPr>
      </xdr:nvSpPr>
      <xdr:spPr bwMode="auto">
        <a:xfrm>
          <a:off x="542925" y="1554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754</xdr:row>
      <xdr:rowOff>0</xdr:rowOff>
    </xdr:from>
    <xdr:to>
      <xdr:col>1</xdr:col>
      <xdr:colOff>304800</xdr:colOff>
      <xdr:row>755</xdr:row>
      <xdr:rowOff>95250</xdr:rowOff>
    </xdr:to>
    <xdr:sp macro="" textlink="">
      <xdr:nvSpPr>
        <xdr:cNvPr id="3" name="AutoShape 1" descr="https://10.10.10.12/zahirdigital/logo.png">
          <a:hlinkClick xmlns:r="http://schemas.openxmlformats.org/officeDocument/2006/relationships" r:id="rId1"/>
        </xdr:cNvPr>
        <xdr:cNvSpPr>
          <a:spLocks noChangeAspect="1" noChangeArrowheads="1"/>
        </xdr:cNvSpPr>
      </xdr:nvSpPr>
      <xdr:spPr bwMode="auto">
        <a:xfrm>
          <a:off x="542925" y="15800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3"/>
  <sheetViews>
    <sheetView workbookViewId="0">
      <pane ySplit="4" topLeftCell="A11" activePane="bottomLeft" state="frozen"/>
      <selection activeCell="G1" sqref="G1"/>
      <selection pane="bottomLeft" activeCell="U126" sqref="U126"/>
    </sheetView>
  </sheetViews>
  <sheetFormatPr defaultRowHeight="15" x14ac:dyDescent="0.25"/>
  <cols>
    <col min="2" max="2" width="16.28515625" customWidth="1"/>
    <col min="3" max="3" width="10.85546875" customWidth="1"/>
    <col min="9" max="9" width="10.42578125" customWidth="1"/>
    <col min="10" max="10" width="12.42578125" customWidth="1"/>
    <col min="11" max="11" width="12.5703125" customWidth="1"/>
    <col min="13" max="13" width="25.140625" customWidth="1"/>
    <col min="15" max="15" width="10.42578125" customWidth="1"/>
    <col min="16" max="16" width="12.140625" customWidth="1"/>
    <col min="17" max="17" width="33.140625" customWidth="1"/>
    <col min="18" max="18" width="10" customWidth="1"/>
    <col min="19" max="19" width="11.140625" customWidth="1"/>
  </cols>
  <sheetData>
    <row r="1" spans="1:23" ht="18.75" x14ac:dyDescent="0.3">
      <c r="A1" s="27"/>
      <c r="B1" s="28" t="s">
        <v>414</v>
      </c>
      <c r="C1" s="29"/>
      <c r="D1" s="29"/>
      <c r="E1" s="29"/>
      <c r="F1" s="29"/>
      <c r="G1" s="29"/>
      <c r="H1" s="27"/>
      <c r="I1" s="30"/>
      <c r="J1" s="30"/>
      <c r="K1" s="30"/>
      <c r="L1" s="29"/>
      <c r="M1" s="29"/>
      <c r="N1" s="29"/>
      <c r="O1" s="29"/>
      <c r="P1" s="29"/>
      <c r="Q1" s="29"/>
      <c r="R1" s="29"/>
      <c r="S1" s="29"/>
      <c r="T1" s="29"/>
      <c r="U1" s="29"/>
      <c r="V1" s="29"/>
      <c r="W1" s="29"/>
    </row>
    <row r="2" spans="1:23" ht="18.75" x14ac:dyDescent="0.3">
      <c r="A2" s="27"/>
      <c r="B2" s="31" t="s">
        <v>415</v>
      </c>
      <c r="C2" s="29"/>
      <c r="D2" s="29"/>
      <c r="E2" s="29"/>
      <c r="F2" s="29"/>
      <c r="G2" s="29"/>
      <c r="H2" s="27"/>
      <c r="I2" s="30"/>
      <c r="J2" s="30"/>
      <c r="K2" s="30"/>
      <c r="L2" s="29"/>
      <c r="M2" s="29"/>
      <c r="N2" s="29"/>
      <c r="O2" s="29"/>
      <c r="P2" s="29"/>
      <c r="Q2" s="29"/>
      <c r="R2" s="29"/>
      <c r="S2" s="29"/>
      <c r="T2" s="29"/>
      <c r="U2" s="29"/>
      <c r="V2" s="29"/>
      <c r="W2" s="29"/>
    </row>
    <row r="3" spans="1:23" x14ac:dyDescent="0.25">
      <c r="A3" s="27"/>
      <c r="B3" s="32" t="s">
        <v>439</v>
      </c>
      <c r="C3" s="29"/>
      <c r="D3" s="29"/>
      <c r="E3" s="29"/>
      <c r="F3" s="29"/>
      <c r="G3" s="29"/>
      <c r="H3" s="27"/>
      <c r="I3" s="30"/>
      <c r="J3" s="30"/>
      <c r="K3" s="30"/>
      <c r="L3" s="29"/>
      <c r="M3" s="29"/>
      <c r="N3" s="29"/>
      <c r="O3" s="29"/>
      <c r="P3" s="29"/>
      <c r="Q3" s="29"/>
      <c r="R3" s="29"/>
      <c r="S3" s="29"/>
      <c r="T3" s="29"/>
      <c r="U3" s="29"/>
      <c r="V3" s="29"/>
      <c r="W3" s="29"/>
    </row>
    <row r="4" spans="1:23" ht="45" x14ac:dyDescent="0.25">
      <c r="A4" s="33" t="s">
        <v>416</v>
      </c>
      <c r="B4" s="33" t="s">
        <v>417</v>
      </c>
      <c r="C4" s="34" t="s">
        <v>418</v>
      </c>
      <c r="D4" s="33" t="s">
        <v>419</v>
      </c>
      <c r="E4" s="33" t="s">
        <v>420</v>
      </c>
      <c r="F4" s="33" t="s">
        <v>421</v>
      </c>
      <c r="G4" s="33" t="s">
        <v>422</v>
      </c>
      <c r="H4" s="33" t="s">
        <v>423</v>
      </c>
      <c r="I4" s="35" t="s">
        <v>424</v>
      </c>
      <c r="J4" s="35" t="s">
        <v>425</v>
      </c>
      <c r="K4" s="35" t="s">
        <v>426</v>
      </c>
      <c r="L4" s="33" t="s">
        <v>427</v>
      </c>
      <c r="M4" s="33" t="s">
        <v>428</v>
      </c>
      <c r="N4" s="33" t="s">
        <v>429</v>
      </c>
      <c r="O4" s="33" t="s">
        <v>430</v>
      </c>
      <c r="P4" s="33" t="s">
        <v>431</v>
      </c>
      <c r="Q4" s="33" t="s">
        <v>432</v>
      </c>
      <c r="R4" s="33" t="s">
        <v>433</v>
      </c>
      <c r="S4" s="33" t="s">
        <v>434</v>
      </c>
      <c r="T4" s="33" t="s">
        <v>435</v>
      </c>
      <c r="U4" s="33" t="s">
        <v>436</v>
      </c>
      <c r="V4" s="36" t="s">
        <v>437</v>
      </c>
      <c r="W4" s="36" t="s">
        <v>438</v>
      </c>
    </row>
    <row r="5" spans="1:23" x14ac:dyDescent="0.25">
      <c r="A5" s="1">
        <v>1</v>
      </c>
      <c r="B5" s="15" t="s">
        <v>0</v>
      </c>
      <c r="C5" s="37">
        <v>46118</v>
      </c>
      <c r="D5" s="15" t="s">
        <v>1</v>
      </c>
      <c r="E5" s="15" t="s">
        <v>2</v>
      </c>
      <c r="F5" s="15" t="s">
        <v>3</v>
      </c>
      <c r="G5" s="41" t="s">
        <v>4</v>
      </c>
      <c r="H5" s="1">
        <v>1</v>
      </c>
      <c r="I5" s="3">
        <v>1023900</v>
      </c>
      <c r="J5" s="3">
        <v>1023900</v>
      </c>
      <c r="K5" s="4">
        <v>986000</v>
      </c>
      <c r="L5" s="15" t="s">
        <v>5</v>
      </c>
      <c r="M5" s="42" t="s">
        <v>6</v>
      </c>
      <c r="N5" s="15" t="s">
        <v>2</v>
      </c>
      <c r="O5" s="37">
        <v>46118</v>
      </c>
      <c r="P5" s="37">
        <v>46125</v>
      </c>
      <c r="Q5" s="15" t="s">
        <v>7</v>
      </c>
      <c r="R5" s="37">
        <v>46120</v>
      </c>
      <c r="S5" s="37">
        <v>46118</v>
      </c>
      <c r="T5" s="1">
        <f>O5-C5</f>
        <v>0</v>
      </c>
      <c r="U5" s="1">
        <f>R5-C5</f>
        <v>2</v>
      </c>
      <c r="V5" s="1">
        <f>P5-C5</f>
        <v>7</v>
      </c>
      <c r="W5" s="1">
        <f>S5-C5</f>
        <v>0</v>
      </c>
    </row>
    <row r="6" spans="1:23" x14ac:dyDescent="0.25">
      <c r="A6" s="1">
        <v>2</v>
      </c>
      <c r="B6" s="15" t="s">
        <v>0</v>
      </c>
      <c r="C6" s="37">
        <v>46118</v>
      </c>
      <c r="D6" s="15" t="s">
        <v>1</v>
      </c>
      <c r="E6" s="15" t="s">
        <v>2</v>
      </c>
      <c r="F6" s="15" t="s">
        <v>8</v>
      </c>
      <c r="G6" s="41" t="s">
        <v>9</v>
      </c>
      <c r="H6" s="1">
        <v>1</v>
      </c>
      <c r="I6" s="5">
        <v>749000</v>
      </c>
      <c r="J6" s="3">
        <v>749000</v>
      </c>
      <c r="K6" s="4">
        <v>665290</v>
      </c>
      <c r="L6" s="15" t="s">
        <v>5</v>
      </c>
      <c r="M6" s="15" t="s">
        <v>10</v>
      </c>
      <c r="N6" s="15" t="s">
        <v>2</v>
      </c>
      <c r="O6" s="37">
        <v>46118</v>
      </c>
      <c r="P6" s="37">
        <v>46122</v>
      </c>
      <c r="Q6" s="15" t="s">
        <v>11</v>
      </c>
      <c r="R6" s="37">
        <v>46119</v>
      </c>
      <c r="S6" s="37">
        <v>46118</v>
      </c>
      <c r="T6" s="1">
        <f t="shared" ref="T6:T69" si="0">O6-C6</f>
        <v>0</v>
      </c>
      <c r="U6" s="1">
        <f t="shared" ref="U6:U31" si="1">R6-C6</f>
        <v>1</v>
      </c>
      <c r="V6" s="1">
        <f t="shared" ref="V6" si="2">P6-C6</f>
        <v>4</v>
      </c>
      <c r="W6" s="1">
        <f t="shared" ref="W6:W28" si="3">S6-C6</f>
        <v>0</v>
      </c>
    </row>
    <row r="7" spans="1:23" x14ac:dyDescent="0.25">
      <c r="A7" s="1">
        <v>3</v>
      </c>
      <c r="B7" s="15" t="s">
        <v>0</v>
      </c>
      <c r="C7" s="37">
        <v>46118</v>
      </c>
      <c r="D7" s="15" t="s">
        <v>1</v>
      </c>
      <c r="E7" s="15" t="s">
        <v>2</v>
      </c>
      <c r="F7" s="15" t="s">
        <v>12</v>
      </c>
      <c r="G7" s="41" t="s">
        <v>13</v>
      </c>
      <c r="H7" s="1">
        <v>1</v>
      </c>
      <c r="I7" s="5">
        <v>1014500</v>
      </c>
      <c r="J7" s="3">
        <v>1014500</v>
      </c>
      <c r="K7" s="4">
        <v>915500</v>
      </c>
      <c r="L7" s="15" t="s">
        <v>5</v>
      </c>
      <c r="M7" s="15" t="s">
        <v>14</v>
      </c>
      <c r="N7" s="15" t="s">
        <v>2</v>
      </c>
      <c r="O7" s="37">
        <v>46118</v>
      </c>
      <c r="P7" s="37">
        <v>46120</v>
      </c>
      <c r="Q7" s="15" t="s">
        <v>15</v>
      </c>
      <c r="R7" s="37">
        <v>46119</v>
      </c>
      <c r="S7" s="37">
        <v>46118</v>
      </c>
      <c r="T7" s="1">
        <f t="shared" si="0"/>
        <v>0</v>
      </c>
      <c r="U7" s="1">
        <f t="shared" si="1"/>
        <v>1</v>
      </c>
      <c r="V7" s="1">
        <f>P7-C7</f>
        <v>2</v>
      </c>
      <c r="W7" s="1">
        <f t="shared" si="3"/>
        <v>0</v>
      </c>
    </row>
    <row r="8" spans="1:23" x14ac:dyDescent="0.25">
      <c r="A8" s="1">
        <v>4</v>
      </c>
      <c r="B8" s="15" t="s">
        <v>16</v>
      </c>
      <c r="C8" s="37">
        <v>46116</v>
      </c>
      <c r="D8" s="15" t="s">
        <v>17</v>
      </c>
      <c r="E8" s="15" t="s">
        <v>18</v>
      </c>
      <c r="F8" s="15" t="s">
        <v>19</v>
      </c>
      <c r="G8" s="41" t="s">
        <v>20</v>
      </c>
      <c r="H8" s="1">
        <v>1</v>
      </c>
      <c r="I8" s="3">
        <v>26200</v>
      </c>
      <c r="J8" s="3">
        <v>26200</v>
      </c>
      <c r="K8" s="4">
        <v>26200</v>
      </c>
      <c r="L8" s="15" t="s">
        <v>5</v>
      </c>
      <c r="M8" s="15" t="s">
        <v>21</v>
      </c>
      <c r="N8" s="15" t="s">
        <v>22</v>
      </c>
      <c r="O8" s="37">
        <v>46116</v>
      </c>
      <c r="P8" s="37">
        <v>46121</v>
      </c>
      <c r="Q8" s="15" t="s">
        <v>23</v>
      </c>
      <c r="R8" s="37">
        <v>46116</v>
      </c>
      <c r="S8" s="37">
        <v>46116</v>
      </c>
      <c r="T8" s="1">
        <f t="shared" si="0"/>
        <v>0</v>
      </c>
      <c r="U8" s="1">
        <f t="shared" si="1"/>
        <v>0</v>
      </c>
      <c r="V8" s="1">
        <f>P8-C8</f>
        <v>5</v>
      </c>
      <c r="W8" s="1">
        <f>S8-C8</f>
        <v>0</v>
      </c>
    </row>
    <row r="9" spans="1:23" x14ac:dyDescent="0.25">
      <c r="A9" s="1">
        <v>5</v>
      </c>
      <c r="B9" s="6" t="s">
        <v>24</v>
      </c>
      <c r="C9" s="7">
        <v>46120</v>
      </c>
      <c r="D9" s="6" t="s">
        <v>17</v>
      </c>
      <c r="E9" s="6" t="s">
        <v>18</v>
      </c>
      <c r="F9" s="6" t="s">
        <v>25</v>
      </c>
      <c r="G9" s="8" t="s">
        <v>26</v>
      </c>
      <c r="H9" s="1">
        <v>3</v>
      </c>
      <c r="I9" s="9">
        <v>17850</v>
      </c>
      <c r="J9" s="3">
        <v>55450</v>
      </c>
      <c r="K9" s="10">
        <v>49223</v>
      </c>
      <c r="L9" s="6" t="s">
        <v>27</v>
      </c>
      <c r="M9" s="6" t="s">
        <v>28</v>
      </c>
      <c r="N9" s="6" t="s">
        <v>18</v>
      </c>
      <c r="O9" s="7">
        <v>46120</v>
      </c>
      <c r="P9" s="7">
        <v>46121</v>
      </c>
      <c r="Q9" s="6" t="s">
        <v>29</v>
      </c>
      <c r="R9" s="7">
        <v>46120</v>
      </c>
      <c r="S9" s="7">
        <v>46120</v>
      </c>
      <c r="T9" s="1">
        <f t="shared" si="0"/>
        <v>0</v>
      </c>
      <c r="U9" s="1">
        <f t="shared" si="1"/>
        <v>0</v>
      </c>
      <c r="V9" s="1">
        <f>P9-C9</f>
        <v>1</v>
      </c>
      <c r="W9" s="1">
        <f t="shared" si="3"/>
        <v>0</v>
      </c>
    </row>
    <row r="10" spans="1:23" s="20" customFormat="1" x14ac:dyDescent="0.25">
      <c r="A10" s="1">
        <v>6</v>
      </c>
      <c r="B10" s="6" t="s">
        <v>24</v>
      </c>
      <c r="C10" s="7">
        <v>46120</v>
      </c>
      <c r="D10" s="6" t="s">
        <v>17</v>
      </c>
      <c r="E10" s="6" t="s">
        <v>18</v>
      </c>
      <c r="F10" s="6" t="s">
        <v>25</v>
      </c>
      <c r="G10" s="8" t="s">
        <v>30</v>
      </c>
      <c r="H10" s="1">
        <v>2</v>
      </c>
      <c r="I10" s="39">
        <v>9950</v>
      </c>
      <c r="J10" s="3">
        <v>21800</v>
      </c>
      <c r="K10" s="10">
        <v>20324</v>
      </c>
      <c r="L10" s="19" t="s">
        <v>27</v>
      </c>
      <c r="M10" s="19" t="s">
        <v>31</v>
      </c>
      <c r="N10" s="6" t="s">
        <v>18</v>
      </c>
      <c r="O10" s="7">
        <v>46120</v>
      </c>
      <c r="P10" s="24">
        <v>46125</v>
      </c>
      <c r="Q10" s="19" t="s">
        <v>32</v>
      </c>
      <c r="R10" s="7">
        <v>46120</v>
      </c>
      <c r="S10" s="7">
        <v>46120</v>
      </c>
      <c r="T10" s="1">
        <f t="shared" si="0"/>
        <v>0</v>
      </c>
      <c r="U10" s="1">
        <f t="shared" si="1"/>
        <v>0</v>
      </c>
      <c r="V10" s="1">
        <f t="shared" ref="V10:V73" si="4">P10-C10</f>
        <v>5</v>
      </c>
      <c r="W10" s="1">
        <f t="shared" si="3"/>
        <v>0</v>
      </c>
    </row>
    <row r="11" spans="1:23" x14ac:dyDescent="0.25">
      <c r="A11" s="1">
        <v>7</v>
      </c>
      <c r="B11" s="15" t="s">
        <v>33</v>
      </c>
      <c r="C11" s="37">
        <v>46119</v>
      </c>
      <c r="D11" s="15" t="s">
        <v>17</v>
      </c>
      <c r="E11" s="15" t="s">
        <v>18</v>
      </c>
      <c r="F11" s="15" t="s">
        <v>34</v>
      </c>
      <c r="G11" s="41" t="s">
        <v>35</v>
      </c>
      <c r="H11" s="1">
        <v>20</v>
      </c>
      <c r="I11" s="43">
        <v>2395</v>
      </c>
      <c r="J11" s="43">
        <v>47900</v>
      </c>
      <c r="K11" s="4">
        <v>44329</v>
      </c>
      <c r="L11" s="15" t="s">
        <v>5</v>
      </c>
      <c r="M11" s="15" t="s">
        <v>36</v>
      </c>
      <c r="N11" s="15" t="s">
        <v>18</v>
      </c>
      <c r="O11" s="37">
        <v>46119</v>
      </c>
      <c r="P11" s="37">
        <v>46122</v>
      </c>
      <c r="Q11" s="15" t="s">
        <v>37</v>
      </c>
      <c r="R11" s="37">
        <v>46119</v>
      </c>
      <c r="S11" s="37">
        <v>46119</v>
      </c>
      <c r="T11" s="1">
        <f t="shared" si="0"/>
        <v>0</v>
      </c>
      <c r="U11" s="1">
        <f t="shared" si="1"/>
        <v>0</v>
      </c>
      <c r="V11" s="1">
        <f t="shared" si="4"/>
        <v>3</v>
      </c>
      <c r="W11" s="1">
        <f t="shared" si="3"/>
        <v>0</v>
      </c>
    </row>
    <row r="12" spans="1:23" x14ac:dyDescent="0.25">
      <c r="A12" s="1">
        <v>8</v>
      </c>
      <c r="B12" s="15" t="s">
        <v>38</v>
      </c>
      <c r="C12" s="37">
        <v>46120</v>
      </c>
      <c r="D12" s="15" t="s">
        <v>17</v>
      </c>
      <c r="E12" s="15" t="s">
        <v>18</v>
      </c>
      <c r="F12" s="15" t="s">
        <v>39</v>
      </c>
      <c r="G12" s="41" t="s">
        <v>40</v>
      </c>
      <c r="H12" s="1">
        <v>1</v>
      </c>
      <c r="I12" s="43">
        <v>22900</v>
      </c>
      <c r="J12" s="43">
        <v>22900</v>
      </c>
      <c r="K12" s="10">
        <v>21448</v>
      </c>
      <c r="L12" s="15" t="s">
        <v>5</v>
      </c>
      <c r="M12" s="15" t="s">
        <v>41</v>
      </c>
      <c r="N12" s="15" t="s">
        <v>22</v>
      </c>
      <c r="O12" s="37">
        <v>46120</v>
      </c>
      <c r="P12" s="37">
        <v>46122</v>
      </c>
      <c r="Q12" s="15" t="s">
        <v>42</v>
      </c>
      <c r="R12" s="37">
        <v>46120</v>
      </c>
      <c r="S12" s="37">
        <v>46120</v>
      </c>
      <c r="T12" s="1">
        <f t="shared" si="0"/>
        <v>0</v>
      </c>
      <c r="U12" s="1">
        <f t="shared" si="1"/>
        <v>0</v>
      </c>
      <c r="V12" s="1">
        <f t="shared" si="4"/>
        <v>2</v>
      </c>
      <c r="W12" s="1">
        <f t="shared" si="3"/>
        <v>0</v>
      </c>
    </row>
    <row r="13" spans="1:23" x14ac:dyDescent="0.25">
      <c r="A13" s="1">
        <v>9</v>
      </c>
      <c r="B13" s="15" t="s">
        <v>43</v>
      </c>
      <c r="C13" s="37">
        <v>46118</v>
      </c>
      <c r="D13" s="15" t="s">
        <v>17</v>
      </c>
      <c r="E13" s="15" t="s">
        <v>18</v>
      </c>
      <c r="F13" s="15" t="s">
        <v>44</v>
      </c>
      <c r="G13" s="41" t="s">
        <v>44</v>
      </c>
      <c r="H13" s="1">
        <v>2</v>
      </c>
      <c r="I13" s="43">
        <v>31899</v>
      </c>
      <c r="J13" s="43">
        <v>63798</v>
      </c>
      <c r="K13" s="38">
        <v>58.898000000000003</v>
      </c>
      <c r="L13" s="15" t="s">
        <v>5</v>
      </c>
      <c r="M13" s="44" t="s">
        <v>45</v>
      </c>
      <c r="N13" s="15" t="s">
        <v>18</v>
      </c>
      <c r="O13" s="37">
        <v>46118</v>
      </c>
      <c r="P13" s="37">
        <v>46122</v>
      </c>
      <c r="Q13" s="15" t="s">
        <v>46</v>
      </c>
      <c r="R13" s="37">
        <v>46118</v>
      </c>
      <c r="S13" s="37">
        <v>46118</v>
      </c>
      <c r="T13" s="1">
        <f t="shared" si="0"/>
        <v>0</v>
      </c>
      <c r="U13" s="1">
        <f t="shared" si="1"/>
        <v>0</v>
      </c>
      <c r="V13" s="1">
        <f t="shared" si="4"/>
        <v>4</v>
      </c>
      <c r="W13" s="1">
        <f t="shared" si="3"/>
        <v>0</v>
      </c>
    </row>
    <row r="14" spans="1:23" x14ac:dyDescent="0.25">
      <c r="A14" s="1">
        <v>10</v>
      </c>
      <c r="B14" s="15" t="s">
        <v>47</v>
      </c>
      <c r="C14" s="37">
        <v>46119</v>
      </c>
      <c r="D14" s="15" t="s">
        <v>17</v>
      </c>
      <c r="E14" s="15" t="s">
        <v>18</v>
      </c>
      <c r="F14" s="15" t="s">
        <v>44</v>
      </c>
      <c r="G14" s="41" t="s">
        <v>44</v>
      </c>
      <c r="H14" s="1">
        <v>6</v>
      </c>
      <c r="I14" s="43">
        <v>30316</v>
      </c>
      <c r="J14" s="43">
        <v>181896</v>
      </c>
      <c r="K14" s="12">
        <v>117306</v>
      </c>
      <c r="L14" s="15" t="s">
        <v>5</v>
      </c>
      <c r="M14" s="44" t="s">
        <v>45</v>
      </c>
      <c r="N14" s="15" t="s">
        <v>18</v>
      </c>
      <c r="O14" s="37">
        <v>46119</v>
      </c>
      <c r="P14" s="37">
        <v>46122</v>
      </c>
      <c r="Q14" s="15" t="s">
        <v>48</v>
      </c>
      <c r="R14" s="37">
        <v>46119</v>
      </c>
      <c r="S14" s="37">
        <v>46119</v>
      </c>
      <c r="T14" s="1">
        <f t="shared" si="0"/>
        <v>0</v>
      </c>
      <c r="U14" s="1">
        <f t="shared" si="1"/>
        <v>0</v>
      </c>
      <c r="V14" s="1">
        <f t="shared" si="4"/>
        <v>3</v>
      </c>
      <c r="W14" s="1">
        <f t="shared" si="3"/>
        <v>0</v>
      </c>
    </row>
    <row r="15" spans="1:23" x14ac:dyDescent="0.25">
      <c r="A15" s="1">
        <v>11</v>
      </c>
      <c r="B15" s="15" t="s">
        <v>49</v>
      </c>
      <c r="C15" s="37">
        <v>46119</v>
      </c>
      <c r="D15" s="15" t="s">
        <v>17</v>
      </c>
      <c r="E15" s="15" t="s">
        <v>18</v>
      </c>
      <c r="F15" s="15" t="s">
        <v>50</v>
      </c>
      <c r="G15" s="41" t="s">
        <v>51</v>
      </c>
      <c r="H15" s="1">
        <v>2</v>
      </c>
      <c r="I15" s="43">
        <v>75950</v>
      </c>
      <c r="J15" s="43">
        <v>151900</v>
      </c>
      <c r="K15" s="38">
        <v>147.75899999999999</v>
      </c>
      <c r="L15" s="15" t="s">
        <v>5</v>
      </c>
      <c r="M15" s="15" t="s">
        <v>52</v>
      </c>
      <c r="N15" s="15" t="s">
        <v>18</v>
      </c>
      <c r="O15" s="37">
        <v>46119</v>
      </c>
      <c r="P15" s="37">
        <v>46122</v>
      </c>
      <c r="Q15" s="15" t="s">
        <v>53</v>
      </c>
      <c r="R15" s="37">
        <v>46119</v>
      </c>
      <c r="S15" s="37">
        <v>46119</v>
      </c>
      <c r="T15" s="1">
        <f t="shared" si="0"/>
        <v>0</v>
      </c>
      <c r="U15" s="1">
        <f t="shared" si="1"/>
        <v>0</v>
      </c>
      <c r="V15" s="1">
        <f t="shared" si="4"/>
        <v>3</v>
      </c>
      <c r="W15" s="1">
        <f t="shared" si="3"/>
        <v>0</v>
      </c>
    </row>
    <row r="16" spans="1:23" x14ac:dyDescent="0.25">
      <c r="A16" s="1">
        <v>12</v>
      </c>
      <c r="B16" s="15" t="s">
        <v>54</v>
      </c>
      <c r="C16" s="37">
        <v>46119</v>
      </c>
      <c r="D16" s="15" t="s">
        <v>55</v>
      </c>
      <c r="E16" s="15" t="s">
        <v>56</v>
      </c>
      <c r="F16" s="15" t="s">
        <v>57</v>
      </c>
      <c r="G16" s="38" t="s">
        <v>58</v>
      </c>
      <c r="H16" s="1">
        <v>1</v>
      </c>
      <c r="I16" s="10">
        <v>160000</v>
      </c>
      <c r="J16" s="10">
        <v>160000</v>
      </c>
      <c r="K16" s="10">
        <v>160000</v>
      </c>
      <c r="L16" s="15" t="s">
        <v>59</v>
      </c>
      <c r="M16" s="15" t="s">
        <v>60</v>
      </c>
      <c r="N16" s="15" t="s">
        <v>56</v>
      </c>
      <c r="O16" s="37">
        <v>46120</v>
      </c>
      <c r="P16" s="37">
        <v>46121</v>
      </c>
      <c r="Q16" s="15" t="s">
        <v>61</v>
      </c>
      <c r="R16" s="37">
        <v>46119</v>
      </c>
      <c r="S16" s="37">
        <v>46119</v>
      </c>
      <c r="T16" s="13">
        <f t="shared" si="0"/>
        <v>1</v>
      </c>
      <c r="U16" s="13">
        <f t="shared" si="1"/>
        <v>0</v>
      </c>
      <c r="V16" s="13">
        <f t="shared" si="4"/>
        <v>2</v>
      </c>
      <c r="W16" s="1">
        <f t="shared" si="3"/>
        <v>0</v>
      </c>
    </row>
    <row r="17" spans="1:23" x14ac:dyDescent="0.25">
      <c r="A17" s="1">
        <v>13</v>
      </c>
      <c r="B17" s="15" t="s">
        <v>62</v>
      </c>
      <c r="C17" s="37">
        <v>46122</v>
      </c>
      <c r="D17" s="15" t="s">
        <v>17</v>
      </c>
      <c r="E17" s="15" t="s">
        <v>18</v>
      </c>
      <c r="F17" s="15" t="s">
        <v>63</v>
      </c>
      <c r="G17" s="41" t="s">
        <v>64</v>
      </c>
      <c r="H17" s="1">
        <v>2</v>
      </c>
      <c r="I17" s="10">
        <v>19500</v>
      </c>
      <c r="J17" s="10">
        <v>39000</v>
      </c>
      <c r="K17" s="10">
        <v>39000</v>
      </c>
      <c r="L17" s="15" t="s">
        <v>59</v>
      </c>
      <c r="M17" s="15" t="s">
        <v>65</v>
      </c>
      <c r="N17" s="15" t="s">
        <v>18</v>
      </c>
      <c r="O17" s="37">
        <v>46123</v>
      </c>
      <c r="P17" s="37">
        <v>46123</v>
      </c>
      <c r="Q17" s="15" t="s">
        <v>66</v>
      </c>
      <c r="R17" s="37">
        <v>46123</v>
      </c>
      <c r="S17" s="37">
        <v>46122</v>
      </c>
      <c r="T17" s="13">
        <f t="shared" si="0"/>
        <v>1</v>
      </c>
      <c r="U17" s="13">
        <f t="shared" si="1"/>
        <v>1</v>
      </c>
      <c r="V17" s="13">
        <f t="shared" si="4"/>
        <v>1</v>
      </c>
      <c r="W17" s="13">
        <f t="shared" si="3"/>
        <v>0</v>
      </c>
    </row>
    <row r="18" spans="1:23" x14ac:dyDescent="0.25">
      <c r="A18" s="1">
        <v>14</v>
      </c>
      <c r="B18" s="15" t="s">
        <v>67</v>
      </c>
      <c r="C18" s="37">
        <v>46122</v>
      </c>
      <c r="D18" s="15" t="s">
        <v>17</v>
      </c>
      <c r="E18" s="15" t="s">
        <v>18</v>
      </c>
      <c r="F18" s="15" t="s">
        <v>68</v>
      </c>
      <c r="G18" s="41" t="s">
        <v>69</v>
      </c>
      <c r="H18" s="1">
        <v>2</v>
      </c>
      <c r="I18" s="10">
        <v>46000</v>
      </c>
      <c r="J18" s="10">
        <v>92000</v>
      </c>
      <c r="K18" s="10">
        <v>92000</v>
      </c>
      <c r="L18" s="15" t="s">
        <v>59</v>
      </c>
      <c r="M18" s="15" t="s">
        <v>65</v>
      </c>
      <c r="N18" s="15" t="s">
        <v>18</v>
      </c>
      <c r="O18" s="37">
        <v>46123</v>
      </c>
      <c r="P18" s="37">
        <v>46123</v>
      </c>
      <c r="Q18" s="15" t="s">
        <v>70</v>
      </c>
      <c r="R18" s="37">
        <v>46123</v>
      </c>
      <c r="S18" s="37">
        <v>46122</v>
      </c>
      <c r="T18" s="13">
        <f t="shared" si="0"/>
        <v>1</v>
      </c>
      <c r="U18" s="13">
        <f t="shared" si="1"/>
        <v>1</v>
      </c>
      <c r="V18" s="13">
        <f t="shared" si="4"/>
        <v>1</v>
      </c>
      <c r="W18" s="13">
        <f t="shared" si="3"/>
        <v>0</v>
      </c>
    </row>
    <row r="19" spans="1:23" x14ac:dyDescent="0.25">
      <c r="A19" s="1">
        <v>15</v>
      </c>
      <c r="B19" s="15" t="s">
        <v>71</v>
      </c>
      <c r="C19" s="37">
        <v>46120</v>
      </c>
      <c r="D19" s="15" t="s">
        <v>17</v>
      </c>
      <c r="E19" s="15" t="s">
        <v>18</v>
      </c>
      <c r="F19" s="15" t="s">
        <v>72</v>
      </c>
      <c r="G19" s="41" t="s">
        <v>73</v>
      </c>
      <c r="H19" s="1">
        <v>5</v>
      </c>
      <c r="I19" s="10">
        <v>6000</v>
      </c>
      <c r="J19" s="10">
        <v>30000</v>
      </c>
      <c r="K19" s="10">
        <v>30000</v>
      </c>
      <c r="L19" s="15" t="s">
        <v>59</v>
      </c>
      <c r="M19" s="15" t="s">
        <v>74</v>
      </c>
      <c r="N19" s="15" t="s">
        <v>75</v>
      </c>
      <c r="O19" s="37">
        <v>46120</v>
      </c>
      <c r="P19" s="37">
        <v>46121</v>
      </c>
      <c r="Q19" s="15" t="s">
        <v>76</v>
      </c>
      <c r="R19" s="37">
        <v>46120</v>
      </c>
      <c r="S19" s="37">
        <v>46120</v>
      </c>
      <c r="T19" s="13">
        <f t="shared" si="0"/>
        <v>0</v>
      </c>
      <c r="U19" s="13">
        <f t="shared" si="1"/>
        <v>0</v>
      </c>
      <c r="V19" s="13">
        <f t="shared" si="4"/>
        <v>1</v>
      </c>
      <c r="W19" s="13">
        <f t="shared" si="3"/>
        <v>0</v>
      </c>
    </row>
    <row r="20" spans="1:23" x14ac:dyDescent="0.25">
      <c r="A20" s="1">
        <v>16</v>
      </c>
      <c r="B20" s="15" t="s">
        <v>77</v>
      </c>
      <c r="C20" s="37">
        <v>46120</v>
      </c>
      <c r="D20" s="15" t="s">
        <v>17</v>
      </c>
      <c r="E20" s="15" t="s">
        <v>18</v>
      </c>
      <c r="F20" s="15" t="s">
        <v>78</v>
      </c>
      <c r="G20" s="38" t="s">
        <v>79</v>
      </c>
      <c r="H20" s="1">
        <v>2</v>
      </c>
      <c r="I20" s="10">
        <v>2500</v>
      </c>
      <c r="J20" s="10">
        <v>5000</v>
      </c>
      <c r="K20" s="10">
        <v>5000</v>
      </c>
      <c r="L20" s="15" t="s">
        <v>59</v>
      </c>
      <c r="M20" s="15" t="s">
        <v>74</v>
      </c>
      <c r="N20" s="15" t="s">
        <v>75</v>
      </c>
      <c r="O20" s="37">
        <v>46120</v>
      </c>
      <c r="P20" s="37">
        <v>46121</v>
      </c>
      <c r="Q20" s="15" t="s">
        <v>80</v>
      </c>
      <c r="R20" s="37">
        <v>46120</v>
      </c>
      <c r="S20" s="37">
        <v>46120</v>
      </c>
      <c r="T20" s="13">
        <f t="shared" si="0"/>
        <v>0</v>
      </c>
      <c r="U20" s="13">
        <f t="shared" si="1"/>
        <v>0</v>
      </c>
      <c r="V20" s="13">
        <f t="shared" si="4"/>
        <v>1</v>
      </c>
      <c r="W20" s="13">
        <f t="shared" si="3"/>
        <v>0</v>
      </c>
    </row>
    <row r="21" spans="1:23" x14ac:dyDescent="0.25">
      <c r="A21" s="1">
        <v>17</v>
      </c>
      <c r="B21" s="15" t="s">
        <v>81</v>
      </c>
      <c r="C21" s="37">
        <v>46119</v>
      </c>
      <c r="D21" s="15" t="s">
        <v>17</v>
      </c>
      <c r="E21" s="15" t="s">
        <v>18</v>
      </c>
      <c r="F21" s="15" t="s">
        <v>82</v>
      </c>
      <c r="G21" s="15" t="s">
        <v>83</v>
      </c>
      <c r="H21" s="1">
        <v>1</v>
      </c>
      <c r="I21" s="10">
        <v>300000</v>
      </c>
      <c r="J21" s="10">
        <v>300000</v>
      </c>
      <c r="K21" s="10">
        <v>300000</v>
      </c>
      <c r="L21" s="15" t="s">
        <v>59</v>
      </c>
      <c r="M21" s="15" t="s">
        <v>84</v>
      </c>
      <c r="N21" s="15" t="s">
        <v>85</v>
      </c>
      <c r="O21" s="37">
        <v>46119</v>
      </c>
      <c r="P21" s="37">
        <v>46119</v>
      </c>
      <c r="Q21" s="15" t="s">
        <v>86</v>
      </c>
      <c r="R21" s="37">
        <v>46119</v>
      </c>
      <c r="S21" s="37">
        <v>46119</v>
      </c>
      <c r="T21" s="13">
        <f t="shared" si="0"/>
        <v>0</v>
      </c>
      <c r="U21" s="13">
        <f t="shared" si="1"/>
        <v>0</v>
      </c>
      <c r="V21" s="13">
        <f t="shared" si="4"/>
        <v>0</v>
      </c>
      <c r="W21" s="13">
        <f t="shared" si="3"/>
        <v>0</v>
      </c>
    </row>
    <row r="22" spans="1:23" x14ac:dyDescent="0.25">
      <c r="A22" s="1">
        <v>18</v>
      </c>
      <c r="B22" s="15" t="s">
        <v>81</v>
      </c>
      <c r="C22" s="37">
        <v>46119</v>
      </c>
      <c r="D22" s="15" t="s">
        <v>17</v>
      </c>
      <c r="E22" s="15" t="s">
        <v>18</v>
      </c>
      <c r="F22" s="15" t="s">
        <v>87</v>
      </c>
      <c r="G22" s="15" t="s">
        <v>83</v>
      </c>
      <c r="H22" s="1">
        <v>4</v>
      </c>
      <c r="I22" s="10">
        <v>2500</v>
      </c>
      <c r="J22" s="10">
        <v>10000</v>
      </c>
      <c r="K22" s="10">
        <v>10000</v>
      </c>
      <c r="L22" s="15" t="s">
        <v>59</v>
      </c>
      <c r="M22" s="15" t="s">
        <v>84</v>
      </c>
      <c r="N22" s="15" t="s">
        <v>85</v>
      </c>
      <c r="O22" s="37">
        <v>46119</v>
      </c>
      <c r="P22" s="37">
        <v>46119</v>
      </c>
      <c r="Q22" s="15" t="s">
        <v>86</v>
      </c>
      <c r="R22" s="37">
        <v>46119</v>
      </c>
      <c r="S22" s="37">
        <v>46119</v>
      </c>
      <c r="T22" s="13">
        <f t="shared" si="0"/>
        <v>0</v>
      </c>
      <c r="U22" s="13">
        <f t="shared" si="1"/>
        <v>0</v>
      </c>
      <c r="V22" s="13">
        <f t="shared" si="4"/>
        <v>0</v>
      </c>
      <c r="W22" s="13">
        <f t="shared" si="3"/>
        <v>0</v>
      </c>
    </row>
    <row r="23" spans="1:23" x14ac:dyDescent="0.25">
      <c r="A23" s="1">
        <v>19</v>
      </c>
      <c r="B23" s="15" t="s">
        <v>81</v>
      </c>
      <c r="C23" s="37">
        <v>46119</v>
      </c>
      <c r="D23" s="15" t="s">
        <v>17</v>
      </c>
      <c r="E23" s="15" t="s">
        <v>18</v>
      </c>
      <c r="F23" s="15" t="s">
        <v>88</v>
      </c>
      <c r="G23" s="15" t="s">
        <v>83</v>
      </c>
      <c r="H23" s="1">
        <v>1</v>
      </c>
      <c r="I23" s="10">
        <v>55000</v>
      </c>
      <c r="J23" s="10">
        <v>55000</v>
      </c>
      <c r="K23" s="10">
        <v>55000</v>
      </c>
      <c r="L23" s="15" t="s">
        <v>59</v>
      </c>
      <c r="M23" s="15" t="s">
        <v>84</v>
      </c>
      <c r="N23" s="15" t="s">
        <v>85</v>
      </c>
      <c r="O23" s="37">
        <v>46119</v>
      </c>
      <c r="P23" s="37">
        <v>46119</v>
      </c>
      <c r="Q23" s="15" t="s">
        <v>86</v>
      </c>
      <c r="R23" s="37">
        <v>46119</v>
      </c>
      <c r="S23" s="37">
        <v>46119</v>
      </c>
      <c r="T23" s="13">
        <f t="shared" si="0"/>
        <v>0</v>
      </c>
      <c r="U23" s="13">
        <f t="shared" si="1"/>
        <v>0</v>
      </c>
      <c r="V23" s="13">
        <f t="shared" si="4"/>
        <v>0</v>
      </c>
      <c r="W23" s="13">
        <f t="shared" si="3"/>
        <v>0</v>
      </c>
    </row>
    <row r="24" spans="1:23" x14ac:dyDescent="0.25">
      <c r="A24" s="1">
        <v>20</v>
      </c>
      <c r="B24" s="38" t="s">
        <v>89</v>
      </c>
      <c r="C24" s="37">
        <v>46119</v>
      </c>
      <c r="D24" s="15" t="s">
        <v>17</v>
      </c>
      <c r="E24" s="15" t="s">
        <v>18</v>
      </c>
      <c r="F24" s="15" t="s">
        <v>90</v>
      </c>
      <c r="G24" s="14" t="s">
        <v>91</v>
      </c>
      <c r="H24" s="1">
        <v>5</v>
      </c>
      <c r="I24" s="10">
        <v>90000</v>
      </c>
      <c r="J24" s="10">
        <v>450000</v>
      </c>
      <c r="K24" s="10">
        <v>450000</v>
      </c>
      <c r="L24" s="15" t="s">
        <v>59</v>
      </c>
      <c r="M24" s="15" t="s">
        <v>92</v>
      </c>
      <c r="N24" s="15" t="s">
        <v>85</v>
      </c>
      <c r="O24" s="37">
        <v>46119</v>
      </c>
      <c r="P24" s="37">
        <v>46123</v>
      </c>
      <c r="Q24" s="15" t="s">
        <v>86</v>
      </c>
      <c r="R24" s="37">
        <v>46120</v>
      </c>
      <c r="S24" s="37">
        <v>46119</v>
      </c>
      <c r="T24" s="13">
        <f t="shared" si="0"/>
        <v>0</v>
      </c>
      <c r="U24" s="13">
        <f t="shared" si="1"/>
        <v>1</v>
      </c>
      <c r="V24" s="13">
        <f t="shared" si="4"/>
        <v>4</v>
      </c>
      <c r="W24" s="13">
        <f t="shared" si="3"/>
        <v>0</v>
      </c>
    </row>
    <row r="25" spans="1:23" x14ac:dyDescent="0.25">
      <c r="A25" s="1">
        <v>21</v>
      </c>
      <c r="B25" s="15" t="s">
        <v>93</v>
      </c>
      <c r="C25" s="37">
        <v>46120</v>
      </c>
      <c r="D25" s="15" t="s">
        <v>17</v>
      </c>
      <c r="E25" s="15" t="s">
        <v>18</v>
      </c>
      <c r="F25" s="15" t="s">
        <v>94</v>
      </c>
      <c r="G25" s="15" t="s">
        <v>95</v>
      </c>
      <c r="H25" s="1">
        <v>1</v>
      </c>
      <c r="I25" s="10">
        <v>400000</v>
      </c>
      <c r="J25" s="10">
        <v>400000</v>
      </c>
      <c r="K25" s="10">
        <v>400000</v>
      </c>
      <c r="L25" s="15" t="s">
        <v>59</v>
      </c>
      <c r="M25" s="15" t="s">
        <v>96</v>
      </c>
      <c r="N25" s="15" t="s">
        <v>85</v>
      </c>
      <c r="O25" s="37">
        <v>46120</v>
      </c>
      <c r="P25" s="37">
        <v>46122</v>
      </c>
      <c r="Q25" s="15" t="s">
        <v>86</v>
      </c>
      <c r="R25" s="37">
        <v>46120</v>
      </c>
      <c r="S25" s="37">
        <v>46120</v>
      </c>
      <c r="T25" s="13">
        <f t="shared" si="0"/>
        <v>0</v>
      </c>
      <c r="U25" s="13">
        <f t="shared" si="1"/>
        <v>0</v>
      </c>
      <c r="V25" s="13">
        <f t="shared" si="4"/>
        <v>2</v>
      </c>
      <c r="W25" s="13">
        <f t="shared" si="3"/>
        <v>0</v>
      </c>
    </row>
    <row r="26" spans="1:23" x14ac:dyDescent="0.25">
      <c r="A26" s="1">
        <v>22</v>
      </c>
      <c r="B26" s="15" t="s">
        <v>93</v>
      </c>
      <c r="C26" s="37">
        <v>46120</v>
      </c>
      <c r="D26" s="15" t="s">
        <v>17</v>
      </c>
      <c r="E26" s="15" t="s">
        <v>18</v>
      </c>
      <c r="F26" s="19" t="s">
        <v>97</v>
      </c>
      <c r="G26" s="15" t="s">
        <v>95</v>
      </c>
      <c r="H26" s="1">
        <v>4</v>
      </c>
      <c r="I26" s="10">
        <v>1050000</v>
      </c>
      <c r="J26" s="10">
        <v>4200000</v>
      </c>
      <c r="K26" s="10">
        <v>4200000</v>
      </c>
      <c r="L26" s="15" t="s">
        <v>59</v>
      </c>
      <c r="M26" s="15" t="s">
        <v>96</v>
      </c>
      <c r="N26" s="15" t="s">
        <v>85</v>
      </c>
      <c r="O26" s="37">
        <v>46120</v>
      </c>
      <c r="P26" s="37">
        <v>46122</v>
      </c>
      <c r="Q26" s="15" t="s">
        <v>86</v>
      </c>
      <c r="R26" s="37">
        <v>46120</v>
      </c>
      <c r="S26" s="37">
        <v>46120</v>
      </c>
      <c r="T26" s="13">
        <f t="shared" si="0"/>
        <v>0</v>
      </c>
      <c r="U26" s="13">
        <f t="shared" si="1"/>
        <v>0</v>
      </c>
      <c r="V26" s="13">
        <f t="shared" si="4"/>
        <v>2</v>
      </c>
      <c r="W26" s="13">
        <f t="shared" si="3"/>
        <v>0</v>
      </c>
    </row>
    <row r="27" spans="1:23" x14ac:dyDescent="0.25">
      <c r="A27" s="1">
        <v>23</v>
      </c>
      <c r="B27" s="15" t="s">
        <v>93</v>
      </c>
      <c r="C27" s="37">
        <v>46120</v>
      </c>
      <c r="D27" s="15" t="s">
        <v>17</v>
      </c>
      <c r="E27" s="15" t="s">
        <v>18</v>
      </c>
      <c r="F27" s="19" t="s">
        <v>98</v>
      </c>
      <c r="G27" s="15" t="s">
        <v>95</v>
      </c>
      <c r="H27" s="1">
        <v>4</v>
      </c>
      <c r="I27" s="10">
        <v>275000</v>
      </c>
      <c r="J27" s="10">
        <v>1100000</v>
      </c>
      <c r="K27" s="10">
        <v>1100000</v>
      </c>
      <c r="L27" s="15" t="s">
        <v>59</v>
      </c>
      <c r="M27" s="15" t="s">
        <v>96</v>
      </c>
      <c r="N27" s="15" t="s">
        <v>85</v>
      </c>
      <c r="O27" s="37">
        <v>46120</v>
      </c>
      <c r="P27" s="37">
        <v>46122</v>
      </c>
      <c r="Q27" s="15" t="s">
        <v>86</v>
      </c>
      <c r="R27" s="37">
        <v>46120</v>
      </c>
      <c r="S27" s="37">
        <v>46120</v>
      </c>
      <c r="T27" s="13">
        <f t="shared" si="0"/>
        <v>0</v>
      </c>
      <c r="U27" s="13">
        <f t="shared" si="1"/>
        <v>0</v>
      </c>
      <c r="V27" s="13">
        <f t="shared" si="4"/>
        <v>2</v>
      </c>
      <c r="W27" s="13">
        <f t="shared" si="3"/>
        <v>0</v>
      </c>
    </row>
    <row r="28" spans="1:23" x14ac:dyDescent="0.25">
      <c r="A28" s="1">
        <v>24</v>
      </c>
      <c r="B28" s="15" t="s">
        <v>93</v>
      </c>
      <c r="C28" s="37">
        <v>46120</v>
      </c>
      <c r="D28" s="15" t="s">
        <v>17</v>
      </c>
      <c r="E28" s="15" t="s">
        <v>18</v>
      </c>
      <c r="F28" s="19" t="s">
        <v>99</v>
      </c>
      <c r="G28" s="15" t="s">
        <v>95</v>
      </c>
      <c r="H28" s="1">
        <v>4</v>
      </c>
      <c r="I28" s="10">
        <v>250000</v>
      </c>
      <c r="J28" s="10">
        <v>1000000</v>
      </c>
      <c r="K28" s="10">
        <v>1000000</v>
      </c>
      <c r="L28" s="15" t="s">
        <v>59</v>
      </c>
      <c r="M28" s="15" t="s">
        <v>96</v>
      </c>
      <c r="N28" s="15" t="s">
        <v>85</v>
      </c>
      <c r="O28" s="37">
        <v>46120</v>
      </c>
      <c r="P28" s="37">
        <v>46122</v>
      </c>
      <c r="Q28" s="15" t="s">
        <v>86</v>
      </c>
      <c r="R28" s="37">
        <v>46120</v>
      </c>
      <c r="S28" s="37">
        <v>46120</v>
      </c>
      <c r="T28" s="13">
        <f t="shared" si="0"/>
        <v>0</v>
      </c>
      <c r="U28" s="13">
        <f t="shared" si="1"/>
        <v>0</v>
      </c>
      <c r="V28" s="13">
        <f t="shared" si="4"/>
        <v>2</v>
      </c>
      <c r="W28" s="13">
        <f t="shared" si="3"/>
        <v>0</v>
      </c>
    </row>
    <row r="29" spans="1:23" x14ac:dyDescent="0.25">
      <c r="A29" s="1">
        <v>25</v>
      </c>
      <c r="B29" s="15" t="s">
        <v>93</v>
      </c>
      <c r="C29" s="37">
        <v>46120</v>
      </c>
      <c r="D29" s="15" t="s">
        <v>17</v>
      </c>
      <c r="E29" s="15" t="s">
        <v>18</v>
      </c>
      <c r="F29" s="15" t="s">
        <v>100</v>
      </c>
      <c r="G29" s="15" t="s">
        <v>95</v>
      </c>
      <c r="H29" s="1">
        <v>1</v>
      </c>
      <c r="I29" s="10">
        <v>25000</v>
      </c>
      <c r="J29" s="10">
        <v>25000</v>
      </c>
      <c r="K29" s="10">
        <v>25000</v>
      </c>
      <c r="L29" s="15" t="s">
        <v>59</v>
      </c>
      <c r="M29" s="15" t="s">
        <v>96</v>
      </c>
      <c r="N29" s="15" t="s">
        <v>85</v>
      </c>
      <c r="O29" s="37">
        <v>46120</v>
      </c>
      <c r="P29" s="37">
        <v>46122</v>
      </c>
      <c r="Q29" s="15" t="s">
        <v>86</v>
      </c>
      <c r="R29" s="37">
        <v>46120</v>
      </c>
      <c r="S29" s="37">
        <v>46120</v>
      </c>
      <c r="T29" s="13">
        <f t="shared" si="0"/>
        <v>0</v>
      </c>
      <c r="U29" s="13">
        <f t="shared" si="1"/>
        <v>0</v>
      </c>
      <c r="V29" s="13">
        <f t="shared" si="4"/>
        <v>2</v>
      </c>
      <c r="W29" s="13">
        <f>S30-C29</f>
        <v>0</v>
      </c>
    </row>
    <row r="30" spans="1:23" x14ac:dyDescent="0.25">
      <c r="A30" s="1">
        <v>26</v>
      </c>
      <c r="B30" s="15" t="s">
        <v>101</v>
      </c>
      <c r="C30" s="37">
        <v>46120</v>
      </c>
      <c r="D30" s="15" t="s">
        <v>17</v>
      </c>
      <c r="E30" s="15" t="s">
        <v>18</v>
      </c>
      <c r="F30" s="15" t="s">
        <v>102</v>
      </c>
      <c r="G30" s="15" t="s">
        <v>95</v>
      </c>
      <c r="H30" s="1">
        <v>1</v>
      </c>
      <c r="I30" s="10">
        <v>380000</v>
      </c>
      <c r="J30" s="10">
        <v>380000</v>
      </c>
      <c r="K30" s="10">
        <v>380000</v>
      </c>
      <c r="L30" s="15" t="s">
        <v>59</v>
      </c>
      <c r="M30" s="15" t="s">
        <v>84</v>
      </c>
      <c r="N30" s="15" t="s">
        <v>85</v>
      </c>
      <c r="O30" s="37">
        <v>46120</v>
      </c>
      <c r="P30" s="37">
        <v>46120</v>
      </c>
      <c r="Q30" s="15" t="s">
        <v>86</v>
      </c>
      <c r="R30" s="37">
        <v>46120</v>
      </c>
      <c r="S30" s="37">
        <v>46120</v>
      </c>
      <c r="T30" s="13">
        <f t="shared" si="0"/>
        <v>0</v>
      </c>
      <c r="U30" s="13">
        <f t="shared" si="1"/>
        <v>0</v>
      </c>
      <c r="V30" s="13">
        <f t="shared" si="4"/>
        <v>0</v>
      </c>
      <c r="W30" s="13">
        <f>S31-C30</f>
        <v>0</v>
      </c>
    </row>
    <row r="31" spans="1:23" x14ac:dyDescent="0.25">
      <c r="A31" s="1">
        <v>27</v>
      </c>
      <c r="B31" s="15" t="s">
        <v>101</v>
      </c>
      <c r="C31" s="37">
        <v>46120</v>
      </c>
      <c r="D31" s="15" t="s">
        <v>17</v>
      </c>
      <c r="E31" s="15" t="s">
        <v>18</v>
      </c>
      <c r="F31" s="15" t="s">
        <v>103</v>
      </c>
      <c r="G31" s="15" t="s">
        <v>95</v>
      </c>
      <c r="H31" s="1">
        <v>1</v>
      </c>
      <c r="I31" s="10">
        <v>765000</v>
      </c>
      <c r="J31" s="10">
        <v>765000</v>
      </c>
      <c r="K31" s="10">
        <v>765000</v>
      </c>
      <c r="L31" s="15" t="s">
        <v>59</v>
      </c>
      <c r="M31" s="15" t="s">
        <v>84</v>
      </c>
      <c r="N31" s="15" t="s">
        <v>85</v>
      </c>
      <c r="O31" s="37">
        <v>46120</v>
      </c>
      <c r="P31" s="37">
        <v>46120</v>
      </c>
      <c r="Q31" s="15" t="s">
        <v>86</v>
      </c>
      <c r="R31" s="37">
        <v>46120</v>
      </c>
      <c r="S31" s="37">
        <v>46120</v>
      </c>
      <c r="T31" s="13">
        <f t="shared" si="0"/>
        <v>0</v>
      </c>
      <c r="U31" s="13">
        <f t="shared" si="1"/>
        <v>0</v>
      </c>
      <c r="V31" s="13">
        <f t="shared" si="4"/>
        <v>0</v>
      </c>
      <c r="W31" s="13">
        <f>S31-C31</f>
        <v>0</v>
      </c>
    </row>
    <row r="32" spans="1:23" x14ac:dyDescent="0.25">
      <c r="A32" s="1">
        <v>28</v>
      </c>
      <c r="B32" s="15" t="s">
        <v>77</v>
      </c>
      <c r="C32" s="37">
        <v>46120</v>
      </c>
      <c r="D32" s="15" t="s">
        <v>17</v>
      </c>
      <c r="E32" s="15" t="s">
        <v>18</v>
      </c>
      <c r="F32" s="15" t="s">
        <v>104</v>
      </c>
      <c r="G32" s="15" t="s">
        <v>105</v>
      </c>
      <c r="H32" s="1">
        <v>1</v>
      </c>
      <c r="I32" s="10">
        <v>13700</v>
      </c>
      <c r="J32" s="10">
        <v>13700</v>
      </c>
      <c r="K32" s="10">
        <v>13700</v>
      </c>
      <c r="L32" s="15" t="s">
        <v>5</v>
      </c>
      <c r="M32" s="15" t="s">
        <v>106</v>
      </c>
      <c r="N32" s="15" t="s">
        <v>75</v>
      </c>
      <c r="O32" s="37">
        <v>46120</v>
      </c>
      <c r="P32" s="37">
        <v>46127</v>
      </c>
      <c r="Q32" s="15" t="s">
        <v>107</v>
      </c>
      <c r="R32" s="37">
        <v>46122</v>
      </c>
      <c r="S32" s="37">
        <v>46120</v>
      </c>
      <c r="T32" s="13">
        <f>O32-C32</f>
        <v>0</v>
      </c>
      <c r="U32" s="13">
        <f>R32-C32</f>
        <v>2</v>
      </c>
      <c r="V32" s="13">
        <f t="shared" si="4"/>
        <v>7</v>
      </c>
      <c r="W32" s="13">
        <f t="shared" ref="W32:W95" si="5">S32-C32</f>
        <v>0</v>
      </c>
    </row>
    <row r="33" spans="1:23" x14ac:dyDescent="0.25">
      <c r="A33" s="1">
        <v>29</v>
      </c>
      <c r="B33" s="15" t="s">
        <v>108</v>
      </c>
      <c r="C33" s="37">
        <v>46125.375</v>
      </c>
      <c r="D33" s="15" t="s">
        <v>17</v>
      </c>
      <c r="E33" s="15" t="s">
        <v>18</v>
      </c>
      <c r="F33" s="15" t="s">
        <v>109</v>
      </c>
      <c r="G33" s="15" t="s">
        <v>110</v>
      </c>
      <c r="H33" s="1">
        <v>2</v>
      </c>
      <c r="I33" s="10">
        <v>17000</v>
      </c>
      <c r="J33" s="10">
        <v>34000</v>
      </c>
      <c r="K33" s="10">
        <v>34000</v>
      </c>
      <c r="L33" s="15" t="s">
        <v>59</v>
      </c>
      <c r="M33" s="15" t="s">
        <v>111</v>
      </c>
      <c r="N33" s="15" t="s">
        <v>112</v>
      </c>
      <c r="O33" s="37">
        <v>46126.46597222222</v>
      </c>
      <c r="P33" s="37">
        <v>46127</v>
      </c>
      <c r="Q33" s="15" t="s">
        <v>113</v>
      </c>
      <c r="R33" s="37">
        <v>46126</v>
      </c>
      <c r="S33" s="37">
        <v>46126</v>
      </c>
      <c r="T33" s="16">
        <f>O33-C33</f>
        <v>1.0909722222204437</v>
      </c>
      <c r="U33" s="16">
        <f>R33-C33</f>
        <v>0.625</v>
      </c>
      <c r="V33" s="16">
        <f t="shared" si="4"/>
        <v>1.625</v>
      </c>
      <c r="W33" s="16">
        <f t="shared" si="5"/>
        <v>0.625</v>
      </c>
    </row>
    <row r="34" spans="1:23" x14ac:dyDescent="0.25">
      <c r="A34" s="1">
        <v>30</v>
      </c>
      <c r="B34" s="15" t="s">
        <v>108</v>
      </c>
      <c r="C34" s="37">
        <v>46125.375</v>
      </c>
      <c r="D34" s="15" t="s">
        <v>17</v>
      </c>
      <c r="E34" s="15" t="s">
        <v>18</v>
      </c>
      <c r="F34" s="15" t="s">
        <v>109</v>
      </c>
      <c r="G34" s="15" t="s">
        <v>114</v>
      </c>
      <c r="H34" s="1">
        <v>2</v>
      </c>
      <c r="I34" s="10">
        <v>16950</v>
      </c>
      <c r="J34" s="10">
        <v>33900</v>
      </c>
      <c r="K34" s="10">
        <v>32300</v>
      </c>
      <c r="L34" s="15" t="s">
        <v>5</v>
      </c>
      <c r="M34" s="38" t="s">
        <v>115</v>
      </c>
      <c r="N34" s="15" t="s">
        <v>112</v>
      </c>
      <c r="O34" s="37">
        <v>46126.46597222222</v>
      </c>
      <c r="P34" s="37">
        <v>46130</v>
      </c>
      <c r="Q34" s="15" t="s">
        <v>116</v>
      </c>
      <c r="R34" s="37">
        <v>46126</v>
      </c>
      <c r="S34" s="37">
        <v>46126</v>
      </c>
      <c r="T34" s="16">
        <f>O34-C34</f>
        <v>1.0909722222204437</v>
      </c>
      <c r="U34" s="16">
        <f>R34-C34</f>
        <v>0.625</v>
      </c>
      <c r="V34" s="16">
        <f t="shared" si="4"/>
        <v>4.625</v>
      </c>
      <c r="W34" s="16">
        <f t="shared" si="5"/>
        <v>0.625</v>
      </c>
    </row>
    <row r="35" spans="1:23" x14ac:dyDescent="0.25">
      <c r="A35" s="1">
        <v>31</v>
      </c>
      <c r="B35" s="15" t="s">
        <v>101</v>
      </c>
      <c r="C35" s="37">
        <v>46120</v>
      </c>
      <c r="D35" s="15" t="s">
        <v>17</v>
      </c>
      <c r="E35" s="15" t="s">
        <v>18</v>
      </c>
      <c r="F35" s="15" t="s">
        <v>102</v>
      </c>
      <c r="G35" s="15" t="s">
        <v>95</v>
      </c>
      <c r="H35" s="1">
        <v>1</v>
      </c>
      <c r="I35" s="10">
        <v>380000</v>
      </c>
      <c r="J35" s="10">
        <v>380000</v>
      </c>
      <c r="K35" s="10">
        <v>380000</v>
      </c>
      <c r="L35" s="15" t="s">
        <v>59</v>
      </c>
      <c r="M35" s="15" t="s">
        <v>84</v>
      </c>
      <c r="N35" s="15" t="s">
        <v>85</v>
      </c>
      <c r="O35" s="37">
        <v>46120</v>
      </c>
      <c r="P35" s="37">
        <v>46121</v>
      </c>
      <c r="Q35" s="15" t="s">
        <v>86</v>
      </c>
      <c r="R35" s="37">
        <v>46120</v>
      </c>
      <c r="S35" s="37">
        <v>46120</v>
      </c>
      <c r="T35" s="1">
        <f t="shared" si="0"/>
        <v>0</v>
      </c>
      <c r="U35" s="1">
        <f t="shared" ref="U35:U98" si="6">R35-C35</f>
        <v>0</v>
      </c>
      <c r="V35" s="1">
        <f t="shared" si="4"/>
        <v>1</v>
      </c>
      <c r="W35" s="1">
        <f t="shared" si="5"/>
        <v>0</v>
      </c>
    </row>
    <row r="36" spans="1:23" x14ac:dyDescent="0.25">
      <c r="A36" s="1">
        <v>32</v>
      </c>
      <c r="B36" s="15" t="s">
        <v>101</v>
      </c>
      <c r="C36" s="37">
        <v>46120</v>
      </c>
      <c r="D36" s="15" t="s">
        <v>17</v>
      </c>
      <c r="E36" s="15" t="s">
        <v>18</v>
      </c>
      <c r="F36" s="15" t="s">
        <v>103</v>
      </c>
      <c r="G36" s="15" t="s">
        <v>95</v>
      </c>
      <c r="H36" s="1">
        <v>1</v>
      </c>
      <c r="I36" s="10">
        <v>765000</v>
      </c>
      <c r="J36" s="10">
        <v>765000</v>
      </c>
      <c r="K36" s="10">
        <v>765000</v>
      </c>
      <c r="L36" s="15" t="s">
        <v>59</v>
      </c>
      <c r="M36" s="15" t="s">
        <v>84</v>
      </c>
      <c r="N36" s="15" t="s">
        <v>85</v>
      </c>
      <c r="O36" s="37">
        <v>46120</v>
      </c>
      <c r="P36" s="37">
        <v>46121</v>
      </c>
      <c r="Q36" s="15" t="s">
        <v>86</v>
      </c>
      <c r="R36" s="37">
        <v>46120</v>
      </c>
      <c r="S36" s="37">
        <v>46120</v>
      </c>
      <c r="T36" s="1">
        <f t="shared" si="0"/>
        <v>0</v>
      </c>
      <c r="U36" s="1">
        <f t="shared" si="6"/>
        <v>0</v>
      </c>
      <c r="V36" s="1">
        <f t="shared" si="4"/>
        <v>1</v>
      </c>
      <c r="W36" s="1">
        <f t="shared" si="5"/>
        <v>0</v>
      </c>
    </row>
    <row r="37" spans="1:23" x14ac:dyDescent="0.25">
      <c r="A37" s="1">
        <v>33</v>
      </c>
      <c r="B37" s="15" t="s">
        <v>117</v>
      </c>
      <c r="C37" s="37">
        <v>46122</v>
      </c>
      <c r="D37" s="15" t="s">
        <v>17</v>
      </c>
      <c r="E37" s="15" t="s">
        <v>18</v>
      </c>
      <c r="F37" s="15" t="s">
        <v>118</v>
      </c>
      <c r="G37" s="38" t="s">
        <v>119</v>
      </c>
      <c r="H37" s="1">
        <v>1</v>
      </c>
      <c r="I37" s="10">
        <v>30000</v>
      </c>
      <c r="J37" s="10">
        <v>30000</v>
      </c>
      <c r="K37" s="10">
        <v>30000</v>
      </c>
      <c r="L37" s="15" t="s">
        <v>59</v>
      </c>
      <c r="M37" s="15" t="s">
        <v>96</v>
      </c>
      <c r="N37" s="15" t="s">
        <v>85</v>
      </c>
      <c r="O37" s="37">
        <v>46122</v>
      </c>
      <c r="P37" s="37">
        <v>46122</v>
      </c>
      <c r="Q37" s="15" t="s">
        <v>86</v>
      </c>
      <c r="R37" s="37">
        <v>46122</v>
      </c>
      <c r="S37" s="37">
        <v>46122</v>
      </c>
      <c r="T37" s="1">
        <f t="shared" si="0"/>
        <v>0</v>
      </c>
      <c r="U37" s="1">
        <f t="shared" si="6"/>
        <v>0</v>
      </c>
      <c r="V37" s="1">
        <f t="shared" si="4"/>
        <v>0</v>
      </c>
      <c r="W37" s="1">
        <f t="shared" si="5"/>
        <v>0</v>
      </c>
    </row>
    <row r="38" spans="1:23" x14ac:dyDescent="0.25">
      <c r="A38" s="1">
        <v>34</v>
      </c>
      <c r="B38" s="15" t="s">
        <v>120</v>
      </c>
      <c r="C38" s="37">
        <v>46123</v>
      </c>
      <c r="D38" s="15" t="s">
        <v>121</v>
      </c>
      <c r="E38" s="15" t="s">
        <v>122</v>
      </c>
      <c r="F38" s="15" t="s">
        <v>123</v>
      </c>
      <c r="G38" s="15" t="s">
        <v>124</v>
      </c>
      <c r="H38" s="1">
        <v>12</v>
      </c>
      <c r="I38" s="43">
        <v>4775</v>
      </c>
      <c r="J38" s="43">
        <v>57300</v>
      </c>
      <c r="K38" s="10">
        <v>55544</v>
      </c>
      <c r="L38" s="15" t="s">
        <v>5</v>
      </c>
      <c r="M38" s="15" t="s">
        <v>125</v>
      </c>
      <c r="N38" s="15" t="s">
        <v>112</v>
      </c>
      <c r="O38" s="37">
        <v>46126</v>
      </c>
      <c r="P38" s="37">
        <v>46129</v>
      </c>
      <c r="Q38" s="15" t="s">
        <v>126</v>
      </c>
      <c r="R38" s="37">
        <v>46126</v>
      </c>
      <c r="S38" s="37">
        <v>46123</v>
      </c>
      <c r="T38" s="1">
        <f t="shared" si="0"/>
        <v>3</v>
      </c>
      <c r="U38" s="1">
        <f t="shared" si="6"/>
        <v>3</v>
      </c>
      <c r="V38" s="1">
        <f t="shared" si="4"/>
        <v>6</v>
      </c>
      <c r="W38" s="1">
        <f t="shared" si="5"/>
        <v>0</v>
      </c>
    </row>
    <row r="39" spans="1:23" x14ac:dyDescent="0.25">
      <c r="A39" s="1">
        <v>35</v>
      </c>
      <c r="B39" s="15" t="s">
        <v>120</v>
      </c>
      <c r="C39" s="37">
        <v>46123</v>
      </c>
      <c r="D39" s="15" t="s">
        <v>121</v>
      </c>
      <c r="E39" s="15" t="s">
        <v>122</v>
      </c>
      <c r="F39" s="15" t="s">
        <v>127</v>
      </c>
      <c r="G39" s="15" t="s">
        <v>128</v>
      </c>
      <c r="H39" s="1">
        <v>12</v>
      </c>
      <c r="I39" s="43">
        <v>20148</v>
      </c>
      <c r="J39" s="43">
        <v>241776</v>
      </c>
      <c r="K39" s="10">
        <v>240505</v>
      </c>
      <c r="L39" s="15" t="s">
        <v>5</v>
      </c>
      <c r="M39" s="15" t="s">
        <v>129</v>
      </c>
      <c r="N39" s="15" t="s">
        <v>112</v>
      </c>
      <c r="O39" s="37">
        <v>46126</v>
      </c>
      <c r="P39" s="37">
        <v>46132</v>
      </c>
      <c r="Q39" s="15" t="s">
        <v>126</v>
      </c>
      <c r="R39" s="37">
        <v>46126</v>
      </c>
      <c r="S39" s="37">
        <v>46123</v>
      </c>
      <c r="T39" s="1">
        <f t="shared" si="0"/>
        <v>3</v>
      </c>
      <c r="U39" s="1">
        <f t="shared" si="6"/>
        <v>3</v>
      </c>
      <c r="V39" s="1">
        <f t="shared" si="4"/>
        <v>9</v>
      </c>
      <c r="W39" s="1">
        <f t="shared" si="5"/>
        <v>0</v>
      </c>
    </row>
    <row r="40" spans="1:23" x14ac:dyDescent="0.25">
      <c r="A40" s="1">
        <v>36</v>
      </c>
      <c r="B40" s="15" t="s">
        <v>120</v>
      </c>
      <c r="C40" s="37">
        <v>46123</v>
      </c>
      <c r="D40" s="15" t="s">
        <v>121</v>
      </c>
      <c r="E40" s="15" t="s">
        <v>122</v>
      </c>
      <c r="F40" s="19" t="s">
        <v>130</v>
      </c>
      <c r="G40" s="15" t="s">
        <v>131</v>
      </c>
      <c r="H40" s="1">
        <v>24</v>
      </c>
      <c r="I40" s="15">
        <v>913</v>
      </c>
      <c r="J40" s="43">
        <v>21912</v>
      </c>
      <c r="K40" s="10">
        <v>20201</v>
      </c>
      <c r="L40" s="15" t="s">
        <v>5</v>
      </c>
      <c r="M40" s="15" t="s">
        <v>132</v>
      </c>
      <c r="N40" s="15" t="s">
        <v>112</v>
      </c>
      <c r="O40" s="37">
        <v>46126</v>
      </c>
      <c r="P40" s="37">
        <v>46128</v>
      </c>
      <c r="Q40" s="15" t="s">
        <v>133</v>
      </c>
      <c r="R40" s="37">
        <v>46127</v>
      </c>
      <c r="S40" s="37">
        <v>46123</v>
      </c>
      <c r="T40" s="1">
        <f t="shared" si="0"/>
        <v>3</v>
      </c>
      <c r="U40" s="1">
        <f t="shared" si="6"/>
        <v>4</v>
      </c>
      <c r="V40" s="1">
        <f t="shared" si="4"/>
        <v>5</v>
      </c>
      <c r="W40" s="1">
        <f t="shared" si="5"/>
        <v>0</v>
      </c>
    </row>
    <row r="41" spans="1:23" x14ac:dyDescent="0.25">
      <c r="A41" s="1">
        <v>37</v>
      </c>
      <c r="B41" s="15" t="s">
        <v>120</v>
      </c>
      <c r="C41" s="37">
        <v>46123</v>
      </c>
      <c r="D41" s="15" t="s">
        <v>121</v>
      </c>
      <c r="E41" s="15" t="s">
        <v>122</v>
      </c>
      <c r="F41" s="19" t="s">
        <v>134</v>
      </c>
      <c r="G41" s="19" t="s">
        <v>135</v>
      </c>
      <c r="H41" s="1">
        <v>10</v>
      </c>
      <c r="I41" s="43">
        <v>14160</v>
      </c>
      <c r="J41" s="43">
        <v>141600</v>
      </c>
      <c r="K41" s="10">
        <v>139763</v>
      </c>
      <c r="L41" s="15" t="s">
        <v>5</v>
      </c>
      <c r="M41" s="15" t="s">
        <v>136</v>
      </c>
      <c r="N41" s="15" t="s">
        <v>112</v>
      </c>
      <c r="O41" s="37">
        <v>46126</v>
      </c>
      <c r="P41" s="37">
        <v>46127</v>
      </c>
      <c r="Q41" s="15" t="s">
        <v>137</v>
      </c>
      <c r="R41" s="37">
        <v>46126</v>
      </c>
      <c r="S41" s="37">
        <v>46123</v>
      </c>
      <c r="T41" s="1">
        <f t="shared" si="0"/>
        <v>3</v>
      </c>
      <c r="U41" s="1">
        <f t="shared" si="6"/>
        <v>3</v>
      </c>
      <c r="V41" s="1">
        <f t="shared" si="4"/>
        <v>4</v>
      </c>
      <c r="W41" s="1">
        <f t="shared" si="5"/>
        <v>0</v>
      </c>
    </row>
    <row r="42" spans="1:23" x14ac:dyDescent="0.25">
      <c r="A42" s="1">
        <v>38</v>
      </c>
      <c r="B42" s="15" t="s">
        <v>120</v>
      </c>
      <c r="C42" s="37">
        <v>46123</v>
      </c>
      <c r="D42" s="15" t="s">
        <v>121</v>
      </c>
      <c r="E42" s="15" t="s">
        <v>122</v>
      </c>
      <c r="F42" s="19" t="s">
        <v>134</v>
      </c>
      <c r="G42" s="15" t="s">
        <v>138</v>
      </c>
      <c r="H42" s="1">
        <v>5</v>
      </c>
      <c r="I42" s="43">
        <v>17376</v>
      </c>
      <c r="J42" s="43">
        <v>86880</v>
      </c>
      <c r="K42" s="10">
        <v>74978</v>
      </c>
      <c r="L42" s="15" t="s">
        <v>5</v>
      </c>
      <c r="M42" s="15" t="s">
        <v>139</v>
      </c>
      <c r="N42" s="15" t="s">
        <v>112</v>
      </c>
      <c r="O42" s="37">
        <v>46126</v>
      </c>
      <c r="P42" s="37">
        <v>46129</v>
      </c>
      <c r="Q42" s="15" t="s">
        <v>140</v>
      </c>
      <c r="R42" s="37">
        <v>46126</v>
      </c>
      <c r="S42" s="37">
        <v>46123</v>
      </c>
      <c r="T42" s="1">
        <f t="shared" si="0"/>
        <v>3</v>
      </c>
      <c r="U42" s="1">
        <f t="shared" si="6"/>
        <v>3</v>
      </c>
      <c r="V42" s="1">
        <f t="shared" si="4"/>
        <v>6</v>
      </c>
      <c r="W42" s="1">
        <f t="shared" si="5"/>
        <v>0</v>
      </c>
    </row>
    <row r="43" spans="1:23" x14ac:dyDescent="0.25">
      <c r="A43" s="1">
        <v>39</v>
      </c>
      <c r="B43" s="15" t="s">
        <v>120</v>
      </c>
      <c r="C43" s="37">
        <v>46123</v>
      </c>
      <c r="D43" s="15" t="s">
        <v>121</v>
      </c>
      <c r="E43" s="15" t="s">
        <v>122</v>
      </c>
      <c r="F43" s="15" t="s">
        <v>141</v>
      </c>
      <c r="G43" s="19" t="s">
        <v>142</v>
      </c>
      <c r="H43" s="1">
        <v>10</v>
      </c>
      <c r="I43" s="43">
        <v>15340</v>
      </c>
      <c r="J43" s="43">
        <v>153400</v>
      </c>
      <c r="K43" s="10">
        <v>134820</v>
      </c>
      <c r="L43" s="15" t="s">
        <v>5</v>
      </c>
      <c r="M43" s="15" t="s">
        <v>143</v>
      </c>
      <c r="N43" s="15" t="s">
        <v>112</v>
      </c>
      <c r="O43" s="37">
        <v>46126</v>
      </c>
      <c r="P43" s="37">
        <v>46130</v>
      </c>
      <c r="Q43" s="15" t="s">
        <v>144</v>
      </c>
      <c r="R43" s="37">
        <v>46127</v>
      </c>
      <c r="S43" s="37">
        <v>46123</v>
      </c>
      <c r="T43" s="1">
        <f t="shared" si="0"/>
        <v>3</v>
      </c>
      <c r="U43" s="1">
        <f t="shared" si="6"/>
        <v>4</v>
      </c>
      <c r="V43" s="1">
        <f t="shared" si="4"/>
        <v>7</v>
      </c>
      <c r="W43" s="1">
        <f t="shared" si="5"/>
        <v>0</v>
      </c>
    </row>
    <row r="44" spans="1:23" x14ac:dyDescent="0.25">
      <c r="A44" s="1">
        <v>40</v>
      </c>
      <c r="B44" s="15" t="s">
        <v>120</v>
      </c>
      <c r="C44" s="37">
        <v>46123</v>
      </c>
      <c r="D44" s="15" t="s">
        <v>121</v>
      </c>
      <c r="E44" s="15" t="s">
        <v>122</v>
      </c>
      <c r="F44" s="19" t="s">
        <v>145</v>
      </c>
      <c r="G44" s="15" t="s">
        <v>146</v>
      </c>
      <c r="H44" s="1">
        <v>5</v>
      </c>
      <c r="I44" s="43">
        <v>8480</v>
      </c>
      <c r="J44" s="43">
        <v>42400</v>
      </c>
      <c r="K44" s="10">
        <v>36406</v>
      </c>
      <c r="L44" s="15" t="s">
        <v>5</v>
      </c>
      <c r="M44" s="15" t="s">
        <v>147</v>
      </c>
      <c r="N44" s="15" t="s">
        <v>112</v>
      </c>
      <c r="O44" s="37">
        <v>46126</v>
      </c>
      <c r="P44" s="37">
        <v>46130</v>
      </c>
      <c r="Q44" s="15" t="s">
        <v>148</v>
      </c>
      <c r="R44" s="37">
        <v>46127</v>
      </c>
      <c r="S44" s="37">
        <v>46123</v>
      </c>
      <c r="T44" s="1">
        <f t="shared" si="0"/>
        <v>3</v>
      </c>
      <c r="U44" s="1">
        <f t="shared" si="6"/>
        <v>4</v>
      </c>
      <c r="V44" s="1">
        <f t="shared" si="4"/>
        <v>7</v>
      </c>
      <c r="W44" s="1">
        <f t="shared" si="5"/>
        <v>0</v>
      </c>
    </row>
    <row r="45" spans="1:23" x14ac:dyDescent="0.25">
      <c r="A45" s="1">
        <v>41</v>
      </c>
      <c r="B45" s="15" t="s">
        <v>120</v>
      </c>
      <c r="C45" s="37">
        <v>46123</v>
      </c>
      <c r="D45" s="15" t="s">
        <v>121</v>
      </c>
      <c r="E45" s="15" t="s">
        <v>122</v>
      </c>
      <c r="F45" s="19" t="s">
        <v>134</v>
      </c>
      <c r="G45" s="19" t="s">
        <v>149</v>
      </c>
      <c r="H45" s="1">
        <v>10</v>
      </c>
      <c r="I45" s="43">
        <v>25190</v>
      </c>
      <c r="J45" s="43">
        <v>251900</v>
      </c>
      <c r="K45" s="10">
        <v>220572</v>
      </c>
      <c r="L45" s="15" t="s">
        <v>5</v>
      </c>
      <c r="M45" s="15" t="s">
        <v>150</v>
      </c>
      <c r="N45" s="15" t="s">
        <v>112</v>
      </c>
      <c r="O45" s="37">
        <v>46126</v>
      </c>
      <c r="P45" s="37">
        <v>46132</v>
      </c>
      <c r="Q45" s="15" t="s">
        <v>151</v>
      </c>
      <c r="R45" s="37">
        <v>46126</v>
      </c>
      <c r="S45" s="37">
        <v>46123</v>
      </c>
      <c r="T45" s="1">
        <f t="shared" si="0"/>
        <v>3</v>
      </c>
      <c r="U45" s="1">
        <f t="shared" si="6"/>
        <v>3</v>
      </c>
      <c r="V45" s="1">
        <f t="shared" si="4"/>
        <v>9</v>
      </c>
      <c r="W45" s="1">
        <f t="shared" si="5"/>
        <v>0</v>
      </c>
    </row>
    <row r="46" spans="1:23" x14ac:dyDescent="0.25">
      <c r="A46" s="1">
        <v>42</v>
      </c>
      <c r="B46" s="15" t="s">
        <v>152</v>
      </c>
      <c r="C46" s="37">
        <v>46125</v>
      </c>
      <c r="D46" s="15" t="s">
        <v>17</v>
      </c>
      <c r="E46" s="15" t="s">
        <v>18</v>
      </c>
      <c r="F46" s="15" t="s">
        <v>153</v>
      </c>
      <c r="G46" s="38" t="s">
        <v>154</v>
      </c>
      <c r="H46" s="1">
        <v>1</v>
      </c>
      <c r="I46" s="10">
        <v>220000</v>
      </c>
      <c r="J46" s="10">
        <v>220000</v>
      </c>
      <c r="K46" s="10">
        <v>220000</v>
      </c>
      <c r="L46" s="15" t="s">
        <v>59</v>
      </c>
      <c r="M46" s="15" t="s">
        <v>84</v>
      </c>
      <c r="N46" s="15" t="s">
        <v>85</v>
      </c>
      <c r="O46" s="37">
        <v>46125</v>
      </c>
      <c r="P46" s="37">
        <v>46126</v>
      </c>
      <c r="Q46" s="15" t="s">
        <v>86</v>
      </c>
      <c r="R46" s="37">
        <v>46125</v>
      </c>
      <c r="S46" s="37">
        <v>46125</v>
      </c>
      <c r="T46" s="13">
        <f t="shared" si="0"/>
        <v>0</v>
      </c>
      <c r="U46" s="13">
        <f t="shared" si="6"/>
        <v>0</v>
      </c>
      <c r="V46" s="13">
        <f t="shared" si="4"/>
        <v>1</v>
      </c>
      <c r="W46" s="13">
        <f t="shared" si="5"/>
        <v>0</v>
      </c>
    </row>
    <row r="47" spans="1:23" x14ac:dyDescent="0.25">
      <c r="A47" s="1">
        <v>43</v>
      </c>
      <c r="B47" s="15" t="s">
        <v>155</v>
      </c>
      <c r="C47" s="37">
        <v>46127</v>
      </c>
      <c r="D47" s="15" t="s">
        <v>17</v>
      </c>
      <c r="E47" s="15" t="s">
        <v>18</v>
      </c>
      <c r="F47" s="15" t="s">
        <v>156</v>
      </c>
      <c r="G47" s="15" t="s">
        <v>157</v>
      </c>
      <c r="H47" s="1">
        <v>1</v>
      </c>
      <c r="I47" s="10">
        <v>57900</v>
      </c>
      <c r="J47" s="10">
        <v>57900</v>
      </c>
      <c r="K47" s="10">
        <v>57900</v>
      </c>
      <c r="L47" s="15" t="s">
        <v>5</v>
      </c>
      <c r="M47" s="38" t="s">
        <v>158</v>
      </c>
      <c r="N47" s="15" t="s">
        <v>2</v>
      </c>
      <c r="O47" s="37">
        <v>46127</v>
      </c>
      <c r="P47" s="37">
        <v>46130</v>
      </c>
      <c r="Q47" s="15" t="s">
        <v>159</v>
      </c>
      <c r="R47" s="37">
        <v>46127</v>
      </c>
      <c r="S47" s="37">
        <v>46127</v>
      </c>
      <c r="T47" s="13">
        <f t="shared" si="0"/>
        <v>0</v>
      </c>
      <c r="U47" s="13">
        <f t="shared" si="6"/>
        <v>0</v>
      </c>
      <c r="V47" s="13">
        <f t="shared" si="4"/>
        <v>3</v>
      </c>
      <c r="W47" s="13">
        <f t="shared" si="5"/>
        <v>0</v>
      </c>
    </row>
    <row r="48" spans="1:23" x14ac:dyDescent="0.25">
      <c r="A48" s="1">
        <v>44</v>
      </c>
      <c r="B48" s="15" t="s">
        <v>160</v>
      </c>
      <c r="C48" s="37">
        <v>46127</v>
      </c>
      <c r="D48" s="15" t="s">
        <v>17</v>
      </c>
      <c r="E48" s="15" t="s">
        <v>18</v>
      </c>
      <c r="F48" s="20" t="s">
        <v>161</v>
      </c>
      <c r="G48" s="38" t="s">
        <v>162</v>
      </c>
      <c r="H48" s="1">
        <v>1</v>
      </c>
      <c r="I48" s="45">
        <v>17398</v>
      </c>
      <c r="J48" s="45">
        <v>17398</v>
      </c>
      <c r="K48" s="10">
        <v>7082</v>
      </c>
      <c r="L48" s="15" t="s">
        <v>5</v>
      </c>
      <c r="M48" s="15" t="s">
        <v>163</v>
      </c>
      <c r="N48" s="15" t="s">
        <v>18</v>
      </c>
      <c r="O48" s="37">
        <v>46127</v>
      </c>
      <c r="P48" s="37">
        <v>46130</v>
      </c>
      <c r="Q48" s="15" t="s">
        <v>7</v>
      </c>
      <c r="R48" s="37">
        <v>46127</v>
      </c>
      <c r="S48" s="37">
        <v>46127</v>
      </c>
      <c r="T48" s="13">
        <f t="shared" si="0"/>
        <v>0</v>
      </c>
      <c r="U48" s="13">
        <f t="shared" si="6"/>
        <v>0</v>
      </c>
      <c r="V48" s="13">
        <f t="shared" si="4"/>
        <v>3</v>
      </c>
      <c r="W48" s="13">
        <f t="shared" si="5"/>
        <v>0</v>
      </c>
    </row>
    <row r="49" spans="1:23" x14ac:dyDescent="0.25">
      <c r="A49" s="1">
        <v>45</v>
      </c>
      <c r="B49" s="38" t="s">
        <v>164</v>
      </c>
      <c r="C49" s="37">
        <v>46132</v>
      </c>
      <c r="D49" s="15" t="s">
        <v>17</v>
      </c>
      <c r="E49" s="15" t="s">
        <v>18</v>
      </c>
      <c r="F49" s="15" t="s">
        <v>165</v>
      </c>
      <c r="G49" s="15" t="s">
        <v>166</v>
      </c>
      <c r="H49" s="1">
        <v>1</v>
      </c>
      <c r="I49" s="10">
        <v>10000</v>
      </c>
      <c r="J49" s="10">
        <v>10000</v>
      </c>
      <c r="K49" s="10">
        <v>10000</v>
      </c>
      <c r="L49" s="15" t="s">
        <v>59</v>
      </c>
      <c r="M49" s="15" t="s">
        <v>167</v>
      </c>
      <c r="N49" s="15" t="s">
        <v>18</v>
      </c>
      <c r="O49" s="37">
        <v>46132</v>
      </c>
      <c r="P49" s="37">
        <v>46132</v>
      </c>
      <c r="Q49" s="15" t="s">
        <v>168</v>
      </c>
      <c r="R49" s="37">
        <v>46132</v>
      </c>
      <c r="S49" s="37">
        <v>46132</v>
      </c>
      <c r="T49" s="13">
        <f t="shared" si="0"/>
        <v>0</v>
      </c>
      <c r="U49" s="13">
        <f t="shared" si="6"/>
        <v>0</v>
      </c>
      <c r="V49" s="13">
        <f t="shared" si="4"/>
        <v>0</v>
      </c>
      <c r="W49" s="13">
        <f t="shared" si="5"/>
        <v>0</v>
      </c>
    </row>
    <row r="50" spans="1:23" x14ac:dyDescent="0.25">
      <c r="A50" s="1">
        <v>46</v>
      </c>
      <c r="B50" s="15" t="s">
        <v>169</v>
      </c>
      <c r="C50" s="37">
        <v>46126</v>
      </c>
      <c r="D50" s="15" t="s">
        <v>17</v>
      </c>
      <c r="E50" s="15" t="s">
        <v>18</v>
      </c>
      <c r="F50" s="46" t="s">
        <v>170</v>
      </c>
      <c r="G50" s="38" t="s">
        <v>171</v>
      </c>
      <c r="H50" s="17">
        <v>100</v>
      </c>
      <c r="I50" s="18">
        <v>979</v>
      </c>
      <c r="J50" s="18">
        <v>97900</v>
      </c>
      <c r="K50" s="18">
        <v>97900</v>
      </c>
      <c r="L50" s="15" t="s">
        <v>5</v>
      </c>
      <c r="M50" s="15" t="s">
        <v>172</v>
      </c>
      <c r="N50" s="15" t="s">
        <v>18</v>
      </c>
      <c r="O50" s="37">
        <v>46126</v>
      </c>
      <c r="P50" s="37">
        <v>46132</v>
      </c>
      <c r="Q50" s="15" t="s">
        <v>173</v>
      </c>
      <c r="R50" s="37">
        <v>46126</v>
      </c>
      <c r="S50" s="37">
        <v>46126</v>
      </c>
      <c r="T50" s="13">
        <f t="shared" si="0"/>
        <v>0</v>
      </c>
      <c r="U50" s="13">
        <f t="shared" si="6"/>
        <v>0</v>
      </c>
      <c r="V50" s="13">
        <f t="shared" si="4"/>
        <v>6</v>
      </c>
      <c r="W50" s="13">
        <f t="shared" si="5"/>
        <v>0</v>
      </c>
    </row>
    <row r="51" spans="1:23" x14ac:dyDescent="0.25">
      <c r="A51" s="1">
        <v>47</v>
      </c>
      <c r="B51" s="15" t="s">
        <v>174</v>
      </c>
      <c r="C51" s="37">
        <v>46127</v>
      </c>
      <c r="D51" s="15" t="s">
        <v>17</v>
      </c>
      <c r="E51" s="15" t="s">
        <v>18</v>
      </c>
      <c r="F51" s="15" t="s">
        <v>175</v>
      </c>
      <c r="G51" s="15" t="s">
        <v>176</v>
      </c>
      <c r="H51" s="1">
        <v>4</v>
      </c>
      <c r="I51" s="10">
        <v>2300000</v>
      </c>
      <c r="J51" s="10">
        <v>9200000</v>
      </c>
      <c r="K51" s="10">
        <v>9200000</v>
      </c>
      <c r="L51" s="15" t="s">
        <v>59</v>
      </c>
      <c r="M51" s="15" t="s">
        <v>177</v>
      </c>
      <c r="N51" s="15" t="s">
        <v>85</v>
      </c>
      <c r="O51" s="37">
        <v>46127</v>
      </c>
      <c r="P51" s="37">
        <v>46128</v>
      </c>
      <c r="Q51" s="15" t="s">
        <v>86</v>
      </c>
      <c r="R51" s="37">
        <v>46127</v>
      </c>
      <c r="S51" s="37">
        <v>46127</v>
      </c>
      <c r="T51" s="1">
        <f t="shared" si="0"/>
        <v>0</v>
      </c>
      <c r="U51" s="1">
        <f t="shared" si="6"/>
        <v>0</v>
      </c>
      <c r="V51" s="1">
        <f t="shared" si="4"/>
        <v>1</v>
      </c>
      <c r="W51" s="1">
        <f t="shared" si="5"/>
        <v>0</v>
      </c>
    </row>
    <row r="52" spans="1:23" x14ac:dyDescent="0.25">
      <c r="A52" s="1">
        <v>48</v>
      </c>
      <c r="B52" s="15" t="s">
        <v>178</v>
      </c>
      <c r="C52" s="37">
        <v>46128</v>
      </c>
      <c r="D52" s="15" t="s">
        <v>17</v>
      </c>
      <c r="E52" s="15" t="s">
        <v>18</v>
      </c>
      <c r="F52" s="15" t="s">
        <v>179</v>
      </c>
      <c r="G52" s="15" t="s">
        <v>180</v>
      </c>
      <c r="H52" s="1">
        <v>6</v>
      </c>
      <c r="I52" s="43">
        <v>205000</v>
      </c>
      <c r="J52" s="43">
        <v>1230000</v>
      </c>
      <c r="K52" s="43">
        <v>1230000</v>
      </c>
      <c r="L52" s="15" t="s">
        <v>59</v>
      </c>
      <c r="M52" s="15" t="s">
        <v>181</v>
      </c>
      <c r="N52" s="15" t="s">
        <v>85</v>
      </c>
      <c r="O52" s="37">
        <v>46129</v>
      </c>
      <c r="P52" s="37">
        <v>46130</v>
      </c>
      <c r="Q52" s="15" t="s">
        <v>86</v>
      </c>
      <c r="R52" s="37">
        <v>46129</v>
      </c>
      <c r="S52" s="37">
        <v>46129</v>
      </c>
      <c r="T52" s="1">
        <f t="shared" si="0"/>
        <v>1</v>
      </c>
      <c r="U52" s="1">
        <f t="shared" si="6"/>
        <v>1</v>
      </c>
      <c r="V52" s="1">
        <f t="shared" si="4"/>
        <v>2</v>
      </c>
      <c r="W52" s="1">
        <f t="shared" si="5"/>
        <v>1</v>
      </c>
    </row>
    <row r="53" spans="1:23" x14ac:dyDescent="0.25">
      <c r="A53" s="1">
        <v>49</v>
      </c>
      <c r="B53" s="15" t="s">
        <v>178</v>
      </c>
      <c r="C53" s="37">
        <v>46128</v>
      </c>
      <c r="D53" s="15" t="s">
        <v>17</v>
      </c>
      <c r="E53" s="15" t="s">
        <v>18</v>
      </c>
      <c r="F53" s="15" t="s">
        <v>182</v>
      </c>
      <c r="G53" s="15" t="s">
        <v>183</v>
      </c>
      <c r="H53" s="1">
        <v>6</v>
      </c>
      <c r="I53" s="43">
        <v>215833</v>
      </c>
      <c r="J53" s="43">
        <v>1294998</v>
      </c>
      <c r="K53" s="43">
        <v>1294998</v>
      </c>
      <c r="L53" s="15" t="s">
        <v>59</v>
      </c>
      <c r="M53" s="15" t="s">
        <v>181</v>
      </c>
      <c r="N53" s="15" t="s">
        <v>85</v>
      </c>
      <c r="O53" s="37">
        <v>46129</v>
      </c>
      <c r="P53" s="37">
        <v>46130</v>
      </c>
      <c r="Q53" s="15" t="s">
        <v>86</v>
      </c>
      <c r="R53" s="37">
        <v>46129</v>
      </c>
      <c r="S53" s="37">
        <v>46129</v>
      </c>
      <c r="T53" s="1">
        <f t="shared" si="0"/>
        <v>1</v>
      </c>
      <c r="U53" s="1">
        <f t="shared" si="6"/>
        <v>1</v>
      </c>
      <c r="V53" s="1">
        <f t="shared" si="4"/>
        <v>2</v>
      </c>
      <c r="W53" s="1">
        <f t="shared" si="5"/>
        <v>1</v>
      </c>
    </row>
    <row r="54" spans="1:23" x14ac:dyDescent="0.25">
      <c r="A54" s="1">
        <v>50</v>
      </c>
      <c r="B54" s="15" t="s">
        <v>178</v>
      </c>
      <c r="C54" s="37">
        <v>46128</v>
      </c>
      <c r="D54" s="15" t="s">
        <v>17</v>
      </c>
      <c r="E54" s="15" t="s">
        <v>18</v>
      </c>
      <c r="F54" s="15" t="s">
        <v>184</v>
      </c>
      <c r="G54" s="15" t="s">
        <v>185</v>
      </c>
      <c r="H54" s="1">
        <v>5</v>
      </c>
      <c r="I54" s="43">
        <v>115000</v>
      </c>
      <c r="J54" s="43">
        <v>575000</v>
      </c>
      <c r="K54" s="43">
        <v>575000</v>
      </c>
      <c r="L54" s="15" t="s">
        <v>59</v>
      </c>
      <c r="M54" s="15" t="s">
        <v>84</v>
      </c>
      <c r="N54" s="15" t="s">
        <v>85</v>
      </c>
      <c r="O54" s="37">
        <v>46129</v>
      </c>
      <c r="P54" s="37">
        <v>46130</v>
      </c>
      <c r="Q54" s="15" t="s">
        <v>86</v>
      </c>
      <c r="R54" s="37">
        <v>46129</v>
      </c>
      <c r="S54" s="37">
        <v>46129</v>
      </c>
      <c r="T54" s="1">
        <f t="shared" si="0"/>
        <v>1</v>
      </c>
      <c r="U54" s="1">
        <f t="shared" si="6"/>
        <v>1</v>
      </c>
      <c r="V54" s="1">
        <f t="shared" si="4"/>
        <v>2</v>
      </c>
      <c r="W54" s="1">
        <f t="shared" si="5"/>
        <v>1</v>
      </c>
    </row>
    <row r="55" spans="1:23" x14ac:dyDescent="0.25">
      <c r="A55" s="1">
        <v>51</v>
      </c>
      <c r="B55" s="15" t="s">
        <v>178</v>
      </c>
      <c r="C55" s="37">
        <v>46128</v>
      </c>
      <c r="D55" s="15" t="s">
        <v>17</v>
      </c>
      <c r="E55" s="15" t="s">
        <v>18</v>
      </c>
      <c r="F55" s="47" t="s">
        <v>186</v>
      </c>
      <c r="G55" s="15" t="s">
        <v>187</v>
      </c>
      <c r="H55" s="1">
        <v>5</v>
      </c>
      <c r="I55" s="43">
        <v>117500</v>
      </c>
      <c r="J55" s="43">
        <v>587500</v>
      </c>
      <c r="K55" s="43">
        <v>587500</v>
      </c>
      <c r="L55" s="15" t="s">
        <v>59</v>
      </c>
      <c r="M55" s="15" t="s">
        <v>84</v>
      </c>
      <c r="N55" s="15" t="s">
        <v>85</v>
      </c>
      <c r="O55" s="37">
        <v>46129</v>
      </c>
      <c r="P55" s="37">
        <v>46130</v>
      </c>
      <c r="Q55" s="15" t="s">
        <v>86</v>
      </c>
      <c r="R55" s="37">
        <v>46129</v>
      </c>
      <c r="S55" s="37">
        <v>46129</v>
      </c>
      <c r="T55" s="1">
        <f t="shared" si="0"/>
        <v>1</v>
      </c>
      <c r="U55" s="1">
        <f t="shared" si="6"/>
        <v>1</v>
      </c>
      <c r="V55" s="1">
        <f t="shared" si="4"/>
        <v>2</v>
      </c>
      <c r="W55" s="1">
        <f t="shared" si="5"/>
        <v>1</v>
      </c>
    </row>
    <row r="56" spans="1:23" x14ac:dyDescent="0.25">
      <c r="A56" s="1">
        <v>52</v>
      </c>
      <c r="B56" s="15" t="s">
        <v>178</v>
      </c>
      <c r="C56" s="37">
        <v>46128</v>
      </c>
      <c r="D56" s="15" t="s">
        <v>17</v>
      </c>
      <c r="E56" s="15" t="s">
        <v>18</v>
      </c>
      <c r="F56" s="47" t="s">
        <v>188</v>
      </c>
      <c r="G56" s="15" t="s">
        <v>189</v>
      </c>
      <c r="H56" s="1">
        <v>5</v>
      </c>
      <c r="I56" s="43">
        <v>105000</v>
      </c>
      <c r="J56" s="43">
        <v>525000</v>
      </c>
      <c r="K56" s="43">
        <v>525000</v>
      </c>
      <c r="L56" s="15" t="s">
        <v>59</v>
      </c>
      <c r="M56" s="15" t="s">
        <v>84</v>
      </c>
      <c r="N56" s="15" t="s">
        <v>85</v>
      </c>
      <c r="O56" s="37">
        <v>46129</v>
      </c>
      <c r="P56" s="37">
        <v>46130</v>
      </c>
      <c r="Q56" s="15" t="s">
        <v>86</v>
      </c>
      <c r="R56" s="37">
        <v>46129</v>
      </c>
      <c r="S56" s="37">
        <v>46129</v>
      </c>
      <c r="T56" s="1">
        <f t="shared" si="0"/>
        <v>1</v>
      </c>
      <c r="U56" s="1">
        <f t="shared" si="6"/>
        <v>1</v>
      </c>
      <c r="V56" s="1">
        <f t="shared" si="4"/>
        <v>2</v>
      </c>
      <c r="W56" s="1">
        <f t="shared" si="5"/>
        <v>1</v>
      </c>
    </row>
    <row r="57" spans="1:23" x14ac:dyDescent="0.25">
      <c r="A57" s="1">
        <v>53</v>
      </c>
      <c r="B57" s="15" t="s">
        <v>190</v>
      </c>
      <c r="C57" s="37">
        <v>46128</v>
      </c>
      <c r="D57" s="15" t="s">
        <v>17</v>
      </c>
      <c r="E57" s="15" t="s">
        <v>18</v>
      </c>
      <c r="F57" s="47" t="s">
        <v>191</v>
      </c>
      <c r="G57" s="15" t="s">
        <v>192</v>
      </c>
      <c r="H57" s="1">
        <v>2</v>
      </c>
      <c r="I57" s="12">
        <v>110000</v>
      </c>
      <c r="J57" s="10">
        <v>220000</v>
      </c>
      <c r="K57" s="10">
        <v>220000</v>
      </c>
      <c r="L57" s="15" t="s">
        <v>59</v>
      </c>
      <c r="M57" s="15" t="s">
        <v>84</v>
      </c>
      <c r="N57" s="15" t="s">
        <v>85</v>
      </c>
      <c r="O57" s="37">
        <v>46128</v>
      </c>
      <c r="P57" s="37">
        <v>46129</v>
      </c>
      <c r="Q57" s="15" t="s">
        <v>86</v>
      </c>
      <c r="R57" s="37">
        <v>46128</v>
      </c>
      <c r="S57" s="37">
        <v>46128</v>
      </c>
      <c r="T57" s="13">
        <f t="shared" si="0"/>
        <v>0</v>
      </c>
      <c r="U57" s="13">
        <f t="shared" si="6"/>
        <v>0</v>
      </c>
      <c r="V57" s="13">
        <f t="shared" si="4"/>
        <v>1</v>
      </c>
      <c r="W57" s="13">
        <f t="shared" si="5"/>
        <v>0</v>
      </c>
    </row>
    <row r="58" spans="1:23" x14ac:dyDescent="0.25">
      <c r="A58" s="1">
        <v>54</v>
      </c>
      <c r="B58" s="15" t="s">
        <v>193</v>
      </c>
      <c r="C58" s="37">
        <v>46129</v>
      </c>
      <c r="D58" s="15" t="s">
        <v>17</v>
      </c>
      <c r="E58" s="15" t="s">
        <v>18</v>
      </c>
      <c r="F58" s="47" t="s">
        <v>194</v>
      </c>
      <c r="G58" s="19" t="s">
        <v>119</v>
      </c>
      <c r="H58" s="1">
        <v>2</v>
      </c>
      <c r="I58" s="45">
        <v>1575000</v>
      </c>
      <c r="J58" s="45">
        <v>3150000</v>
      </c>
      <c r="K58" s="45">
        <v>3150000</v>
      </c>
      <c r="L58" s="15" t="s">
        <v>59</v>
      </c>
      <c r="M58" s="15" t="s">
        <v>177</v>
      </c>
      <c r="N58" s="15" t="s">
        <v>195</v>
      </c>
      <c r="O58" s="37">
        <v>46130</v>
      </c>
      <c r="P58" s="37">
        <v>46132</v>
      </c>
      <c r="Q58" s="15" t="s">
        <v>86</v>
      </c>
      <c r="R58" s="37">
        <v>46130</v>
      </c>
      <c r="S58" s="37">
        <v>46130</v>
      </c>
      <c r="T58" s="13">
        <f t="shared" si="0"/>
        <v>1</v>
      </c>
      <c r="U58" s="13">
        <f t="shared" si="6"/>
        <v>1</v>
      </c>
      <c r="V58" s="13">
        <f t="shared" si="4"/>
        <v>3</v>
      </c>
      <c r="W58" s="13">
        <f t="shared" si="5"/>
        <v>1</v>
      </c>
    </row>
    <row r="59" spans="1:23" x14ac:dyDescent="0.25">
      <c r="A59" s="1">
        <v>55</v>
      </c>
      <c r="B59" s="15" t="s">
        <v>196</v>
      </c>
      <c r="C59" s="37">
        <v>46129</v>
      </c>
      <c r="D59" s="15" t="s">
        <v>17</v>
      </c>
      <c r="E59" s="15" t="s">
        <v>18</v>
      </c>
      <c r="F59" s="38" t="s">
        <v>197</v>
      </c>
      <c r="G59" s="15" t="s">
        <v>198</v>
      </c>
      <c r="H59" s="1">
        <v>4</v>
      </c>
      <c r="I59" s="10">
        <v>55000</v>
      </c>
      <c r="J59" s="10">
        <v>220000</v>
      </c>
      <c r="K59" s="10">
        <v>220000</v>
      </c>
      <c r="L59" s="15" t="s">
        <v>59</v>
      </c>
      <c r="M59" s="15" t="s">
        <v>199</v>
      </c>
      <c r="N59" s="15" t="s">
        <v>18</v>
      </c>
      <c r="O59" s="37">
        <v>46129</v>
      </c>
      <c r="P59" s="37">
        <v>46130</v>
      </c>
      <c r="Q59" s="15" t="s">
        <v>200</v>
      </c>
      <c r="R59" s="37">
        <v>46129</v>
      </c>
      <c r="S59" s="37">
        <v>46129</v>
      </c>
      <c r="T59" s="13">
        <f t="shared" si="0"/>
        <v>0</v>
      </c>
      <c r="U59" s="13">
        <f t="shared" si="6"/>
        <v>0</v>
      </c>
      <c r="V59" s="13">
        <f t="shared" si="4"/>
        <v>1</v>
      </c>
      <c r="W59" s="13">
        <f t="shared" si="5"/>
        <v>0</v>
      </c>
    </row>
    <row r="60" spans="1:23" x14ac:dyDescent="0.25">
      <c r="A60" s="1">
        <v>56</v>
      </c>
      <c r="B60" s="15" t="s">
        <v>201</v>
      </c>
      <c r="C60" s="37">
        <v>46129</v>
      </c>
      <c r="D60" s="15" t="s">
        <v>17</v>
      </c>
      <c r="E60" s="15" t="s">
        <v>18</v>
      </c>
      <c r="F60" s="47" t="s">
        <v>175</v>
      </c>
      <c r="G60" s="15" t="s">
        <v>202</v>
      </c>
      <c r="H60" s="1">
        <v>4</v>
      </c>
      <c r="I60" s="43">
        <v>2300000</v>
      </c>
      <c r="J60" s="10">
        <v>9200000</v>
      </c>
      <c r="K60" s="10">
        <v>9200000</v>
      </c>
      <c r="L60" s="15" t="s">
        <v>59</v>
      </c>
      <c r="M60" s="15" t="s">
        <v>177</v>
      </c>
      <c r="N60" s="15" t="s">
        <v>195</v>
      </c>
      <c r="O60" s="37">
        <v>46129</v>
      </c>
      <c r="P60" s="37">
        <v>46130</v>
      </c>
      <c r="Q60" s="15" t="s">
        <v>86</v>
      </c>
      <c r="R60" s="37">
        <v>46129</v>
      </c>
      <c r="S60" s="37">
        <v>46129</v>
      </c>
      <c r="T60" s="13">
        <f t="shared" si="0"/>
        <v>0</v>
      </c>
      <c r="U60" s="13">
        <f t="shared" si="6"/>
        <v>0</v>
      </c>
      <c r="V60" s="13">
        <f t="shared" si="4"/>
        <v>1</v>
      </c>
      <c r="W60" s="13">
        <f t="shared" si="5"/>
        <v>0</v>
      </c>
    </row>
    <row r="61" spans="1:23" x14ac:dyDescent="0.25">
      <c r="A61" s="1">
        <v>57</v>
      </c>
      <c r="B61" s="15" t="s">
        <v>203</v>
      </c>
      <c r="C61" s="37">
        <v>46129</v>
      </c>
      <c r="D61" s="15" t="s">
        <v>17</v>
      </c>
      <c r="E61" s="15" t="s">
        <v>18</v>
      </c>
      <c r="F61" s="15" t="s">
        <v>18</v>
      </c>
      <c r="G61" s="15" t="s">
        <v>204</v>
      </c>
      <c r="H61" s="1">
        <v>2</v>
      </c>
      <c r="I61" s="10">
        <v>30000</v>
      </c>
      <c r="J61" s="10">
        <v>60000</v>
      </c>
      <c r="K61" s="10">
        <v>60000</v>
      </c>
      <c r="L61" s="15" t="s">
        <v>59</v>
      </c>
      <c r="M61" s="15" t="s">
        <v>96</v>
      </c>
      <c r="N61" s="15" t="s">
        <v>85</v>
      </c>
      <c r="O61" s="37">
        <v>46129</v>
      </c>
      <c r="P61" s="37">
        <v>46132</v>
      </c>
      <c r="Q61" s="15" t="s">
        <v>86</v>
      </c>
      <c r="R61" s="37">
        <v>46129</v>
      </c>
      <c r="S61" s="37">
        <v>46129</v>
      </c>
      <c r="T61" s="13">
        <f t="shared" si="0"/>
        <v>0</v>
      </c>
      <c r="U61" s="13">
        <f t="shared" si="6"/>
        <v>0</v>
      </c>
      <c r="V61" s="13">
        <f t="shared" si="4"/>
        <v>3</v>
      </c>
      <c r="W61" s="13">
        <f t="shared" si="5"/>
        <v>0</v>
      </c>
    </row>
    <row r="62" spans="1:23" x14ac:dyDescent="0.25">
      <c r="A62" s="1">
        <v>58</v>
      </c>
      <c r="B62" s="15" t="s">
        <v>205</v>
      </c>
      <c r="C62" s="37">
        <v>46129</v>
      </c>
      <c r="D62" s="15" t="s">
        <v>17</v>
      </c>
      <c r="E62" s="15" t="s">
        <v>18</v>
      </c>
      <c r="F62" s="20" t="s">
        <v>194</v>
      </c>
      <c r="G62" s="15" t="s">
        <v>206</v>
      </c>
      <c r="H62" s="1">
        <v>2</v>
      </c>
      <c r="I62" s="43">
        <v>1575000</v>
      </c>
      <c r="J62" s="43">
        <v>3150000</v>
      </c>
      <c r="K62" s="43">
        <v>3150000</v>
      </c>
      <c r="L62" s="15" t="s">
        <v>59</v>
      </c>
      <c r="M62" s="15" t="s">
        <v>177</v>
      </c>
      <c r="N62" s="15" t="s">
        <v>85</v>
      </c>
      <c r="O62" s="37">
        <v>46129</v>
      </c>
      <c r="P62" s="37">
        <v>46130</v>
      </c>
      <c r="Q62" s="15" t="s">
        <v>86</v>
      </c>
      <c r="R62" s="37">
        <v>46129</v>
      </c>
      <c r="S62" s="37">
        <v>46129</v>
      </c>
      <c r="T62" s="13">
        <f t="shared" si="0"/>
        <v>0</v>
      </c>
      <c r="U62" s="13">
        <f t="shared" si="6"/>
        <v>0</v>
      </c>
      <c r="V62" s="13">
        <f t="shared" si="4"/>
        <v>1</v>
      </c>
      <c r="W62" s="13">
        <f t="shared" si="5"/>
        <v>0</v>
      </c>
    </row>
    <row r="63" spans="1:23" x14ac:dyDescent="0.25">
      <c r="A63" s="1">
        <v>59</v>
      </c>
      <c r="B63" s="15" t="s">
        <v>207</v>
      </c>
      <c r="C63" s="37">
        <v>46130</v>
      </c>
      <c r="D63" s="15" t="s">
        <v>208</v>
      </c>
      <c r="E63" s="15" t="s">
        <v>209</v>
      </c>
      <c r="F63" s="47" t="s">
        <v>210</v>
      </c>
      <c r="G63" s="15" t="s">
        <v>211</v>
      </c>
      <c r="H63" s="1">
        <v>1</v>
      </c>
      <c r="I63" s="43">
        <v>24500</v>
      </c>
      <c r="J63" s="43">
        <v>24500</v>
      </c>
      <c r="K63" s="10">
        <v>22338</v>
      </c>
      <c r="L63" s="15" t="s">
        <v>5</v>
      </c>
      <c r="M63" s="15" t="s">
        <v>212</v>
      </c>
      <c r="N63" s="15" t="s">
        <v>209</v>
      </c>
      <c r="O63" s="37">
        <v>46130</v>
      </c>
      <c r="P63" s="37">
        <v>46135</v>
      </c>
      <c r="Q63" s="15" t="s">
        <v>213</v>
      </c>
      <c r="R63" s="37">
        <v>46130</v>
      </c>
      <c r="S63" s="37">
        <v>46130</v>
      </c>
      <c r="T63" s="13">
        <f t="shared" si="0"/>
        <v>0</v>
      </c>
      <c r="U63" s="13">
        <f t="shared" si="6"/>
        <v>0</v>
      </c>
      <c r="V63" s="13">
        <f t="shared" si="4"/>
        <v>5</v>
      </c>
      <c r="W63" s="13">
        <f t="shared" si="5"/>
        <v>0</v>
      </c>
    </row>
    <row r="64" spans="1:23" x14ac:dyDescent="0.25">
      <c r="A64" s="1">
        <v>60</v>
      </c>
      <c r="B64" s="15" t="s">
        <v>214</v>
      </c>
      <c r="C64" s="48">
        <v>46130</v>
      </c>
      <c r="D64" s="46" t="s">
        <v>17</v>
      </c>
      <c r="E64" s="46" t="s">
        <v>18</v>
      </c>
      <c r="F64" s="46" t="s">
        <v>215</v>
      </c>
      <c r="G64" s="38" t="s">
        <v>216</v>
      </c>
      <c r="H64" s="17">
        <v>6</v>
      </c>
      <c r="I64" s="43">
        <v>28217</v>
      </c>
      <c r="J64" s="43">
        <v>169302</v>
      </c>
      <c r="K64" s="10">
        <v>165766</v>
      </c>
      <c r="L64" s="15" t="s">
        <v>5</v>
      </c>
      <c r="M64" s="15" t="s">
        <v>217</v>
      </c>
      <c r="N64" s="15" t="s">
        <v>18</v>
      </c>
      <c r="O64" s="37">
        <v>46130</v>
      </c>
      <c r="P64" s="37">
        <v>46135</v>
      </c>
      <c r="Q64" s="15" t="s">
        <v>218</v>
      </c>
      <c r="R64" s="37">
        <v>46132</v>
      </c>
      <c r="S64" s="37">
        <v>46132</v>
      </c>
      <c r="T64" s="13">
        <f t="shared" si="0"/>
        <v>0</v>
      </c>
      <c r="U64" s="13">
        <f t="shared" si="6"/>
        <v>2</v>
      </c>
      <c r="V64" s="13">
        <f t="shared" si="4"/>
        <v>5</v>
      </c>
      <c r="W64" s="13">
        <f t="shared" si="5"/>
        <v>2</v>
      </c>
    </row>
    <row r="65" spans="1:23" x14ac:dyDescent="0.25">
      <c r="A65" s="1">
        <v>61</v>
      </c>
      <c r="B65" s="15" t="s">
        <v>219</v>
      </c>
      <c r="C65" s="37">
        <v>46130</v>
      </c>
      <c r="D65" s="15" t="s">
        <v>208</v>
      </c>
      <c r="E65" s="15" t="s">
        <v>209</v>
      </c>
      <c r="F65" s="15" t="s">
        <v>220</v>
      </c>
      <c r="G65" s="15" t="s">
        <v>221</v>
      </c>
      <c r="H65" s="1">
        <v>12</v>
      </c>
      <c r="I65" s="43">
        <v>17059</v>
      </c>
      <c r="J65" s="43">
        <v>204708</v>
      </c>
      <c r="K65" s="10">
        <v>200454</v>
      </c>
      <c r="L65" s="15" t="s">
        <v>5</v>
      </c>
      <c r="M65" s="15" t="s">
        <v>222</v>
      </c>
      <c r="N65" s="15" t="s">
        <v>209</v>
      </c>
      <c r="O65" s="37">
        <v>46130</v>
      </c>
      <c r="P65" s="37">
        <v>46134</v>
      </c>
      <c r="Q65" s="15" t="s">
        <v>126</v>
      </c>
      <c r="R65" s="37">
        <v>46130</v>
      </c>
      <c r="S65" s="37">
        <v>46130</v>
      </c>
      <c r="T65" s="13">
        <f t="shared" si="0"/>
        <v>0</v>
      </c>
      <c r="U65" s="13">
        <f t="shared" si="6"/>
        <v>0</v>
      </c>
      <c r="V65" s="13">
        <f t="shared" si="4"/>
        <v>4</v>
      </c>
      <c r="W65" s="13">
        <f t="shared" si="5"/>
        <v>0</v>
      </c>
    </row>
    <row r="66" spans="1:23" x14ac:dyDescent="0.25">
      <c r="A66" s="1">
        <v>62</v>
      </c>
      <c r="B66" s="15" t="s">
        <v>223</v>
      </c>
      <c r="C66" s="37">
        <v>46130</v>
      </c>
      <c r="D66" s="15" t="s">
        <v>17</v>
      </c>
      <c r="E66" s="15" t="s">
        <v>18</v>
      </c>
      <c r="F66" s="19" t="s">
        <v>224</v>
      </c>
      <c r="G66" s="19" t="s">
        <v>119</v>
      </c>
      <c r="H66" s="1">
        <v>2</v>
      </c>
      <c r="I66" s="43">
        <v>35000</v>
      </c>
      <c r="J66" s="10">
        <v>70000</v>
      </c>
      <c r="K66" s="10">
        <v>70000</v>
      </c>
      <c r="L66" s="15" t="s">
        <v>59</v>
      </c>
      <c r="M66" s="15" t="s">
        <v>96</v>
      </c>
      <c r="N66" s="15" t="s">
        <v>85</v>
      </c>
      <c r="O66" s="37">
        <v>46130</v>
      </c>
      <c r="P66" s="37">
        <v>46132</v>
      </c>
      <c r="Q66" s="15" t="s">
        <v>86</v>
      </c>
      <c r="R66" s="37">
        <v>46130</v>
      </c>
      <c r="S66" s="37">
        <v>46130</v>
      </c>
      <c r="T66" s="13">
        <f t="shared" si="0"/>
        <v>0</v>
      </c>
      <c r="U66" s="13">
        <f t="shared" si="6"/>
        <v>0</v>
      </c>
      <c r="V66" s="13">
        <f t="shared" si="4"/>
        <v>2</v>
      </c>
      <c r="W66" s="13">
        <f t="shared" si="5"/>
        <v>0</v>
      </c>
    </row>
    <row r="67" spans="1:23" x14ac:dyDescent="0.25">
      <c r="A67" s="1">
        <v>63</v>
      </c>
      <c r="B67" s="15" t="s">
        <v>223</v>
      </c>
      <c r="C67" s="37">
        <v>46130</v>
      </c>
      <c r="D67" s="15" t="s">
        <v>17</v>
      </c>
      <c r="E67" s="15" t="s">
        <v>18</v>
      </c>
      <c r="F67" s="15" t="s">
        <v>225</v>
      </c>
      <c r="G67" s="19" t="s">
        <v>119</v>
      </c>
      <c r="H67" s="1">
        <v>1</v>
      </c>
      <c r="I67" s="10">
        <v>2500</v>
      </c>
      <c r="J67" s="10">
        <v>2500</v>
      </c>
      <c r="K67" s="10">
        <v>2500</v>
      </c>
      <c r="L67" s="15" t="s">
        <v>59</v>
      </c>
      <c r="M67" s="15" t="s">
        <v>96</v>
      </c>
      <c r="N67" s="15" t="s">
        <v>85</v>
      </c>
      <c r="O67" s="37">
        <v>46130</v>
      </c>
      <c r="P67" s="37">
        <v>46132</v>
      </c>
      <c r="Q67" s="15" t="s">
        <v>86</v>
      </c>
      <c r="R67" s="37">
        <v>46130</v>
      </c>
      <c r="S67" s="37">
        <v>46130</v>
      </c>
      <c r="T67" s="13">
        <f t="shared" si="0"/>
        <v>0</v>
      </c>
      <c r="U67" s="13">
        <f t="shared" si="6"/>
        <v>0</v>
      </c>
      <c r="V67" s="13">
        <f t="shared" si="4"/>
        <v>2</v>
      </c>
      <c r="W67" s="13">
        <f t="shared" si="5"/>
        <v>0</v>
      </c>
    </row>
    <row r="68" spans="1:23" x14ac:dyDescent="0.25">
      <c r="A68" s="1">
        <v>64</v>
      </c>
      <c r="B68" s="15" t="s">
        <v>226</v>
      </c>
      <c r="C68" s="37">
        <v>46130</v>
      </c>
      <c r="D68" s="15" t="s">
        <v>17</v>
      </c>
      <c r="E68" s="15" t="s">
        <v>18</v>
      </c>
      <c r="F68" s="15" t="s">
        <v>227</v>
      </c>
      <c r="G68" s="15" t="s">
        <v>83</v>
      </c>
      <c r="H68" s="1">
        <v>2</v>
      </c>
      <c r="I68" s="43">
        <v>153750</v>
      </c>
      <c r="J68" s="43">
        <v>307500</v>
      </c>
      <c r="K68" s="43">
        <v>307500</v>
      </c>
      <c r="L68" s="15" t="s">
        <v>59</v>
      </c>
      <c r="M68" s="15" t="s">
        <v>84</v>
      </c>
      <c r="N68" s="15" t="s">
        <v>85</v>
      </c>
      <c r="O68" s="37">
        <v>46130</v>
      </c>
      <c r="P68" s="37">
        <v>46130</v>
      </c>
      <c r="Q68" s="15" t="s">
        <v>86</v>
      </c>
      <c r="R68" s="37">
        <v>46130</v>
      </c>
      <c r="S68" s="37">
        <v>46130</v>
      </c>
      <c r="T68" s="13">
        <f t="shared" si="0"/>
        <v>0</v>
      </c>
      <c r="U68" s="13">
        <f t="shared" si="6"/>
        <v>0</v>
      </c>
      <c r="V68" s="13">
        <f t="shared" si="4"/>
        <v>0</v>
      </c>
      <c r="W68" s="13">
        <f t="shared" si="5"/>
        <v>0</v>
      </c>
    </row>
    <row r="69" spans="1:23" x14ac:dyDescent="0.25">
      <c r="A69" s="1">
        <v>65</v>
      </c>
      <c r="B69" s="15" t="s">
        <v>228</v>
      </c>
      <c r="C69" s="37">
        <v>46130</v>
      </c>
      <c r="D69" s="15" t="s">
        <v>17</v>
      </c>
      <c r="E69" s="15" t="s">
        <v>18</v>
      </c>
      <c r="F69" s="15" t="s">
        <v>229</v>
      </c>
      <c r="G69" s="15" t="s">
        <v>230</v>
      </c>
      <c r="H69" s="1">
        <v>1</v>
      </c>
      <c r="I69" s="43">
        <v>102000</v>
      </c>
      <c r="J69" s="43">
        <v>102000</v>
      </c>
      <c r="K69" s="43">
        <v>102000</v>
      </c>
      <c r="L69" s="15" t="s">
        <v>59</v>
      </c>
      <c r="M69" s="15" t="s">
        <v>60</v>
      </c>
      <c r="N69" s="15" t="s">
        <v>75</v>
      </c>
      <c r="O69" s="37">
        <v>46130</v>
      </c>
      <c r="P69" s="37">
        <v>46134</v>
      </c>
      <c r="Q69" s="15" t="s">
        <v>231</v>
      </c>
      <c r="R69" s="37">
        <v>46130</v>
      </c>
      <c r="S69" s="37">
        <v>46130</v>
      </c>
      <c r="T69" s="13">
        <f t="shared" si="0"/>
        <v>0</v>
      </c>
      <c r="U69" s="13">
        <f t="shared" si="6"/>
        <v>0</v>
      </c>
      <c r="V69" s="13">
        <f t="shared" si="4"/>
        <v>4</v>
      </c>
      <c r="W69" s="13">
        <f t="shared" si="5"/>
        <v>0</v>
      </c>
    </row>
    <row r="70" spans="1:23" x14ac:dyDescent="0.25">
      <c r="A70" s="1">
        <v>66</v>
      </c>
      <c r="B70" s="15" t="s">
        <v>232</v>
      </c>
      <c r="C70" s="37">
        <v>46133</v>
      </c>
      <c r="D70" s="15" t="s">
        <v>233</v>
      </c>
      <c r="E70" s="15" t="s">
        <v>234</v>
      </c>
      <c r="F70" s="15" t="s">
        <v>235</v>
      </c>
      <c r="G70" s="15" t="s">
        <v>236</v>
      </c>
      <c r="H70" s="1">
        <v>12</v>
      </c>
      <c r="I70" s="43">
        <v>1750</v>
      </c>
      <c r="J70" s="43">
        <v>21000</v>
      </c>
      <c r="K70" s="43">
        <v>21000</v>
      </c>
      <c r="L70" s="15" t="s">
        <v>59</v>
      </c>
      <c r="M70" s="15" t="s">
        <v>111</v>
      </c>
      <c r="N70" s="15" t="s">
        <v>234</v>
      </c>
      <c r="O70" s="37">
        <v>46133</v>
      </c>
      <c r="P70" s="37">
        <v>46137</v>
      </c>
      <c r="Q70" s="15" t="s">
        <v>126</v>
      </c>
      <c r="R70" s="37">
        <v>46134</v>
      </c>
      <c r="S70" s="37">
        <v>46133</v>
      </c>
      <c r="T70" s="13">
        <f t="shared" ref="T70:T122" si="7">O70-C70</f>
        <v>0</v>
      </c>
      <c r="U70" s="13">
        <f t="shared" si="6"/>
        <v>1</v>
      </c>
      <c r="V70" s="13">
        <f t="shared" si="4"/>
        <v>4</v>
      </c>
      <c r="W70" s="13">
        <f t="shared" si="5"/>
        <v>0</v>
      </c>
    </row>
    <row r="71" spans="1:23" x14ac:dyDescent="0.25">
      <c r="A71" s="1">
        <v>67</v>
      </c>
      <c r="B71" s="15" t="s">
        <v>237</v>
      </c>
      <c r="C71" s="37">
        <v>46133</v>
      </c>
      <c r="D71" s="15" t="s">
        <v>233</v>
      </c>
      <c r="E71" s="15" t="s">
        <v>234</v>
      </c>
      <c r="F71" s="15" t="s">
        <v>238</v>
      </c>
      <c r="G71" s="15" t="s">
        <v>157</v>
      </c>
      <c r="H71" s="1">
        <v>1</v>
      </c>
      <c r="I71" s="10">
        <v>60900</v>
      </c>
      <c r="J71" s="10">
        <v>60900</v>
      </c>
      <c r="K71" s="10">
        <v>57950</v>
      </c>
      <c r="L71" s="15" t="s">
        <v>5</v>
      </c>
      <c r="M71" s="38" t="s">
        <v>239</v>
      </c>
      <c r="N71" s="15" t="s">
        <v>2</v>
      </c>
      <c r="O71" s="37">
        <v>46133</v>
      </c>
      <c r="P71" s="37">
        <v>46135</v>
      </c>
      <c r="Q71" s="15" t="s">
        <v>159</v>
      </c>
      <c r="R71" s="37">
        <v>46133</v>
      </c>
      <c r="S71" s="37">
        <v>46133</v>
      </c>
      <c r="T71" s="13">
        <f t="shared" si="7"/>
        <v>0</v>
      </c>
      <c r="U71" s="13">
        <f t="shared" si="6"/>
        <v>0</v>
      </c>
      <c r="V71" s="13">
        <f t="shared" si="4"/>
        <v>2</v>
      </c>
      <c r="W71" s="13">
        <f t="shared" si="5"/>
        <v>0</v>
      </c>
    </row>
    <row r="72" spans="1:23" x14ac:dyDescent="0.25">
      <c r="A72" s="1">
        <v>68</v>
      </c>
      <c r="B72" s="15" t="s">
        <v>240</v>
      </c>
      <c r="C72" s="37">
        <v>46132</v>
      </c>
      <c r="D72" s="15" t="s">
        <v>17</v>
      </c>
      <c r="E72" s="15" t="s">
        <v>18</v>
      </c>
      <c r="F72" s="15" t="s">
        <v>194</v>
      </c>
      <c r="G72" s="15" t="s">
        <v>241</v>
      </c>
      <c r="H72" s="1">
        <v>2</v>
      </c>
      <c r="I72" s="43">
        <v>1575000</v>
      </c>
      <c r="J72" s="43">
        <v>3150000</v>
      </c>
      <c r="K72" s="43">
        <v>3150000</v>
      </c>
      <c r="L72" s="15" t="s">
        <v>59</v>
      </c>
      <c r="M72" s="15" t="s">
        <v>177</v>
      </c>
      <c r="N72" s="15" t="s">
        <v>85</v>
      </c>
      <c r="O72" s="37">
        <v>46132</v>
      </c>
      <c r="P72" s="37">
        <v>46133</v>
      </c>
      <c r="Q72" s="15" t="s">
        <v>86</v>
      </c>
      <c r="R72" s="37">
        <v>46132</v>
      </c>
      <c r="S72" s="37">
        <v>46132</v>
      </c>
      <c r="T72" s="13">
        <f t="shared" si="7"/>
        <v>0</v>
      </c>
      <c r="U72" s="13">
        <f t="shared" si="6"/>
        <v>0</v>
      </c>
      <c r="V72" s="13">
        <f t="shared" si="4"/>
        <v>1</v>
      </c>
      <c r="W72" s="13">
        <f t="shared" si="5"/>
        <v>0</v>
      </c>
    </row>
    <row r="73" spans="1:23" x14ac:dyDescent="0.25">
      <c r="A73" s="1">
        <v>69</v>
      </c>
      <c r="B73" s="15" t="s">
        <v>242</v>
      </c>
      <c r="C73" s="37">
        <v>46132</v>
      </c>
      <c r="D73" s="15" t="s">
        <v>17</v>
      </c>
      <c r="E73" s="15" t="s">
        <v>18</v>
      </c>
      <c r="F73" s="15" t="s">
        <v>194</v>
      </c>
      <c r="G73" s="15" t="s">
        <v>243</v>
      </c>
      <c r="H73" s="1">
        <v>4</v>
      </c>
      <c r="I73" s="43">
        <v>1275000</v>
      </c>
      <c r="J73" s="43">
        <v>5100000</v>
      </c>
      <c r="K73" s="43">
        <v>5100000</v>
      </c>
      <c r="L73" s="15" t="s">
        <v>59</v>
      </c>
      <c r="M73" s="15" t="s">
        <v>177</v>
      </c>
      <c r="N73" s="15" t="s">
        <v>85</v>
      </c>
      <c r="O73" s="37">
        <v>46132</v>
      </c>
      <c r="P73" s="37">
        <v>46133</v>
      </c>
      <c r="Q73" s="15" t="s">
        <v>86</v>
      </c>
      <c r="R73" s="37">
        <v>46132</v>
      </c>
      <c r="S73" s="37">
        <v>46132</v>
      </c>
      <c r="T73" s="13">
        <f t="shared" si="7"/>
        <v>0</v>
      </c>
      <c r="U73" s="13">
        <f t="shared" si="6"/>
        <v>0</v>
      </c>
      <c r="V73" s="13">
        <f t="shared" si="4"/>
        <v>1</v>
      </c>
      <c r="W73" s="13">
        <f t="shared" si="5"/>
        <v>0</v>
      </c>
    </row>
    <row r="74" spans="1:23" x14ac:dyDescent="0.25">
      <c r="A74" s="1">
        <v>70</v>
      </c>
      <c r="B74" s="15" t="s">
        <v>244</v>
      </c>
      <c r="C74" s="37">
        <v>46132</v>
      </c>
      <c r="D74" s="15" t="s">
        <v>17</v>
      </c>
      <c r="E74" s="15" t="s">
        <v>18</v>
      </c>
      <c r="F74" s="15" t="s">
        <v>194</v>
      </c>
      <c r="G74" s="15" t="s">
        <v>245</v>
      </c>
      <c r="H74" s="1">
        <v>2</v>
      </c>
      <c r="I74" s="43">
        <v>1575000</v>
      </c>
      <c r="J74" s="43">
        <v>3150000</v>
      </c>
      <c r="K74" s="43">
        <v>3150000</v>
      </c>
      <c r="L74" s="15" t="s">
        <v>59</v>
      </c>
      <c r="M74" s="15" t="s">
        <v>177</v>
      </c>
      <c r="N74" s="15" t="s">
        <v>85</v>
      </c>
      <c r="O74" s="37">
        <v>46132</v>
      </c>
      <c r="P74" s="37">
        <v>46133</v>
      </c>
      <c r="Q74" s="15" t="s">
        <v>86</v>
      </c>
      <c r="R74" s="37">
        <v>46132</v>
      </c>
      <c r="S74" s="37">
        <v>46132</v>
      </c>
      <c r="T74" s="13">
        <f t="shared" si="7"/>
        <v>0</v>
      </c>
      <c r="U74" s="13">
        <f t="shared" si="6"/>
        <v>0</v>
      </c>
      <c r="V74" s="13">
        <f t="shared" ref="V74:V122" si="8">P74-C74</f>
        <v>1</v>
      </c>
      <c r="W74" s="13">
        <f t="shared" si="5"/>
        <v>0</v>
      </c>
    </row>
    <row r="75" spans="1:23" x14ac:dyDescent="0.25">
      <c r="A75" s="1">
        <v>71</v>
      </c>
      <c r="B75" s="15" t="s">
        <v>246</v>
      </c>
      <c r="C75" s="37">
        <v>46132</v>
      </c>
      <c r="D75" s="15" t="s">
        <v>17</v>
      </c>
      <c r="E75" s="15" t="s">
        <v>18</v>
      </c>
      <c r="F75" s="15" t="s">
        <v>247</v>
      </c>
      <c r="G75" s="15" t="s">
        <v>248</v>
      </c>
      <c r="H75" s="1">
        <v>1</v>
      </c>
      <c r="I75" s="43">
        <v>20050</v>
      </c>
      <c r="J75" s="43">
        <v>20050</v>
      </c>
      <c r="K75" s="10">
        <v>17973</v>
      </c>
      <c r="L75" s="15" t="s">
        <v>5</v>
      </c>
      <c r="M75" s="15" t="s">
        <v>249</v>
      </c>
      <c r="N75" s="15" t="s">
        <v>18</v>
      </c>
      <c r="O75" s="37">
        <v>46132</v>
      </c>
      <c r="P75" s="37">
        <v>46136</v>
      </c>
      <c r="Q75" s="15" t="s">
        <v>250</v>
      </c>
      <c r="R75" s="37">
        <v>46132</v>
      </c>
      <c r="S75" s="37">
        <v>46132</v>
      </c>
      <c r="T75" s="13">
        <f t="shared" si="7"/>
        <v>0</v>
      </c>
      <c r="U75" s="13">
        <f t="shared" si="6"/>
        <v>0</v>
      </c>
      <c r="V75" s="13">
        <f t="shared" si="8"/>
        <v>4</v>
      </c>
      <c r="W75" s="13">
        <f t="shared" si="5"/>
        <v>0</v>
      </c>
    </row>
    <row r="76" spans="1:23" x14ac:dyDescent="0.25">
      <c r="A76" s="1">
        <v>72</v>
      </c>
      <c r="B76" s="15" t="s">
        <v>251</v>
      </c>
      <c r="C76" s="37">
        <v>46133</v>
      </c>
      <c r="D76" s="15" t="s">
        <v>17</v>
      </c>
      <c r="E76" s="15" t="s">
        <v>18</v>
      </c>
      <c r="F76" s="15" t="s">
        <v>252</v>
      </c>
      <c r="G76" s="19" t="s">
        <v>131</v>
      </c>
      <c r="H76" s="1">
        <v>1</v>
      </c>
      <c r="I76" s="43">
        <v>111282</v>
      </c>
      <c r="J76" s="43">
        <v>111282</v>
      </c>
      <c r="K76" s="10">
        <v>100343</v>
      </c>
      <c r="L76" s="15" t="s">
        <v>5</v>
      </c>
      <c r="M76" s="15" t="s">
        <v>253</v>
      </c>
      <c r="N76" s="15" t="s">
        <v>18</v>
      </c>
      <c r="O76" s="37">
        <v>46134</v>
      </c>
      <c r="P76" s="37">
        <v>46135</v>
      </c>
      <c r="Q76" s="15" t="s">
        <v>254</v>
      </c>
      <c r="R76" s="37">
        <v>46134</v>
      </c>
      <c r="S76" s="37">
        <v>46134</v>
      </c>
      <c r="T76" s="13">
        <f t="shared" si="7"/>
        <v>1</v>
      </c>
      <c r="U76" s="13">
        <f t="shared" si="6"/>
        <v>1</v>
      </c>
      <c r="V76" s="13">
        <f t="shared" si="8"/>
        <v>2</v>
      </c>
      <c r="W76" s="13">
        <f t="shared" si="5"/>
        <v>1</v>
      </c>
    </row>
    <row r="77" spans="1:23" x14ac:dyDescent="0.25">
      <c r="A77" s="1">
        <v>73</v>
      </c>
      <c r="B77" s="15" t="s">
        <v>251</v>
      </c>
      <c r="C77" s="37">
        <v>46133</v>
      </c>
      <c r="D77" s="15" t="s">
        <v>17</v>
      </c>
      <c r="E77" s="15" t="s">
        <v>18</v>
      </c>
      <c r="F77" s="15" t="s">
        <v>255</v>
      </c>
      <c r="G77" s="19" t="s">
        <v>256</v>
      </c>
      <c r="H77" s="1">
        <v>2</v>
      </c>
      <c r="I77" s="43">
        <v>38950</v>
      </c>
      <c r="J77" s="43">
        <v>77900</v>
      </c>
      <c r="K77" s="10">
        <v>78200</v>
      </c>
      <c r="L77" s="15" t="s">
        <v>5</v>
      </c>
      <c r="M77" s="15" t="s">
        <v>253</v>
      </c>
      <c r="N77" s="15" t="s">
        <v>18</v>
      </c>
      <c r="O77" s="37">
        <v>46134</v>
      </c>
      <c r="P77" s="37">
        <v>46137</v>
      </c>
      <c r="Q77" s="15" t="s">
        <v>257</v>
      </c>
      <c r="R77" s="37">
        <v>46134</v>
      </c>
      <c r="S77" s="37">
        <v>46134</v>
      </c>
      <c r="T77" s="13">
        <f t="shared" si="7"/>
        <v>1</v>
      </c>
      <c r="U77" s="13">
        <f t="shared" si="6"/>
        <v>1</v>
      </c>
      <c r="V77" s="13">
        <f t="shared" si="8"/>
        <v>4</v>
      </c>
      <c r="W77" s="13">
        <f t="shared" si="5"/>
        <v>1</v>
      </c>
    </row>
    <row r="78" spans="1:23" x14ac:dyDescent="0.25">
      <c r="A78" s="1">
        <v>74</v>
      </c>
      <c r="B78" s="15" t="s">
        <v>251</v>
      </c>
      <c r="C78" s="37">
        <v>46133</v>
      </c>
      <c r="D78" s="15" t="s">
        <v>17</v>
      </c>
      <c r="E78" s="15" t="s">
        <v>18</v>
      </c>
      <c r="F78" s="15" t="s">
        <v>258</v>
      </c>
      <c r="G78" s="15" t="s">
        <v>259</v>
      </c>
      <c r="H78" s="1">
        <v>2</v>
      </c>
      <c r="I78" s="43">
        <v>7950</v>
      </c>
      <c r="J78" s="43">
        <v>15900</v>
      </c>
      <c r="K78" s="10">
        <v>9200</v>
      </c>
      <c r="L78" s="15" t="s">
        <v>5</v>
      </c>
      <c r="M78" s="15" t="s">
        <v>260</v>
      </c>
      <c r="N78" s="15" t="s">
        <v>18</v>
      </c>
      <c r="O78" s="37">
        <v>46134</v>
      </c>
      <c r="P78" s="37">
        <v>46136</v>
      </c>
      <c r="Q78" s="15" t="s">
        <v>261</v>
      </c>
      <c r="R78" s="37">
        <v>46134</v>
      </c>
      <c r="S78" s="37">
        <v>46134</v>
      </c>
      <c r="T78" s="13">
        <f t="shared" si="7"/>
        <v>1</v>
      </c>
      <c r="U78" s="13">
        <f t="shared" si="6"/>
        <v>1</v>
      </c>
      <c r="V78" s="13">
        <f t="shared" si="8"/>
        <v>3</v>
      </c>
      <c r="W78" s="13">
        <f t="shared" si="5"/>
        <v>1</v>
      </c>
    </row>
    <row r="79" spans="1:23" x14ac:dyDescent="0.25">
      <c r="A79" s="1">
        <v>75</v>
      </c>
      <c r="B79" s="15" t="s">
        <v>262</v>
      </c>
      <c r="C79" s="37">
        <v>46133</v>
      </c>
      <c r="D79" s="15" t="s">
        <v>208</v>
      </c>
      <c r="E79" s="15" t="s">
        <v>209</v>
      </c>
      <c r="F79" s="15" t="s">
        <v>263</v>
      </c>
      <c r="G79" s="8" t="s">
        <v>264</v>
      </c>
      <c r="H79" s="23">
        <v>1</v>
      </c>
      <c r="I79" s="43">
        <v>6850</v>
      </c>
      <c r="J79" s="43">
        <v>6850</v>
      </c>
      <c r="K79" s="10">
        <v>6850</v>
      </c>
      <c r="L79" s="15" t="s">
        <v>5</v>
      </c>
      <c r="M79" s="38" t="s">
        <v>265</v>
      </c>
      <c r="N79" s="15" t="s">
        <v>209</v>
      </c>
      <c r="O79" s="37">
        <v>46133</v>
      </c>
      <c r="P79" s="37">
        <v>46135</v>
      </c>
      <c r="Q79" s="15" t="s">
        <v>266</v>
      </c>
      <c r="R79" s="37">
        <v>46134</v>
      </c>
      <c r="S79" s="37">
        <v>46133</v>
      </c>
      <c r="T79" s="13">
        <f t="shared" si="7"/>
        <v>0</v>
      </c>
      <c r="U79" s="13">
        <f t="shared" si="6"/>
        <v>1</v>
      </c>
      <c r="V79" s="13">
        <f t="shared" si="8"/>
        <v>2</v>
      </c>
      <c r="W79" s="13">
        <f t="shared" si="5"/>
        <v>0</v>
      </c>
    </row>
    <row r="80" spans="1:23" x14ac:dyDescent="0.25">
      <c r="A80" s="1">
        <v>76</v>
      </c>
      <c r="B80" s="15" t="s">
        <v>267</v>
      </c>
      <c r="C80" s="37">
        <v>46133</v>
      </c>
      <c r="D80" s="15" t="s">
        <v>121</v>
      </c>
      <c r="E80" s="15" t="s">
        <v>268</v>
      </c>
      <c r="F80" s="15" t="s">
        <v>269</v>
      </c>
      <c r="G80" s="41" t="s">
        <v>270</v>
      </c>
      <c r="H80" s="21">
        <v>12</v>
      </c>
      <c r="I80" s="43">
        <v>14408</v>
      </c>
      <c r="J80" s="43">
        <v>172896</v>
      </c>
      <c r="K80" s="10">
        <v>166672</v>
      </c>
      <c r="L80" s="15" t="s">
        <v>5</v>
      </c>
      <c r="M80" s="15" t="s">
        <v>271</v>
      </c>
      <c r="N80" s="15" t="s">
        <v>112</v>
      </c>
      <c r="O80" s="37">
        <v>46134</v>
      </c>
      <c r="P80" s="37">
        <v>46136</v>
      </c>
      <c r="Q80" s="15" t="s">
        <v>272</v>
      </c>
      <c r="R80" s="37">
        <v>46134</v>
      </c>
      <c r="S80" s="37">
        <v>46133</v>
      </c>
      <c r="T80" s="13">
        <f t="shared" si="7"/>
        <v>1</v>
      </c>
      <c r="U80" s="13">
        <f t="shared" si="6"/>
        <v>1</v>
      </c>
      <c r="V80" s="13">
        <f t="shared" si="8"/>
        <v>3</v>
      </c>
      <c r="W80" s="13">
        <f t="shared" si="5"/>
        <v>0</v>
      </c>
    </row>
    <row r="81" spans="1:23" x14ac:dyDescent="0.25">
      <c r="A81" s="1">
        <v>77</v>
      </c>
      <c r="B81" s="15" t="s">
        <v>267</v>
      </c>
      <c r="C81" s="37">
        <v>46133</v>
      </c>
      <c r="D81" s="15" t="s">
        <v>121</v>
      </c>
      <c r="E81" s="15" t="s">
        <v>268</v>
      </c>
      <c r="F81" s="15" t="s">
        <v>273</v>
      </c>
      <c r="G81" s="41" t="s">
        <v>274</v>
      </c>
      <c r="H81" s="21">
        <v>5</v>
      </c>
      <c r="I81" s="43">
        <v>49671</v>
      </c>
      <c r="J81" s="43">
        <v>248355</v>
      </c>
      <c r="K81" s="10">
        <v>214668</v>
      </c>
      <c r="L81" s="15" t="s">
        <v>5</v>
      </c>
      <c r="M81" s="15" t="s">
        <v>275</v>
      </c>
      <c r="N81" s="15" t="s">
        <v>112</v>
      </c>
      <c r="O81" s="37">
        <v>46134</v>
      </c>
      <c r="P81" s="37">
        <v>46139</v>
      </c>
      <c r="Q81" s="15" t="s">
        <v>276</v>
      </c>
      <c r="R81" s="37">
        <v>46134</v>
      </c>
      <c r="S81" s="37">
        <v>46133</v>
      </c>
      <c r="T81" s="13">
        <f t="shared" si="7"/>
        <v>1</v>
      </c>
      <c r="U81" s="13">
        <f t="shared" si="6"/>
        <v>1</v>
      </c>
      <c r="V81" s="13">
        <f t="shared" si="8"/>
        <v>6</v>
      </c>
      <c r="W81" s="13">
        <f t="shared" si="5"/>
        <v>0</v>
      </c>
    </row>
    <row r="82" spans="1:23" x14ac:dyDescent="0.25">
      <c r="A82" s="1">
        <v>78</v>
      </c>
      <c r="B82" s="15" t="s">
        <v>267</v>
      </c>
      <c r="C82" s="37">
        <v>46133</v>
      </c>
      <c r="D82" s="15" t="s">
        <v>121</v>
      </c>
      <c r="E82" s="15" t="s">
        <v>268</v>
      </c>
      <c r="F82" s="15" t="s">
        <v>273</v>
      </c>
      <c r="G82" s="49" t="s">
        <v>277</v>
      </c>
      <c r="H82" s="50">
        <v>5</v>
      </c>
      <c r="I82" s="43">
        <v>49538</v>
      </c>
      <c r="J82" s="43">
        <v>247690</v>
      </c>
      <c r="K82" s="10">
        <v>214668</v>
      </c>
      <c r="L82" s="15" t="s">
        <v>5</v>
      </c>
      <c r="M82" s="15" t="s">
        <v>275</v>
      </c>
      <c r="N82" s="15" t="s">
        <v>112</v>
      </c>
      <c r="O82" s="37">
        <v>46134</v>
      </c>
      <c r="P82" s="37">
        <v>46139</v>
      </c>
      <c r="Q82" s="15" t="s">
        <v>276</v>
      </c>
      <c r="R82" s="37">
        <v>46134</v>
      </c>
      <c r="S82" s="37">
        <v>46133</v>
      </c>
      <c r="T82" s="13">
        <f t="shared" si="7"/>
        <v>1</v>
      </c>
      <c r="U82" s="13">
        <f t="shared" si="6"/>
        <v>1</v>
      </c>
      <c r="V82" s="13">
        <f t="shared" si="8"/>
        <v>6</v>
      </c>
      <c r="W82" s="13">
        <f t="shared" si="5"/>
        <v>0</v>
      </c>
    </row>
    <row r="83" spans="1:23" x14ac:dyDescent="0.25">
      <c r="A83" s="1">
        <v>79</v>
      </c>
      <c r="B83" s="15" t="s">
        <v>267</v>
      </c>
      <c r="C83" s="37">
        <v>46133</v>
      </c>
      <c r="D83" s="15" t="s">
        <v>121</v>
      </c>
      <c r="E83" s="15" t="s">
        <v>268</v>
      </c>
      <c r="F83" s="15" t="s">
        <v>273</v>
      </c>
      <c r="G83" s="41" t="s">
        <v>278</v>
      </c>
      <c r="H83" s="21">
        <v>5</v>
      </c>
      <c r="I83" s="43">
        <v>49572</v>
      </c>
      <c r="J83" s="43">
        <v>247860</v>
      </c>
      <c r="K83" s="10">
        <v>214668</v>
      </c>
      <c r="L83" s="15" t="s">
        <v>5</v>
      </c>
      <c r="M83" s="15" t="s">
        <v>275</v>
      </c>
      <c r="N83" s="15" t="s">
        <v>112</v>
      </c>
      <c r="O83" s="37">
        <v>46134</v>
      </c>
      <c r="P83" s="37">
        <v>46139</v>
      </c>
      <c r="Q83" s="15" t="s">
        <v>276</v>
      </c>
      <c r="R83" s="37">
        <v>46134</v>
      </c>
      <c r="S83" s="37">
        <v>46133</v>
      </c>
      <c r="T83" s="13">
        <f t="shared" si="7"/>
        <v>1</v>
      </c>
      <c r="U83" s="13">
        <f t="shared" si="6"/>
        <v>1</v>
      </c>
      <c r="V83" s="13">
        <f t="shared" si="8"/>
        <v>6</v>
      </c>
      <c r="W83" s="13">
        <f t="shared" si="5"/>
        <v>0</v>
      </c>
    </row>
    <row r="84" spans="1:23" x14ac:dyDescent="0.25">
      <c r="A84" s="1">
        <v>80</v>
      </c>
      <c r="B84" s="15" t="s">
        <v>267</v>
      </c>
      <c r="C84" s="37">
        <v>46133</v>
      </c>
      <c r="D84" s="15" t="s">
        <v>121</v>
      </c>
      <c r="E84" s="15" t="s">
        <v>268</v>
      </c>
      <c r="F84" s="15" t="s">
        <v>279</v>
      </c>
      <c r="G84" s="38" t="s">
        <v>280</v>
      </c>
      <c r="H84" s="22">
        <v>50</v>
      </c>
      <c r="I84" s="43">
        <v>11500</v>
      </c>
      <c r="J84" s="43">
        <v>575000</v>
      </c>
      <c r="K84" s="43">
        <v>575000</v>
      </c>
      <c r="L84" s="15" t="s">
        <v>59</v>
      </c>
      <c r="M84" s="15" t="s">
        <v>111</v>
      </c>
      <c r="N84" s="15" t="s">
        <v>112</v>
      </c>
      <c r="O84" s="37">
        <v>46134</v>
      </c>
      <c r="P84" s="37">
        <v>46137</v>
      </c>
      <c r="Q84" s="15" t="s">
        <v>281</v>
      </c>
      <c r="R84" s="37">
        <v>46134</v>
      </c>
      <c r="S84" s="37">
        <v>46133</v>
      </c>
      <c r="T84" s="13">
        <f t="shared" si="7"/>
        <v>1</v>
      </c>
      <c r="U84" s="13">
        <f t="shared" si="6"/>
        <v>1</v>
      </c>
      <c r="V84" s="13">
        <f t="shared" si="8"/>
        <v>4</v>
      </c>
      <c r="W84" s="13">
        <f t="shared" si="5"/>
        <v>0</v>
      </c>
    </row>
    <row r="85" spans="1:23" x14ac:dyDescent="0.25">
      <c r="A85" s="1">
        <v>81</v>
      </c>
      <c r="B85" s="15" t="s">
        <v>267</v>
      </c>
      <c r="C85" s="37">
        <v>46133</v>
      </c>
      <c r="D85" s="15" t="s">
        <v>121</v>
      </c>
      <c r="E85" s="15" t="s">
        <v>268</v>
      </c>
      <c r="F85" s="15" t="s">
        <v>282</v>
      </c>
      <c r="G85" s="41" t="s">
        <v>274</v>
      </c>
      <c r="H85" s="22">
        <v>2</v>
      </c>
      <c r="I85" s="43">
        <v>45950</v>
      </c>
      <c r="J85" s="43">
        <v>91900</v>
      </c>
      <c r="K85" s="10">
        <v>73347.3</v>
      </c>
      <c r="L85" s="15" t="s">
        <v>5</v>
      </c>
      <c r="M85" s="15" t="s">
        <v>283</v>
      </c>
      <c r="N85" s="15" t="s">
        <v>112</v>
      </c>
      <c r="O85" s="37">
        <v>46134</v>
      </c>
      <c r="P85" s="37">
        <v>46137</v>
      </c>
      <c r="Q85" s="15" t="s">
        <v>284</v>
      </c>
      <c r="R85" s="37">
        <v>46134</v>
      </c>
      <c r="S85" s="37">
        <v>46133</v>
      </c>
      <c r="T85" s="13">
        <f t="shared" si="7"/>
        <v>1</v>
      </c>
      <c r="U85" s="13">
        <f t="shared" si="6"/>
        <v>1</v>
      </c>
      <c r="V85" s="13">
        <f t="shared" si="8"/>
        <v>4</v>
      </c>
      <c r="W85" s="13">
        <f t="shared" si="5"/>
        <v>0</v>
      </c>
    </row>
    <row r="86" spans="1:23" x14ac:dyDescent="0.25">
      <c r="A86" s="1">
        <v>82</v>
      </c>
      <c r="B86" s="15" t="s">
        <v>267</v>
      </c>
      <c r="C86" s="37">
        <v>46133</v>
      </c>
      <c r="D86" s="15" t="s">
        <v>121</v>
      </c>
      <c r="E86" s="15" t="s">
        <v>268</v>
      </c>
      <c r="F86" s="15" t="s">
        <v>282</v>
      </c>
      <c r="G86" s="49" t="s">
        <v>277</v>
      </c>
      <c r="H86" s="22">
        <v>2</v>
      </c>
      <c r="I86" s="43">
        <v>45950</v>
      </c>
      <c r="J86" s="43">
        <v>91900</v>
      </c>
      <c r="K86" s="10">
        <v>73347.3</v>
      </c>
      <c r="L86" s="15" t="s">
        <v>5</v>
      </c>
      <c r="M86" s="15" t="s">
        <v>283</v>
      </c>
      <c r="N86" s="15" t="s">
        <v>112</v>
      </c>
      <c r="O86" s="37">
        <v>46134</v>
      </c>
      <c r="P86" s="37">
        <v>46137</v>
      </c>
      <c r="Q86" s="15" t="s">
        <v>284</v>
      </c>
      <c r="R86" s="37">
        <v>46134</v>
      </c>
      <c r="S86" s="37">
        <v>46133</v>
      </c>
      <c r="T86" s="13">
        <f t="shared" si="7"/>
        <v>1</v>
      </c>
      <c r="U86" s="13">
        <f t="shared" si="6"/>
        <v>1</v>
      </c>
      <c r="V86" s="13">
        <f t="shared" si="8"/>
        <v>4</v>
      </c>
      <c r="W86" s="13">
        <f t="shared" si="5"/>
        <v>0</v>
      </c>
    </row>
    <row r="87" spans="1:23" x14ac:dyDescent="0.25">
      <c r="A87" s="1">
        <v>83</v>
      </c>
      <c r="B87" s="15" t="s">
        <v>267</v>
      </c>
      <c r="C87" s="37">
        <v>46133</v>
      </c>
      <c r="D87" s="15" t="s">
        <v>121</v>
      </c>
      <c r="E87" s="15" t="s">
        <v>268</v>
      </c>
      <c r="F87" s="15" t="s">
        <v>282</v>
      </c>
      <c r="G87" s="41" t="s">
        <v>278</v>
      </c>
      <c r="H87" s="22">
        <v>2</v>
      </c>
      <c r="I87" s="43">
        <v>45950</v>
      </c>
      <c r="J87" s="43">
        <v>91900</v>
      </c>
      <c r="K87" s="10">
        <v>73347.3</v>
      </c>
      <c r="L87" s="15" t="s">
        <v>5</v>
      </c>
      <c r="M87" s="15" t="s">
        <v>283</v>
      </c>
      <c r="N87" s="15" t="s">
        <v>112</v>
      </c>
      <c r="O87" s="37">
        <v>46134</v>
      </c>
      <c r="P87" s="37">
        <v>46137</v>
      </c>
      <c r="Q87" s="15" t="s">
        <v>284</v>
      </c>
      <c r="R87" s="37">
        <v>46134</v>
      </c>
      <c r="S87" s="37">
        <v>46133</v>
      </c>
      <c r="T87" s="13">
        <f t="shared" si="7"/>
        <v>1</v>
      </c>
      <c r="U87" s="13">
        <f t="shared" si="6"/>
        <v>1</v>
      </c>
      <c r="V87" s="13">
        <f t="shared" si="8"/>
        <v>4</v>
      </c>
      <c r="W87" s="13">
        <f t="shared" si="5"/>
        <v>0</v>
      </c>
    </row>
    <row r="88" spans="1:23" x14ac:dyDescent="0.25">
      <c r="A88" s="1">
        <v>84</v>
      </c>
      <c r="B88" s="15" t="s">
        <v>267</v>
      </c>
      <c r="C88" s="37">
        <v>46133</v>
      </c>
      <c r="D88" s="15" t="s">
        <v>121</v>
      </c>
      <c r="E88" s="15" t="s">
        <v>268</v>
      </c>
      <c r="F88" s="15" t="s">
        <v>285</v>
      </c>
      <c r="G88" s="38" t="s">
        <v>286</v>
      </c>
      <c r="H88" s="22">
        <v>4</v>
      </c>
      <c r="I88" s="43">
        <v>3350</v>
      </c>
      <c r="J88" s="43">
        <v>13400</v>
      </c>
      <c r="K88" s="10">
        <v>10025</v>
      </c>
      <c r="L88" s="15" t="s">
        <v>5</v>
      </c>
      <c r="M88" s="15" t="s">
        <v>287</v>
      </c>
      <c r="N88" s="15" t="s">
        <v>112</v>
      </c>
      <c r="O88" s="37">
        <v>46134</v>
      </c>
      <c r="P88" s="37">
        <v>46136</v>
      </c>
      <c r="Q88" s="15" t="s">
        <v>288</v>
      </c>
      <c r="R88" s="37">
        <v>46134</v>
      </c>
      <c r="S88" s="37">
        <v>46133</v>
      </c>
      <c r="T88" s="13">
        <f t="shared" si="7"/>
        <v>1</v>
      </c>
      <c r="U88" s="13">
        <f t="shared" si="6"/>
        <v>1</v>
      </c>
      <c r="V88" s="13">
        <f t="shared" si="8"/>
        <v>3</v>
      </c>
      <c r="W88" s="13">
        <f t="shared" si="5"/>
        <v>0</v>
      </c>
    </row>
    <row r="89" spans="1:23" x14ac:dyDescent="0.25">
      <c r="A89" s="1">
        <v>85</v>
      </c>
      <c r="B89" s="15" t="s">
        <v>289</v>
      </c>
      <c r="C89" s="37">
        <v>46135</v>
      </c>
      <c r="D89" s="15" t="s">
        <v>17</v>
      </c>
      <c r="E89" s="15" t="s">
        <v>18</v>
      </c>
      <c r="F89" s="15" t="s">
        <v>285</v>
      </c>
      <c r="G89" s="15" t="s">
        <v>290</v>
      </c>
      <c r="H89" s="1">
        <v>12</v>
      </c>
      <c r="I89" s="43">
        <v>2950</v>
      </c>
      <c r="J89" s="43">
        <v>35400</v>
      </c>
      <c r="K89" s="43">
        <v>35400</v>
      </c>
      <c r="L89" s="15" t="s">
        <v>5</v>
      </c>
      <c r="M89" s="15" t="s">
        <v>291</v>
      </c>
      <c r="N89" s="15" t="s">
        <v>18</v>
      </c>
      <c r="O89" s="37">
        <v>46135</v>
      </c>
      <c r="P89" s="37">
        <v>46139</v>
      </c>
      <c r="Q89" s="15" t="s">
        <v>292</v>
      </c>
      <c r="R89" s="37">
        <v>46135</v>
      </c>
      <c r="S89" s="37">
        <v>46135</v>
      </c>
      <c r="T89" s="13">
        <f t="shared" si="7"/>
        <v>0</v>
      </c>
      <c r="U89" s="13">
        <f t="shared" si="6"/>
        <v>0</v>
      </c>
      <c r="V89" s="13">
        <f t="shared" si="8"/>
        <v>4</v>
      </c>
      <c r="W89" s="13">
        <f t="shared" si="5"/>
        <v>0</v>
      </c>
    </row>
    <row r="90" spans="1:23" x14ac:dyDescent="0.25">
      <c r="A90" s="1">
        <v>86</v>
      </c>
      <c r="B90" s="15" t="s">
        <v>293</v>
      </c>
      <c r="C90" s="37">
        <v>46133</v>
      </c>
      <c r="D90" s="15" t="s">
        <v>17</v>
      </c>
      <c r="E90" s="15" t="s">
        <v>18</v>
      </c>
      <c r="F90" s="15" t="s">
        <v>153</v>
      </c>
      <c r="G90" s="15" t="s">
        <v>294</v>
      </c>
      <c r="H90" s="1">
        <v>1</v>
      </c>
      <c r="I90" s="10">
        <v>220000</v>
      </c>
      <c r="J90" s="10">
        <v>220000</v>
      </c>
      <c r="K90" s="10">
        <v>220000</v>
      </c>
      <c r="L90" s="15" t="s">
        <v>59</v>
      </c>
      <c r="M90" s="15" t="s">
        <v>84</v>
      </c>
      <c r="N90" s="15" t="s">
        <v>85</v>
      </c>
      <c r="O90" s="37">
        <v>46133</v>
      </c>
      <c r="P90" s="37">
        <v>46134</v>
      </c>
      <c r="Q90" s="15" t="s">
        <v>86</v>
      </c>
      <c r="R90" s="37">
        <v>46133</v>
      </c>
      <c r="S90" s="37">
        <v>46133</v>
      </c>
      <c r="T90" s="13">
        <f t="shared" si="7"/>
        <v>0</v>
      </c>
      <c r="U90" s="13">
        <f t="shared" si="6"/>
        <v>0</v>
      </c>
      <c r="V90" s="13">
        <f t="shared" si="8"/>
        <v>1</v>
      </c>
      <c r="W90" s="13">
        <f t="shared" si="5"/>
        <v>0</v>
      </c>
    </row>
    <row r="91" spans="1:23" x14ac:dyDescent="0.25">
      <c r="A91" s="1">
        <v>87</v>
      </c>
      <c r="B91" s="15" t="s">
        <v>295</v>
      </c>
      <c r="C91" s="37">
        <v>46128</v>
      </c>
      <c r="D91" s="15" t="s">
        <v>17</v>
      </c>
      <c r="E91" s="15" t="s">
        <v>18</v>
      </c>
      <c r="F91" s="15" t="s">
        <v>296</v>
      </c>
      <c r="G91" s="15" t="s">
        <v>297</v>
      </c>
      <c r="H91" s="1">
        <v>1</v>
      </c>
      <c r="I91" s="43">
        <v>18564</v>
      </c>
      <c r="J91" s="43">
        <v>18564</v>
      </c>
      <c r="K91" s="43">
        <v>18564</v>
      </c>
      <c r="L91" s="15" t="s">
        <v>5</v>
      </c>
      <c r="M91" s="38" t="s">
        <v>298</v>
      </c>
      <c r="N91" s="15" t="s">
        <v>18</v>
      </c>
      <c r="O91" s="37">
        <v>46129</v>
      </c>
      <c r="P91" s="37">
        <v>46136</v>
      </c>
      <c r="Q91" s="15" t="s">
        <v>299</v>
      </c>
      <c r="R91" s="37">
        <v>46129</v>
      </c>
      <c r="S91" s="37">
        <v>46129</v>
      </c>
      <c r="T91" s="13">
        <f t="shared" si="7"/>
        <v>1</v>
      </c>
      <c r="U91" s="13">
        <f t="shared" si="6"/>
        <v>1</v>
      </c>
      <c r="V91" s="13">
        <f t="shared" si="8"/>
        <v>8</v>
      </c>
      <c r="W91" s="13">
        <f t="shared" si="5"/>
        <v>1</v>
      </c>
    </row>
    <row r="92" spans="1:23" x14ac:dyDescent="0.25">
      <c r="A92" s="1">
        <v>88</v>
      </c>
      <c r="B92" s="15" t="s">
        <v>300</v>
      </c>
      <c r="C92" s="37">
        <v>46134</v>
      </c>
      <c r="D92" s="15" t="s">
        <v>17</v>
      </c>
      <c r="E92" s="15" t="s">
        <v>18</v>
      </c>
      <c r="F92" s="15" t="s">
        <v>301</v>
      </c>
      <c r="G92" s="15" t="s">
        <v>302</v>
      </c>
      <c r="H92" s="1">
        <v>4</v>
      </c>
      <c r="I92" s="43">
        <v>50000</v>
      </c>
      <c r="J92" s="43">
        <v>200000</v>
      </c>
      <c r="K92" s="43">
        <v>200000</v>
      </c>
      <c r="L92" s="15" t="s">
        <v>59</v>
      </c>
      <c r="M92" s="15" t="s">
        <v>84</v>
      </c>
      <c r="N92" s="15" t="s">
        <v>85</v>
      </c>
      <c r="O92" s="37">
        <v>46134</v>
      </c>
      <c r="P92" s="37">
        <v>46134</v>
      </c>
      <c r="Q92" s="15" t="s">
        <v>86</v>
      </c>
      <c r="R92" s="37">
        <v>46134</v>
      </c>
      <c r="S92" s="37">
        <v>46134</v>
      </c>
      <c r="T92" s="13">
        <f t="shared" si="7"/>
        <v>0</v>
      </c>
      <c r="U92" s="13">
        <f t="shared" si="6"/>
        <v>0</v>
      </c>
      <c r="V92" s="13">
        <f t="shared" si="8"/>
        <v>0</v>
      </c>
      <c r="W92" s="13">
        <f t="shared" si="5"/>
        <v>0</v>
      </c>
    </row>
    <row r="93" spans="1:23" x14ac:dyDescent="0.25">
      <c r="A93" s="1">
        <v>89</v>
      </c>
      <c r="B93" s="15" t="s">
        <v>303</v>
      </c>
      <c r="C93" s="37">
        <v>46134</v>
      </c>
      <c r="D93" s="15" t="s">
        <v>17</v>
      </c>
      <c r="E93" s="15" t="s">
        <v>18</v>
      </c>
      <c r="F93" s="15" t="s">
        <v>304</v>
      </c>
      <c r="G93" s="15" t="s">
        <v>305</v>
      </c>
      <c r="H93" s="1">
        <v>1</v>
      </c>
      <c r="I93" s="43">
        <v>135000</v>
      </c>
      <c r="J93" s="43">
        <v>135000</v>
      </c>
      <c r="K93" s="43">
        <v>135000</v>
      </c>
      <c r="L93" s="15" t="s">
        <v>59</v>
      </c>
      <c r="M93" s="15" t="s">
        <v>84</v>
      </c>
      <c r="N93" s="15" t="s">
        <v>85</v>
      </c>
      <c r="O93" s="37">
        <v>46134</v>
      </c>
      <c r="P93" s="37">
        <v>46134</v>
      </c>
      <c r="Q93" s="15" t="s">
        <v>86</v>
      </c>
      <c r="R93" s="37">
        <v>46134</v>
      </c>
      <c r="S93" s="37">
        <v>46134</v>
      </c>
      <c r="T93" s="13">
        <f t="shared" si="7"/>
        <v>0</v>
      </c>
      <c r="U93" s="13">
        <f t="shared" si="6"/>
        <v>0</v>
      </c>
      <c r="V93" s="13">
        <f t="shared" si="8"/>
        <v>0</v>
      </c>
      <c r="W93" s="13">
        <f t="shared" si="5"/>
        <v>0</v>
      </c>
    </row>
    <row r="94" spans="1:23" x14ac:dyDescent="0.25">
      <c r="A94" s="1">
        <v>90</v>
      </c>
      <c r="B94" s="15" t="s">
        <v>306</v>
      </c>
      <c r="C94" s="37">
        <v>46134</v>
      </c>
      <c r="D94" s="15" t="s">
        <v>17</v>
      </c>
      <c r="E94" s="15" t="s">
        <v>18</v>
      </c>
      <c r="F94" s="15" t="s">
        <v>307</v>
      </c>
      <c r="G94" s="15" t="s">
        <v>308</v>
      </c>
      <c r="H94" s="23">
        <v>30</v>
      </c>
      <c r="I94" s="15">
        <v>467</v>
      </c>
      <c r="J94" s="43">
        <v>14010</v>
      </c>
      <c r="K94" s="45">
        <v>14010</v>
      </c>
      <c r="L94" s="15" t="s">
        <v>59</v>
      </c>
      <c r="M94" s="15" t="s">
        <v>309</v>
      </c>
      <c r="N94" s="15" t="s">
        <v>75</v>
      </c>
      <c r="O94" s="37">
        <v>46134</v>
      </c>
      <c r="P94" s="37">
        <v>46137</v>
      </c>
      <c r="Q94" s="15" t="s">
        <v>310</v>
      </c>
      <c r="R94" s="37">
        <v>46134</v>
      </c>
      <c r="S94" s="37">
        <v>46134</v>
      </c>
      <c r="T94" s="13">
        <f t="shared" si="7"/>
        <v>0</v>
      </c>
      <c r="U94" s="13">
        <f t="shared" si="6"/>
        <v>0</v>
      </c>
      <c r="V94" s="13">
        <f t="shared" si="8"/>
        <v>3</v>
      </c>
      <c r="W94" s="13">
        <f t="shared" si="5"/>
        <v>0</v>
      </c>
    </row>
    <row r="95" spans="1:23" x14ac:dyDescent="0.25">
      <c r="A95" s="1">
        <v>91</v>
      </c>
      <c r="B95" s="15" t="s">
        <v>311</v>
      </c>
      <c r="C95" s="37">
        <v>46135</v>
      </c>
      <c r="D95" s="15" t="s">
        <v>1</v>
      </c>
      <c r="E95" s="15" t="s">
        <v>2</v>
      </c>
      <c r="F95" s="15" t="s">
        <v>312</v>
      </c>
      <c r="G95" s="15" t="s">
        <v>313</v>
      </c>
      <c r="H95" s="23">
        <v>4</v>
      </c>
      <c r="I95" s="43">
        <v>27975</v>
      </c>
      <c r="J95" s="43">
        <v>111900</v>
      </c>
      <c r="K95" s="10">
        <v>95456</v>
      </c>
      <c r="L95" s="15" t="s">
        <v>5</v>
      </c>
      <c r="M95" s="15" t="s">
        <v>314</v>
      </c>
      <c r="N95" s="15" t="s">
        <v>2</v>
      </c>
      <c r="O95" s="37">
        <v>46136</v>
      </c>
      <c r="P95" s="37">
        <v>46137</v>
      </c>
      <c r="Q95" s="15" t="s">
        <v>315</v>
      </c>
      <c r="R95" s="37">
        <v>46136</v>
      </c>
      <c r="S95" s="37">
        <v>46136</v>
      </c>
      <c r="T95" s="13">
        <f t="shared" si="7"/>
        <v>1</v>
      </c>
      <c r="U95" s="13">
        <f t="shared" si="6"/>
        <v>1</v>
      </c>
      <c r="V95" s="13">
        <f t="shared" si="8"/>
        <v>2</v>
      </c>
      <c r="W95" s="13">
        <f t="shared" si="5"/>
        <v>1</v>
      </c>
    </row>
    <row r="96" spans="1:23" x14ac:dyDescent="0.25">
      <c r="A96" s="1">
        <v>92</v>
      </c>
      <c r="B96" s="15" t="s">
        <v>311</v>
      </c>
      <c r="C96" s="37">
        <v>46135</v>
      </c>
      <c r="D96" s="15" t="s">
        <v>1</v>
      </c>
      <c r="E96" s="15" t="s">
        <v>2</v>
      </c>
      <c r="F96" s="15" t="s">
        <v>316</v>
      </c>
      <c r="G96" s="15" t="s">
        <v>317</v>
      </c>
      <c r="H96" s="23">
        <v>3</v>
      </c>
      <c r="I96" s="43">
        <v>28133</v>
      </c>
      <c r="J96" s="43">
        <v>84399</v>
      </c>
      <c r="K96" s="10">
        <v>71592</v>
      </c>
      <c r="L96" s="15" t="s">
        <v>5</v>
      </c>
      <c r="M96" s="15" t="s">
        <v>314</v>
      </c>
      <c r="N96" s="15" t="s">
        <v>2</v>
      </c>
      <c r="O96" s="37">
        <v>46136</v>
      </c>
      <c r="P96" s="37">
        <v>46137</v>
      </c>
      <c r="Q96" s="15" t="s">
        <v>315</v>
      </c>
      <c r="R96" s="37">
        <v>46136</v>
      </c>
      <c r="S96" s="37">
        <v>46136</v>
      </c>
      <c r="T96" s="13">
        <f t="shared" si="7"/>
        <v>1</v>
      </c>
      <c r="U96" s="13">
        <f t="shared" si="6"/>
        <v>1</v>
      </c>
      <c r="V96" s="13">
        <f t="shared" si="8"/>
        <v>2</v>
      </c>
      <c r="W96" s="13">
        <f t="shared" ref="W96:W122" si="9">S96-C96</f>
        <v>1</v>
      </c>
    </row>
    <row r="97" spans="1:23" x14ac:dyDescent="0.25">
      <c r="A97" s="1">
        <v>93</v>
      </c>
      <c r="B97" s="15" t="s">
        <v>311</v>
      </c>
      <c r="C97" s="37">
        <v>46135</v>
      </c>
      <c r="D97" s="15" t="s">
        <v>1</v>
      </c>
      <c r="E97" s="15" t="s">
        <v>2</v>
      </c>
      <c r="F97" s="15" t="s">
        <v>318</v>
      </c>
      <c r="G97" s="15" t="s">
        <v>319</v>
      </c>
      <c r="H97" s="21">
        <v>2</v>
      </c>
      <c r="I97" s="43">
        <v>524400</v>
      </c>
      <c r="J97" s="43">
        <v>1048800</v>
      </c>
      <c r="K97" s="10">
        <v>921449</v>
      </c>
      <c r="L97" s="15" t="s">
        <v>5</v>
      </c>
      <c r="M97" s="15" t="s">
        <v>320</v>
      </c>
      <c r="N97" s="15" t="s">
        <v>2</v>
      </c>
      <c r="O97" s="37">
        <v>46136</v>
      </c>
      <c r="P97" s="37">
        <v>46140</v>
      </c>
      <c r="Q97" s="15" t="s">
        <v>321</v>
      </c>
      <c r="R97" s="37">
        <v>46137</v>
      </c>
      <c r="S97" s="37">
        <v>46136</v>
      </c>
      <c r="T97" s="13">
        <f t="shared" si="7"/>
        <v>1</v>
      </c>
      <c r="U97" s="13">
        <f t="shared" si="6"/>
        <v>2</v>
      </c>
      <c r="V97" s="13">
        <f t="shared" si="8"/>
        <v>5</v>
      </c>
      <c r="W97" s="13">
        <f t="shared" si="9"/>
        <v>1</v>
      </c>
    </row>
    <row r="98" spans="1:23" x14ac:dyDescent="0.25">
      <c r="A98" s="1">
        <v>94</v>
      </c>
      <c r="B98" s="15" t="s">
        <v>311</v>
      </c>
      <c r="C98" s="37">
        <v>46135</v>
      </c>
      <c r="D98" s="15" t="s">
        <v>1</v>
      </c>
      <c r="E98" s="15" t="s">
        <v>2</v>
      </c>
      <c r="F98" s="15" t="s">
        <v>322</v>
      </c>
      <c r="G98" s="15" t="s">
        <v>323</v>
      </c>
      <c r="H98" s="21">
        <v>1</v>
      </c>
      <c r="I98" s="43">
        <v>596000</v>
      </c>
      <c r="J98" s="43">
        <v>596000</v>
      </c>
      <c r="K98" s="10">
        <v>523251</v>
      </c>
      <c r="L98" s="15" t="s">
        <v>5</v>
      </c>
      <c r="M98" s="15" t="s">
        <v>324</v>
      </c>
      <c r="N98" s="15" t="s">
        <v>2</v>
      </c>
      <c r="O98" s="37">
        <v>46136</v>
      </c>
      <c r="P98" s="37">
        <v>46144</v>
      </c>
      <c r="Q98" s="15" t="s">
        <v>315</v>
      </c>
      <c r="R98" s="37">
        <v>46137</v>
      </c>
      <c r="S98" s="37">
        <v>46136</v>
      </c>
      <c r="T98" s="13">
        <f t="shared" si="7"/>
        <v>1</v>
      </c>
      <c r="U98" s="13">
        <f t="shared" si="6"/>
        <v>2</v>
      </c>
      <c r="V98" s="13">
        <f t="shared" si="8"/>
        <v>9</v>
      </c>
      <c r="W98" s="13">
        <f t="shared" si="9"/>
        <v>1</v>
      </c>
    </row>
    <row r="99" spans="1:23" x14ac:dyDescent="0.25">
      <c r="A99" s="1">
        <v>95</v>
      </c>
      <c r="B99" s="15" t="s">
        <v>311</v>
      </c>
      <c r="C99" s="37">
        <v>46135</v>
      </c>
      <c r="D99" s="15" t="s">
        <v>1</v>
      </c>
      <c r="E99" s="15" t="s">
        <v>2</v>
      </c>
      <c r="F99" s="15" t="s">
        <v>325</v>
      </c>
      <c r="G99" s="15" t="s">
        <v>326</v>
      </c>
      <c r="H99" s="21">
        <v>1</v>
      </c>
      <c r="I99" s="43">
        <v>79900</v>
      </c>
      <c r="J99" s="43">
        <v>79900</v>
      </c>
      <c r="K99" s="10">
        <v>67009</v>
      </c>
      <c r="L99" s="15" t="s">
        <v>5</v>
      </c>
      <c r="M99" s="15" t="s">
        <v>327</v>
      </c>
      <c r="N99" s="15" t="s">
        <v>2</v>
      </c>
      <c r="O99" s="37">
        <v>46136</v>
      </c>
      <c r="P99" s="37">
        <v>46139</v>
      </c>
      <c r="Q99" s="15" t="s">
        <v>315</v>
      </c>
      <c r="R99" s="37">
        <v>46136</v>
      </c>
      <c r="S99" s="37">
        <v>46136</v>
      </c>
      <c r="T99" s="13">
        <f t="shared" si="7"/>
        <v>1</v>
      </c>
      <c r="U99" s="13">
        <f t="shared" ref="U99:U122" si="10">R99-C99</f>
        <v>1</v>
      </c>
      <c r="V99" s="13">
        <f t="shared" si="8"/>
        <v>4</v>
      </c>
      <c r="W99" s="13">
        <f t="shared" si="9"/>
        <v>1</v>
      </c>
    </row>
    <row r="100" spans="1:23" x14ac:dyDescent="0.25">
      <c r="A100" s="1">
        <v>96</v>
      </c>
      <c r="B100" s="15" t="s">
        <v>311</v>
      </c>
      <c r="C100" s="37">
        <v>46135</v>
      </c>
      <c r="D100" s="15" t="s">
        <v>1</v>
      </c>
      <c r="E100" s="15" t="s">
        <v>2</v>
      </c>
      <c r="F100" s="15" t="s">
        <v>328</v>
      </c>
      <c r="G100" s="15" t="s">
        <v>329</v>
      </c>
      <c r="H100" s="21">
        <v>3</v>
      </c>
      <c r="I100" s="43">
        <v>7134</v>
      </c>
      <c r="J100" s="43">
        <v>21402</v>
      </c>
      <c r="K100" s="10">
        <v>19229</v>
      </c>
      <c r="L100" s="15" t="s">
        <v>5</v>
      </c>
      <c r="M100" s="15" t="s">
        <v>330</v>
      </c>
      <c r="N100" s="15" t="s">
        <v>2</v>
      </c>
      <c r="O100" s="37">
        <v>46136</v>
      </c>
      <c r="P100" s="37">
        <v>46139</v>
      </c>
      <c r="Q100" s="15" t="s">
        <v>315</v>
      </c>
      <c r="R100" s="37">
        <v>46136</v>
      </c>
      <c r="S100" s="37">
        <v>46136</v>
      </c>
      <c r="T100" s="13">
        <f t="shared" si="7"/>
        <v>1</v>
      </c>
      <c r="U100" s="13">
        <f t="shared" si="10"/>
        <v>1</v>
      </c>
      <c r="V100" s="13">
        <f t="shared" si="8"/>
        <v>4</v>
      </c>
      <c r="W100" s="13">
        <f t="shared" si="9"/>
        <v>1</v>
      </c>
    </row>
    <row r="101" spans="1:23" x14ac:dyDescent="0.25">
      <c r="A101" s="1">
        <v>97</v>
      </c>
      <c r="B101" s="19" t="s">
        <v>311</v>
      </c>
      <c r="C101" s="24">
        <v>46135</v>
      </c>
      <c r="D101" s="19" t="s">
        <v>1</v>
      </c>
      <c r="E101" s="19" t="s">
        <v>2</v>
      </c>
      <c r="F101" s="19" t="s">
        <v>331</v>
      </c>
      <c r="G101" s="19" t="s">
        <v>332</v>
      </c>
      <c r="H101" s="50">
        <v>3</v>
      </c>
      <c r="I101" s="5">
        <v>7296</v>
      </c>
      <c r="J101" s="5">
        <v>21888</v>
      </c>
      <c r="K101" s="10">
        <v>17351</v>
      </c>
      <c r="L101" s="15" t="s">
        <v>5</v>
      </c>
      <c r="M101" s="19" t="s">
        <v>333</v>
      </c>
      <c r="N101" s="15" t="s">
        <v>2</v>
      </c>
      <c r="O101" s="37">
        <v>46136</v>
      </c>
      <c r="P101" s="37">
        <v>46139</v>
      </c>
      <c r="Q101" s="15" t="s">
        <v>315</v>
      </c>
      <c r="R101" s="37">
        <v>46136</v>
      </c>
      <c r="S101" s="37">
        <v>46136</v>
      </c>
      <c r="T101" s="13">
        <f t="shared" si="7"/>
        <v>1</v>
      </c>
      <c r="U101" s="13">
        <f t="shared" si="10"/>
        <v>1</v>
      </c>
      <c r="V101" s="13">
        <f t="shared" si="8"/>
        <v>4</v>
      </c>
      <c r="W101" s="13">
        <f t="shared" si="9"/>
        <v>1</v>
      </c>
    </row>
    <row r="102" spans="1:23" x14ac:dyDescent="0.25">
      <c r="A102" s="1">
        <v>98</v>
      </c>
      <c r="B102" s="15" t="s">
        <v>311</v>
      </c>
      <c r="C102" s="37">
        <v>46135</v>
      </c>
      <c r="D102" s="15" t="s">
        <v>1</v>
      </c>
      <c r="E102" s="15" t="s">
        <v>2</v>
      </c>
      <c r="F102" s="15" t="s">
        <v>334</v>
      </c>
      <c r="G102" s="15" t="s">
        <v>335</v>
      </c>
      <c r="H102" s="1">
        <v>2</v>
      </c>
      <c r="I102" s="43">
        <v>21949</v>
      </c>
      <c r="J102" s="43">
        <v>43898</v>
      </c>
      <c r="K102" s="12">
        <v>36445</v>
      </c>
      <c r="L102" s="15" t="s">
        <v>5</v>
      </c>
      <c r="M102" s="15" t="s">
        <v>336</v>
      </c>
      <c r="N102" s="15" t="s">
        <v>2</v>
      </c>
      <c r="O102" s="37">
        <v>46136</v>
      </c>
      <c r="P102" s="37">
        <v>46139</v>
      </c>
      <c r="Q102" s="15" t="s">
        <v>315</v>
      </c>
      <c r="R102" s="37">
        <v>46136</v>
      </c>
      <c r="S102" s="37">
        <v>46136</v>
      </c>
      <c r="T102" s="13">
        <f t="shared" si="7"/>
        <v>1</v>
      </c>
      <c r="U102" s="13">
        <f t="shared" si="10"/>
        <v>1</v>
      </c>
      <c r="V102" s="13">
        <f t="shared" si="8"/>
        <v>4</v>
      </c>
      <c r="W102" s="13">
        <f t="shared" si="9"/>
        <v>1</v>
      </c>
    </row>
    <row r="103" spans="1:23" x14ac:dyDescent="0.25">
      <c r="A103" s="1">
        <v>99</v>
      </c>
      <c r="B103" s="15" t="s">
        <v>337</v>
      </c>
      <c r="C103" s="37">
        <v>46136</v>
      </c>
      <c r="D103" s="15" t="s">
        <v>17</v>
      </c>
      <c r="E103" s="15" t="s">
        <v>18</v>
      </c>
      <c r="F103" s="15" t="s">
        <v>175</v>
      </c>
      <c r="G103" s="15" t="s">
        <v>245</v>
      </c>
      <c r="H103" s="1">
        <v>4</v>
      </c>
      <c r="I103" s="43">
        <v>2300000</v>
      </c>
      <c r="J103" s="43">
        <v>9200000</v>
      </c>
      <c r="K103" s="45">
        <v>9200000</v>
      </c>
      <c r="L103" s="15" t="s">
        <v>59</v>
      </c>
      <c r="M103" s="15" t="s">
        <v>177</v>
      </c>
      <c r="N103" s="15" t="s">
        <v>85</v>
      </c>
      <c r="O103" s="37">
        <v>46136</v>
      </c>
      <c r="P103" s="37">
        <v>46137</v>
      </c>
      <c r="Q103" s="15" t="s">
        <v>86</v>
      </c>
      <c r="R103" s="37">
        <v>46136</v>
      </c>
      <c r="S103" s="37">
        <v>46136</v>
      </c>
      <c r="T103" s="13">
        <f t="shared" si="7"/>
        <v>0</v>
      </c>
      <c r="U103" s="13">
        <f t="shared" si="10"/>
        <v>0</v>
      </c>
      <c r="V103" s="13">
        <f t="shared" si="8"/>
        <v>1</v>
      </c>
      <c r="W103" s="13">
        <f t="shared" si="9"/>
        <v>0</v>
      </c>
    </row>
    <row r="104" spans="1:23" x14ac:dyDescent="0.25">
      <c r="A104" s="1">
        <v>100</v>
      </c>
      <c r="B104" s="15" t="s">
        <v>338</v>
      </c>
      <c r="C104" s="37">
        <v>46136</v>
      </c>
      <c r="D104" s="15" t="s">
        <v>233</v>
      </c>
      <c r="E104" s="15" t="s">
        <v>234</v>
      </c>
      <c r="F104" s="19" t="s">
        <v>339</v>
      </c>
      <c r="G104" s="19" t="s">
        <v>340</v>
      </c>
      <c r="H104" s="1">
        <v>5</v>
      </c>
      <c r="I104" s="43">
        <v>3068</v>
      </c>
      <c r="J104" s="43">
        <v>15340</v>
      </c>
      <c r="K104" s="10">
        <v>15340</v>
      </c>
      <c r="L104" s="15" t="s">
        <v>5</v>
      </c>
      <c r="M104" s="38" t="s">
        <v>341</v>
      </c>
      <c r="N104" s="15" t="s">
        <v>234</v>
      </c>
      <c r="O104" s="37">
        <v>46136</v>
      </c>
      <c r="P104" s="37">
        <v>46139</v>
      </c>
      <c r="Q104" s="15" t="s">
        <v>342</v>
      </c>
      <c r="R104" s="37">
        <v>46136</v>
      </c>
      <c r="S104" s="37">
        <v>46136</v>
      </c>
      <c r="T104" s="13">
        <f t="shared" si="7"/>
        <v>0</v>
      </c>
      <c r="U104" s="13">
        <f t="shared" si="10"/>
        <v>0</v>
      </c>
      <c r="V104" s="13">
        <f t="shared" si="8"/>
        <v>3</v>
      </c>
      <c r="W104" s="13">
        <f t="shared" si="9"/>
        <v>0</v>
      </c>
    </row>
    <row r="105" spans="1:23" x14ac:dyDescent="0.25">
      <c r="A105" s="1">
        <v>101</v>
      </c>
      <c r="B105" s="15" t="s">
        <v>343</v>
      </c>
      <c r="C105" s="37">
        <v>46136</v>
      </c>
      <c r="D105" s="15" t="s">
        <v>17</v>
      </c>
      <c r="E105" s="15" t="s">
        <v>18</v>
      </c>
      <c r="F105" s="15" t="s">
        <v>344</v>
      </c>
      <c r="G105" s="15" t="s">
        <v>95</v>
      </c>
      <c r="H105" s="1">
        <v>1</v>
      </c>
      <c r="I105" s="43">
        <v>275000</v>
      </c>
      <c r="J105" s="43">
        <v>275000</v>
      </c>
      <c r="K105" s="43">
        <v>275000</v>
      </c>
      <c r="L105" s="15" t="s">
        <v>59</v>
      </c>
      <c r="M105" s="15" t="s">
        <v>84</v>
      </c>
      <c r="N105" s="15" t="s">
        <v>85</v>
      </c>
      <c r="O105" s="37">
        <v>46136</v>
      </c>
      <c r="P105" s="37">
        <v>46137</v>
      </c>
      <c r="Q105" s="15" t="s">
        <v>86</v>
      </c>
      <c r="R105" s="37">
        <v>46136</v>
      </c>
      <c r="S105" s="37">
        <v>46136</v>
      </c>
      <c r="T105" s="13">
        <f t="shared" si="7"/>
        <v>0</v>
      </c>
      <c r="U105" s="13">
        <f t="shared" si="10"/>
        <v>0</v>
      </c>
      <c r="V105" s="13">
        <f t="shared" si="8"/>
        <v>1</v>
      </c>
      <c r="W105" s="13">
        <f t="shared" si="9"/>
        <v>0</v>
      </c>
    </row>
    <row r="106" spans="1:23" x14ac:dyDescent="0.25">
      <c r="A106" s="1">
        <v>102</v>
      </c>
      <c r="B106" s="15" t="s">
        <v>347</v>
      </c>
      <c r="C106" s="37">
        <v>46136</v>
      </c>
      <c r="D106" s="15" t="s">
        <v>17</v>
      </c>
      <c r="E106" s="15" t="s">
        <v>18</v>
      </c>
      <c r="F106" s="15" t="s">
        <v>348</v>
      </c>
      <c r="G106" s="15" t="s">
        <v>349</v>
      </c>
      <c r="H106" s="1">
        <v>1</v>
      </c>
      <c r="I106" s="43">
        <v>49150</v>
      </c>
      <c r="J106" s="43">
        <v>49150</v>
      </c>
      <c r="K106" s="10">
        <v>38173</v>
      </c>
      <c r="L106" s="15" t="s">
        <v>5</v>
      </c>
      <c r="M106" s="15" t="s">
        <v>350</v>
      </c>
      <c r="N106" s="15" t="s">
        <v>75</v>
      </c>
      <c r="O106" s="37">
        <v>46137</v>
      </c>
      <c r="P106" s="37">
        <v>46140</v>
      </c>
      <c r="Q106" s="15" t="s">
        <v>351</v>
      </c>
      <c r="R106" s="37">
        <v>46137</v>
      </c>
      <c r="S106" s="37">
        <v>46137</v>
      </c>
      <c r="T106" s="13">
        <f t="shared" si="7"/>
        <v>1</v>
      </c>
      <c r="U106" s="13">
        <f t="shared" si="10"/>
        <v>1</v>
      </c>
      <c r="V106" s="13">
        <f t="shared" si="8"/>
        <v>4</v>
      </c>
      <c r="W106" s="13">
        <f t="shared" si="9"/>
        <v>1</v>
      </c>
    </row>
    <row r="107" spans="1:23" x14ac:dyDescent="0.25">
      <c r="A107" s="1">
        <v>103</v>
      </c>
      <c r="B107" s="15" t="s">
        <v>352</v>
      </c>
      <c r="C107" s="37">
        <v>46140</v>
      </c>
      <c r="D107" s="15" t="s">
        <v>17</v>
      </c>
      <c r="E107" s="15" t="s">
        <v>18</v>
      </c>
      <c r="F107" s="15" t="s">
        <v>353</v>
      </c>
      <c r="G107" s="15" t="s">
        <v>354</v>
      </c>
      <c r="H107" s="1">
        <v>1</v>
      </c>
      <c r="I107" s="10">
        <v>75000</v>
      </c>
      <c r="J107" s="10">
        <v>75000</v>
      </c>
      <c r="K107" s="10">
        <v>75000</v>
      </c>
      <c r="L107" s="15" t="s">
        <v>59</v>
      </c>
      <c r="M107" s="15" t="s">
        <v>92</v>
      </c>
      <c r="N107" s="15" t="s">
        <v>85</v>
      </c>
      <c r="O107" s="37">
        <v>46140</v>
      </c>
      <c r="P107" s="37">
        <v>46140</v>
      </c>
      <c r="Q107" s="15" t="s">
        <v>86</v>
      </c>
      <c r="R107" s="37">
        <v>46140</v>
      </c>
      <c r="S107" s="37">
        <v>46140</v>
      </c>
      <c r="T107" s="13">
        <f t="shared" si="7"/>
        <v>0</v>
      </c>
      <c r="U107" s="13">
        <f t="shared" si="10"/>
        <v>0</v>
      </c>
      <c r="V107" s="13">
        <f t="shared" si="8"/>
        <v>0</v>
      </c>
      <c r="W107" s="13">
        <f t="shared" si="9"/>
        <v>0</v>
      </c>
    </row>
    <row r="108" spans="1:23" x14ac:dyDescent="0.25">
      <c r="A108" s="1">
        <v>104</v>
      </c>
      <c r="B108" s="15" t="s">
        <v>352</v>
      </c>
      <c r="C108" s="37">
        <v>46140</v>
      </c>
      <c r="D108" s="15" t="s">
        <v>17</v>
      </c>
      <c r="E108" s="15" t="s">
        <v>18</v>
      </c>
      <c r="F108" s="15" t="s">
        <v>355</v>
      </c>
      <c r="G108" s="19" t="s">
        <v>356</v>
      </c>
      <c r="H108" s="1">
        <v>1</v>
      </c>
      <c r="I108" s="10">
        <v>430000</v>
      </c>
      <c r="J108" s="10">
        <v>430000</v>
      </c>
      <c r="K108" s="10">
        <v>430000</v>
      </c>
      <c r="L108" s="15" t="s">
        <v>59</v>
      </c>
      <c r="M108" s="15" t="s">
        <v>92</v>
      </c>
      <c r="N108" s="15" t="s">
        <v>85</v>
      </c>
      <c r="O108" s="37">
        <v>46140</v>
      </c>
      <c r="P108" s="37">
        <v>46140</v>
      </c>
      <c r="Q108" s="15" t="s">
        <v>86</v>
      </c>
      <c r="R108" s="37">
        <v>46140</v>
      </c>
      <c r="S108" s="37">
        <v>46140</v>
      </c>
      <c r="T108" s="13">
        <f t="shared" si="7"/>
        <v>0</v>
      </c>
      <c r="U108" s="13">
        <f t="shared" si="10"/>
        <v>0</v>
      </c>
      <c r="V108" s="13">
        <f t="shared" si="8"/>
        <v>0</v>
      </c>
      <c r="W108" s="13">
        <f t="shared" si="9"/>
        <v>0</v>
      </c>
    </row>
    <row r="109" spans="1:23" x14ac:dyDescent="0.25">
      <c r="A109" s="1">
        <v>105</v>
      </c>
      <c r="B109" s="15" t="s">
        <v>357</v>
      </c>
      <c r="C109" s="37">
        <v>46137</v>
      </c>
      <c r="D109" s="15" t="s">
        <v>1</v>
      </c>
      <c r="E109" s="15" t="s">
        <v>2</v>
      </c>
      <c r="F109" s="15" t="s">
        <v>358</v>
      </c>
      <c r="G109" s="19" t="s">
        <v>359</v>
      </c>
      <c r="H109" s="1">
        <v>2</v>
      </c>
      <c r="I109" s="43">
        <v>35200</v>
      </c>
      <c r="J109" s="10">
        <v>70400</v>
      </c>
      <c r="K109" s="10">
        <v>70400</v>
      </c>
      <c r="L109" s="15" t="s">
        <v>5</v>
      </c>
      <c r="M109" s="15" t="s">
        <v>360</v>
      </c>
      <c r="N109" s="15" t="s">
        <v>2</v>
      </c>
      <c r="O109" s="37">
        <v>46139</v>
      </c>
      <c r="P109" s="37">
        <v>46141</v>
      </c>
      <c r="Q109" s="15" t="s">
        <v>361</v>
      </c>
      <c r="R109" s="37">
        <v>46139</v>
      </c>
      <c r="S109" s="37">
        <v>46139</v>
      </c>
      <c r="T109" s="13">
        <f t="shared" si="7"/>
        <v>2</v>
      </c>
      <c r="U109" s="13">
        <f t="shared" si="10"/>
        <v>2</v>
      </c>
      <c r="V109" s="13">
        <f t="shared" si="8"/>
        <v>4</v>
      </c>
      <c r="W109" s="13">
        <f t="shared" si="9"/>
        <v>2</v>
      </c>
    </row>
    <row r="110" spans="1:23" x14ac:dyDescent="0.25">
      <c r="A110" s="1">
        <v>106</v>
      </c>
      <c r="B110" s="15" t="s">
        <v>362</v>
      </c>
      <c r="C110" s="37">
        <v>46136</v>
      </c>
      <c r="D110" s="15" t="s">
        <v>17</v>
      </c>
      <c r="E110" s="15" t="s">
        <v>18</v>
      </c>
      <c r="F110" s="15" t="s">
        <v>363</v>
      </c>
      <c r="G110" s="15" t="s">
        <v>364</v>
      </c>
      <c r="H110" s="1">
        <v>1</v>
      </c>
      <c r="I110" s="10">
        <v>66900</v>
      </c>
      <c r="J110" s="10">
        <v>66900</v>
      </c>
      <c r="K110" s="10">
        <v>66900</v>
      </c>
      <c r="L110" s="15" t="s">
        <v>5</v>
      </c>
      <c r="M110" s="15" t="s">
        <v>365</v>
      </c>
      <c r="N110" s="15" t="s">
        <v>18</v>
      </c>
      <c r="O110" s="37">
        <v>46137</v>
      </c>
      <c r="P110" s="37">
        <v>46139</v>
      </c>
      <c r="Q110" s="15" t="s">
        <v>366</v>
      </c>
      <c r="R110" s="37">
        <v>46137</v>
      </c>
      <c r="S110" s="37">
        <v>46137</v>
      </c>
      <c r="T110" s="13">
        <f t="shared" si="7"/>
        <v>1</v>
      </c>
      <c r="U110" s="13">
        <f t="shared" si="10"/>
        <v>1</v>
      </c>
      <c r="V110" s="13">
        <f t="shared" si="8"/>
        <v>3</v>
      </c>
      <c r="W110" s="13">
        <f t="shared" si="9"/>
        <v>1</v>
      </c>
    </row>
    <row r="111" spans="1:23" x14ac:dyDescent="0.25">
      <c r="A111" s="1">
        <v>107</v>
      </c>
      <c r="B111" s="15" t="s">
        <v>367</v>
      </c>
      <c r="C111" s="37">
        <v>46141</v>
      </c>
      <c r="D111" s="15" t="s">
        <v>208</v>
      </c>
      <c r="E111" s="15" t="s">
        <v>209</v>
      </c>
      <c r="F111" s="15" t="s">
        <v>368</v>
      </c>
      <c r="G111" s="15" t="s">
        <v>369</v>
      </c>
      <c r="H111" s="1">
        <v>1</v>
      </c>
      <c r="I111" s="10">
        <v>6000</v>
      </c>
      <c r="J111" s="10">
        <v>6000</v>
      </c>
      <c r="K111" s="10">
        <v>6000</v>
      </c>
      <c r="L111" s="15" t="s">
        <v>59</v>
      </c>
      <c r="M111" s="15" t="s">
        <v>370</v>
      </c>
      <c r="N111" s="15" t="s">
        <v>209</v>
      </c>
      <c r="O111" s="37">
        <v>46141</v>
      </c>
      <c r="P111" s="37">
        <v>46141</v>
      </c>
      <c r="Q111" s="15" t="s">
        <v>371</v>
      </c>
      <c r="R111" s="37">
        <v>46141</v>
      </c>
      <c r="S111" s="37">
        <v>46141</v>
      </c>
      <c r="T111" s="13">
        <f t="shared" si="7"/>
        <v>0</v>
      </c>
      <c r="U111" s="13">
        <f t="shared" si="10"/>
        <v>0</v>
      </c>
      <c r="V111" s="13">
        <f t="shared" si="8"/>
        <v>0</v>
      </c>
      <c r="W111" s="13">
        <f t="shared" si="9"/>
        <v>0</v>
      </c>
    </row>
    <row r="112" spans="1:23" x14ac:dyDescent="0.25">
      <c r="A112" s="1">
        <v>108</v>
      </c>
      <c r="B112" s="15" t="s">
        <v>372</v>
      </c>
      <c r="C112" s="37">
        <v>46140</v>
      </c>
      <c r="D112" s="15" t="s">
        <v>1</v>
      </c>
      <c r="E112" s="15" t="s">
        <v>373</v>
      </c>
      <c r="F112" s="15" t="s">
        <v>374</v>
      </c>
      <c r="G112" s="15" t="s">
        <v>375</v>
      </c>
      <c r="H112" s="1">
        <v>2</v>
      </c>
      <c r="I112" s="43">
        <v>181900</v>
      </c>
      <c r="J112" s="43">
        <v>363800</v>
      </c>
      <c r="K112" s="10">
        <v>343900</v>
      </c>
      <c r="L112" s="15" t="s">
        <v>5</v>
      </c>
      <c r="M112" s="15" t="s">
        <v>314</v>
      </c>
      <c r="N112" s="15" t="s">
        <v>2</v>
      </c>
      <c r="O112" s="37">
        <v>46140</v>
      </c>
      <c r="P112" s="37">
        <v>46142</v>
      </c>
      <c r="Q112" s="15" t="s">
        <v>376</v>
      </c>
      <c r="R112" s="37">
        <v>46140</v>
      </c>
      <c r="S112" s="37">
        <v>46140</v>
      </c>
      <c r="T112" s="13">
        <f t="shared" si="7"/>
        <v>0</v>
      </c>
      <c r="U112" s="13">
        <f t="shared" si="10"/>
        <v>0</v>
      </c>
      <c r="V112" s="13">
        <f t="shared" si="8"/>
        <v>2</v>
      </c>
      <c r="W112" s="13">
        <f t="shared" si="9"/>
        <v>0</v>
      </c>
    </row>
    <row r="113" spans="1:23" x14ac:dyDescent="0.25">
      <c r="A113" s="1">
        <v>109</v>
      </c>
      <c r="B113" s="15" t="s">
        <v>377</v>
      </c>
      <c r="C113" s="37">
        <v>46139</v>
      </c>
      <c r="D113" s="15" t="s">
        <v>17</v>
      </c>
      <c r="E113" s="15" t="s">
        <v>18</v>
      </c>
      <c r="F113" s="15" t="s">
        <v>215</v>
      </c>
      <c r="G113" s="15" t="s">
        <v>302</v>
      </c>
      <c r="H113" s="1">
        <v>20</v>
      </c>
      <c r="I113" s="43">
        <v>28750</v>
      </c>
      <c r="J113" s="43">
        <v>575000</v>
      </c>
      <c r="K113" s="10">
        <v>512364</v>
      </c>
      <c r="L113" s="15" t="s">
        <v>5</v>
      </c>
      <c r="M113" s="15" t="s">
        <v>378</v>
      </c>
      <c r="N113" s="15" t="s">
        <v>18</v>
      </c>
      <c r="O113" s="37">
        <v>46140</v>
      </c>
      <c r="P113" s="37">
        <v>46144</v>
      </c>
      <c r="Q113" s="15" t="s">
        <v>379</v>
      </c>
      <c r="R113" s="37">
        <v>46140</v>
      </c>
      <c r="S113" s="37">
        <v>46140</v>
      </c>
      <c r="T113" s="13">
        <f t="shared" si="7"/>
        <v>1</v>
      </c>
      <c r="U113" s="13">
        <f t="shared" si="10"/>
        <v>1</v>
      </c>
      <c r="V113" s="13">
        <f t="shared" si="8"/>
        <v>5</v>
      </c>
      <c r="W113" s="13">
        <f t="shared" si="9"/>
        <v>1</v>
      </c>
    </row>
    <row r="114" spans="1:23" x14ac:dyDescent="0.25">
      <c r="A114" s="1">
        <v>110</v>
      </c>
      <c r="B114" s="15" t="s">
        <v>380</v>
      </c>
      <c r="C114" s="37">
        <v>46139</v>
      </c>
      <c r="D114" s="15" t="s">
        <v>17</v>
      </c>
      <c r="E114" s="15" t="s">
        <v>18</v>
      </c>
      <c r="F114" s="15" t="s">
        <v>381</v>
      </c>
      <c r="G114" s="15" t="s">
        <v>382</v>
      </c>
      <c r="H114" s="1">
        <v>30</v>
      </c>
      <c r="I114" s="15">
        <v>239</v>
      </c>
      <c r="J114" s="43">
        <v>7170</v>
      </c>
      <c r="K114" s="10">
        <v>4933</v>
      </c>
      <c r="L114" s="15" t="s">
        <v>5</v>
      </c>
      <c r="M114" s="15" t="s">
        <v>383</v>
      </c>
      <c r="N114" s="15" t="s">
        <v>75</v>
      </c>
      <c r="O114" s="37">
        <v>46140</v>
      </c>
      <c r="P114" s="37">
        <v>46144</v>
      </c>
      <c r="Q114" s="15" t="s">
        <v>310</v>
      </c>
      <c r="R114" s="37">
        <v>46140</v>
      </c>
      <c r="S114" s="37">
        <v>46140</v>
      </c>
      <c r="T114" s="13">
        <f t="shared" si="7"/>
        <v>1</v>
      </c>
      <c r="U114" s="13">
        <f t="shared" si="10"/>
        <v>1</v>
      </c>
      <c r="V114" s="13">
        <f t="shared" si="8"/>
        <v>5</v>
      </c>
      <c r="W114" s="13">
        <f t="shared" si="9"/>
        <v>1</v>
      </c>
    </row>
    <row r="115" spans="1:23" x14ac:dyDescent="0.25">
      <c r="A115" s="1">
        <v>111</v>
      </c>
      <c r="B115" s="15" t="s">
        <v>384</v>
      </c>
      <c r="C115" s="37">
        <v>46139</v>
      </c>
      <c r="D115" s="15" t="s">
        <v>55</v>
      </c>
      <c r="E115" s="15" t="s">
        <v>56</v>
      </c>
      <c r="F115" s="15" t="s">
        <v>385</v>
      </c>
      <c r="G115" s="15" t="s">
        <v>386</v>
      </c>
      <c r="H115" s="13">
        <v>5375</v>
      </c>
      <c r="I115" s="15">
        <v>200</v>
      </c>
      <c r="J115" s="43">
        <v>1075000</v>
      </c>
      <c r="K115" s="10">
        <v>1007253</v>
      </c>
      <c r="L115" s="15" t="s">
        <v>5</v>
      </c>
      <c r="M115" s="15" t="s">
        <v>387</v>
      </c>
      <c r="N115" s="15" t="s">
        <v>388</v>
      </c>
      <c r="O115" s="37">
        <v>46140</v>
      </c>
      <c r="P115" s="37">
        <v>46142</v>
      </c>
      <c r="Q115" s="15" t="s">
        <v>389</v>
      </c>
      <c r="R115" s="37">
        <v>46140</v>
      </c>
      <c r="S115" s="37">
        <v>46140</v>
      </c>
      <c r="T115" s="13">
        <f t="shared" si="7"/>
        <v>1</v>
      </c>
      <c r="U115" s="13">
        <f t="shared" si="10"/>
        <v>1</v>
      </c>
      <c r="V115" s="13">
        <f t="shared" si="8"/>
        <v>3</v>
      </c>
      <c r="W115" s="13">
        <f t="shared" si="9"/>
        <v>1</v>
      </c>
    </row>
    <row r="116" spans="1:23" x14ac:dyDescent="0.25">
      <c r="A116" s="1">
        <v>112</v>
      </c>
      <c r="B116" s="15" t="s">
        <v>390</v>
      </c>
      <c r="C116" s="37">
        <v>46141</v>
      </c>
      <c r="D116" s="15" t="s">
        <v>121</v>
      </c>
      <c r="E116" s="15" t="s">
        <v>122</v>
      </c>
      <c r="F116" s="15" t="s">
        <v>391</v>
      </c>
      <c r="G116" s="15" t="s">
        <v>392</v>
      </c>
      <c r="H116" s="1">
        <v>1</v>
      </c>
      <c r="I116" s="10">
        <v>3500000</v>
      </c>
      <c r="J116" s="10">
        <v>3500000</v>
      </c>
      <c r="K116" s="10">
        <v>3500000</v>
      </c>
      <c r="L116" s="15" t="s">
        <v>59</v>
      </c>
      <c r="M116" s="15" t="s">
        <v>393</v>
      </c>
      <c r="N116" s="15" t="s">
        <v>346</v>
      </c>
      <c r="O116" s="37">
        <v>46141</v>
      </c>
      <c r="P116" s="37">
        <v>46144</v>
      </c>
      <c r="Q116" s="15" t="s">
        <v>394</v>
      </c>
      <c r="R116" s="37">
        <v>46141</v>
      </c>
      <c r="S116" s="37">
        <v>46141</v>
      </c>
      <c r="T116" s="25">
        <f t="shared" si="7"/>
        <v>0</v>
      </c>
      <c r="U116" s="25">
        <f t="shared" si="10"/>
        <v>0</v>
      </c>
      <c r="V116" s="25">
        <f t="shared" si="8"/>
        <v>3</v>
      </c>
      <c r="W116" s="25">
        <f t="shared" si="9"/>
        <v>0</v>
      </c>
    </row>
    <row r="117" spans="1:23" x14ac:dyDescent="0.25">
      <c r="A117" s="1">
        <v>113</v>
      </c>
      <c r="B117" s="15" t="s">
        <v>395</v>
      </c>
      <c r="C117" s="37">
        <v>46141</v>
      </c>
      <c r="D117" s="15" t="s">
        <v>17</v>
      </c>
      <c r="E117" s="15" t="s">
        <v>18</v>
      </c>
      <c r="F117" s="15" t="s">
        <v>191</v>
      </c>
      <c r="G117" s="19" t="s">
        <v>245</v>
      </c>
      <c r="H117" s="1">
        <v>2</v>
      </c>
      <c r="I117" s="43">
        <v>105000</v>
      </c>
      <c r="J117" s="43">
        <v>210000</v>
      </c>
      <c r="K117" s="43">
        <v>210000</v>
      </c>
      <c r="L117" s="15" t="s">
        <v>59</v>
      </c>
      <c r="M117" s="15" t="s">
        <v>96</v>
      </c>
      <c r="N117" s="15" t="s">
        <v>85</v>
      </c>
      <c r="O117" s="37">
        <v>46141</v>
      </c>
      <c r="P117" s="37">
        <v>46142</v>
      </c>
      <c r="Q117" s="15" t="s">
        <v>86</v>
      </c>
      <c r="R117" s="37">
        <v>46142</v>
      </c>
      <c r="S117" s="37">
        <v>46141</v>
      </c>
      <c r="T117" s="25">
        <f t="shared" si="7"/>
        <v>0</v>
      </c>
      <c r="U117" s="25">
        <f t="shared" si="10"/>
        <v>1</v>
      </c>
      <c r="V117" s="25">
        <f t="shared" si="8"/>
        <v>1</v>
      </c>
      <c r="W117" s="25">
        <f t="shared" si="9"/>
        <v>0</v>
      </c>
    </row>
    <row r="118" spans="1:23" x14ac:dyDescent="0.25">
      <c r="A118" s="1">
        <v>114</v>
      </c>
      <c r="B118" s="15" t="s">
        <v>396</v>
      </c>
      <c r="C118" s="37">
        <v>46141</v>
      </c>
      <c r="D118" s="15" t="s">
        <v>1</v>
      </c>
      <c r="E118" s="15" t="s">
        <v>2</v>
      </c>
      <c r="F118" s="15" t="s">
        <v>397</v>
      </c>
      <c r="G118" s="15" t="s">
        <v>398</v>
      </c>
      <c r="H118" s="1">
        <v>1</v>
      </c>
      <c r="I118" s="43">
        <v>220800</v>
      </c>
      <c r="J118" s="43">
        <v>220800</v>
      </c>
      <c r="K118" s="10"/>
      <c r="L118" s="15" t="s">
        <v>5</v>
      </c>
      <c r="M118" s="15" t="s">
        <v>399</v>
      </c>
      <c r="N118" s="15" t="s">
        <v>2</v>
      </c>
      <c r="O118" s="37">
        <v>46141</v>
      </c>
      <c r="P118" s="37">
        <v>46146</v>
      </c>
      <c r="Q118" s="15" t="s">
        <v>400</v>
      </c>
      <c r="R118" s="37">
        <v>46141</v>
      </c>
      <c r="S118" s="37">
        <v>46141</v>
      </c>
      <c r="T118" s="25">
        <f t="shared" si="7"/>
        <v>0</v>
      </c>
      <c r="U118" s="25">
        <f t="shared" si="10"/>
        <v>0</v>
      </c>
      <c r="V118" s="25">
        <f t="shared" si="8"/>
        <v>5</v>
      </c>
      <c r="W118" s="25">
        <f t="shared" si="9"/>
        <v>0</v>
      </c>
    </row>
    <row r="119" spans="1:23" x14ac:dyDescent="0.25">
      <c r="A119" s="1">
        <v>115</v>
      </c>
      <c r="B119" s="38" t="s">
        <v>401</v>
      </c>
      <c r="C119" s="37">
        <v>46142</v>
      </c>
      <c r="D119" s="15" t="s">
        <v>17</v>
      </c>
      <c r="E119" s="15" t="s">
        <v>18</v>
      </c>
      <c r="F119" s="15" t="s">
        <v>402</v>
      </c>
      <c r="G119" s="15" t="s">
        <v>403</v>
      </c>
      <c r="H119" s="1">
        <v>2</v>
      </c>
      <c r="I119" s="43">
        <v>5080</v>
      </c>
      <c r="J119" s="43">
        <v>10160</v>
      </c>
      <c r="K119" s="45">
        <v>10160</v>
      </c>
      <c r="L119" s="15" t="s">
        <v>5</v>
      </c>
      <c r="M119" s="38" t="s">
        <v>404</v>
      </c>
      <c r="N119" s="15" t="s">
        <v>18</v>
      </c>
      <c r="O119" s="37">
        <v>46142</v>
      </c>
      <c r="P119" s="37">
        <v>46144</v>
      </c>
      <c r="Q119" s="15" t="s">
        <v>284</v>
      </c>
      <c r="R119" s="37">
        <v>46142</v>
      </c>
      <c r="S119" s="37">
        <v>46142</v>
      </c>
      <c r="T119" s="25">
        <f t="shared" si="7"/>
        <v>0</v>
      </c>
      <c r="U119" s="25">
        <f t="shared" si="10"/>
        <v>0</v>
      </c>
      <c r="V119" s="25">
        <f t="shared" si="8"/>
        <v>2</v>
      </c>
      <c r="W119" s="25">
        <f t="shared" si="9"/>
        <v>0</v>
      </c>
    </row>
    <row r="120" spans="1:23" x14ac:dyDescent="0.25">
      <c r="A120" s="1">
        <v>116</v>
      </c>
      <c r="B120" s="19" t="s">
        <v>405</v>
      </c>
      <c r="C120" s="24">
        <v>46142</v>
      </c>
      <c r="D120" s="19" t="s">
        <v>17</v>
      </c>
      <c r="E120" s="19" t="s">
        <v>18</v>
      </c>
      <c r="F120" s="19" t="s">
        <v>406</v>
      </c>
      <c r="G120" s="6" t="s">
        <v>407</v>
      </c>
      <c r="H120" s="21">
        <v>3</v>
      </c>
      <c r="I120" s="5">
        <v>97820</v>
      </c>
      <c r="J120" s="5">
        <v>293460</v>
      </c>
      <c r="K120" s="10">
        <v>285766</v>
      </c>
      <c r="L120" s="19" t="s">
        <v>5</v>
      </c>
      <c r="M120" s="19" t="s">
        <v>408</v>
      </c>
      <c r="N120" s="19" t="s">
        <v>18</v>
      </c>
      <c r="O120" s="24">
        <v>46144</v>
      </c>
      <c r="P120" s="24">
        <v>46146</v>
      </c>
      <c r="Q120" s="19" t="s">
        <v>409</v>
      </c>
      <c r="R120" s="24">
        <v>46144</v>
      </c>
      <c r="S120" s="24">
        <v>46144</v>
      </c>
      <c r="T120" s="26">
        <f t="shared" si="7"/>
        <v>2</v>
      </c>
      <c r="U120" s="26">
        <f t="shared" si="10"/>
        <v>2</v>
      </c>
      <c r="V120" s="26">
        <f t="shared" si="8"/>
        <v>4</v>
      </c>
      <c r="W120" s="26">
        <f t="shared" si="9"/>
        <v>2</v>
      </c>
    </row>
    <row r="121" spans="1:23" x14ac:dyDescent="0.25">
      <c r="A121" s="1">
        <v>117</v>
      </c>
      <c r="B121" s="15" t="s">
        <v>410</v>
      </c>
      <c r="C121" s="24">
        <v>46142</v>
      </c>
      <c r="D121" s="19" t="s">
        <v>17</v>
      </c>
      <c r="E121" s="19" t="s">
        <v>18</v>
      </c>
      <c r="F121" s="19" t="s">
        <v>411</v>
      </c>
      <c r="G121" s="15" t="s">
        <v>412</v>
      </c>
      <c r="H121" s="21">
        <v>1</v>
      </c>
      <c r="I121" s="43">
        <v>350000</v>
      </c>
      <c r="J121" s="43">
        <v>350000</v>
      </c>
      <c r="K121" s="43">
        <v>350000</v>
      </c>
      <c r="L121" s="15" t="s">
        <v>59</v>
      </c>
      <c r="M121" s="15" t="s">
        <v>96</v>
      </c>
      <c r="N121" s="15" t="s">
        <v>85</v>
      </c>
      <c r="O121" s="24">
        <v>46142</v>
      </c>
      <c r="P121" s="37">
        <v>46144</v>
      </c>
      <c r="Q121" s="15" t="s">
        <v>86</v>
      </c>
      <c r="R121" s="24">
        <v>46142</v>
      </c>
      <c r="S121" s="24">
        <v>46142</v>
      </c>
      <c r="T121" s="26">
        <f t="shared" si="7"/>
        <v>0</v>
      </c>
      <c r="U121" s="26">
        <f t="shared" si="10"/>
        <v>0</v>
      </c>
      <c r="V121" s="26">
        <f t="shared" si="8"/>
        <v>2</v>
      </c>
      <c r="W121" s="26">
        <f t="shared" si="9"/>
        <v>0</v>
      </c>
    </row>
    <row r="122" spans="1:23" x14ac:dyDescent="0.25">
      <c r="A122" s="1">
        <v>118</v>
      </c>
      <c r="B122" s="15" t="s">
        <v>410</v>
      </c>
      <c r="C122" s="24">
        <v>46142</v>
      </c>
      <c r="D122" s="19" t="s">
        <v>17</v>
      </c>
      <c r="E122" s="19" t="s">
        <v>18</v>
      </c>
      <c r="F122" s="15" t="s">
        <v>413</v>
      </c>
      <c r="G122" s="15" t="s">
        <v>412</v>
      </c>
      <c r="H122" s="21">
        <v>1</v>
      </c>
      <c r="I122" s="43">
        <v>2100000</v>
      </c>
      <c r="J122" s="43">
        <v>2100000</v>
      </c>
      <c r="K122" s="43">
        <v>2100000</v>
      </c>
      <c r="L122" s="15" t="s">
        <v>59</v>
      </c>
      <c r="M122" s="15" t="s">
        <v>96</v>
      </c>
      <c r="N122" s="15" t="s">
        <v>85</v>
      </c>
      <c r="O122" s="24">
        <v>46142</v>
      </c>
      <c r="P122" s="37">
        <v>46144</v>
      </c>
      <c r="Q122" s="15" t="s">
        <v>86</v>
      </c>
      <c r="R122" s="24">
        <v>46142</v>
      </c>
      <c r="S122" s="24">
        <v>46142</v>
      </c>
      <c r="T122" s="26">
        <f t="shared" si="7"/>
        <v>0</v>
      </c>
      <c r="U122" s="26">
        <f t="shared" si="10"/>
        <v>0</v>
      </c>
      <c r="V122" s="26">
        <f t="shared" si="8"/>
        <v>2</v>
      </c>
      <c r="W122" s="26">
        <f t="shared" si="9"/>
        <v>0</v>
      </c>
    </row>
    <row r="123" spans="1:23" x14ac:dyDescent="0.25">
      <c r="S123" s="51" t="s">
        <v>440</v>
      </c>
      <c r="T123" s="52">
        <f>AVERAGE(T5:T122)</f>
        <v>0.55238935969865155</v>
      </c>
      <c r="U123" s="52">
        <f>AVERAGE(U5:U122)</f>
        <v>0.68008474576271183</v>
      </c>
      <c r="V123" s="52">
        <f>AVERAGE(V5:V122)</f>
        <v>2.9427966101694913</v>
      </c>
      <c r="W123" s="52">
        <f>AVERAGE(W5:W122)</f>
        <v>0.25635593220338981</v>
      </c>
    </row>
  </sheetData>
  <pageMargins left="0.7" right="0.7" top="0.75" bottom="0.75" header="0.3" footer="0.3"/>
  <pageSetup paperSize="1000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4"/>
  <sheetViews>
    <sheetView topLeftCell="A150" zoomScale="110" zoomScaleNormal="110" workbookViewId="0">
      <selection activeCell="L173" sqref="L173"/>
    </sheetView>
  </sheetViews>
  <sheetFormatPr defaultRowHeight="12" x14ac:dyDescent="0.2"/>
  <cols>
    <col min="1" max="1" width="3.85546875" style="56" customWidth="1"/>
    <col min="2" max="2" width="20.28515625" style="56" customWidth="1"/>
    <col min="3" max="3" width="24.42578125" style="56" customWidth="1"/>
    <col min="4" max="4" width="8.85546875" style="56" customWidth="1"/>
    <col min="5" max="5" width="6.85546875" style="65" customWidth="1"/>
    <col min="6" max="6" width="7.140625" style="65" customWidth="1"/>
    <col min="7" max="7" width="7.28515625" style="65" customWidth="1"/>
    <col min="8" max="8" width="6.140625" style="56" customWidth="1"/>
    <col min="9" max="9" width="15.85546875" style="56" customWidth="1"/>
    <col min="10" max="16384" width="9.140625" style="56"/>
  </cols>
  <sheetData>
    <row r="1" spans="1:9" x14ac:dyDescent="0.2">
      <c r="A1" s="53"/>
      <c r="B1" s="54" t="s">
        <v>441</v>
      </c>
      <c r="C1" s="53"/>
      <c r="D1" s="53"/>
      <c r="E1" s="55"/>
      <c r="F1" s="55"/>
      <c r="G1" s="55"/>
      <c r="H1" s="53"/>
      <c r="I1" s="53"/>
    </row>
    <row r="2" spans="1:9" x14ac:dyDescent="0.2">
      <c r="A2" s="53"/>
      <c r="B2" s="53" t="s">
        <v>442</v>
      </c>
      <c r="C2" s="53" t="s">
        <v>443</v>
      </c>
      <c r="D2" s="53"/>
      <c r="E2" s="55"/>
      <c r="F2" s="55"/>
      <c r="G2" s="55"/>
      <c r="H2" s="53"/>
      <c r="I2" s="53"/>
    </row>
    <row r="3" spans="1:9" x14ac:dyDescent="0.2">
      <c r="A3" s="53"/>
      <c r="B3" s="53" t="s">
        <v>444</v>
      </c>
      <c r="C3" s="53" t="s">
        <v>445</v>
      </c>
      <c r="D3" s="53"/>
      <c r="E3" s="55"/>
      <c r="F3" s="55"/>
      <c r="G3" s="55"/>
      <c r="H3" s="53" t="s">
        <v>446</v>
      </c>
      <c r="I3" s="53"/>
    </row>
    <row r="4" spans="1:9" x14ac:dyDescent="0.2">
      <c r="A4" s="57" t="s">
        <v>416</v>
      </c>
      <c r="B4" s="57" t="s">
        <v>421</v>
      </c>
      <c r="C4" s="57" t="s">
        <v>422</v>
      </c>
      <c r="D4" s="57" t="s">
        <v>447</v>
      </c>
      <c r="E4" s="57" t="s">
        <v>448</v>
      </c>
      <c r="F4" s="57" t="s">
        <v>449</v>
      </c>
      <c r="G4" s="57" t="s">
        <v>450</v>
      </c>
      <c r="H4" s="57" t="s">
        <v>451</v>
      </c>
      <c r="I4" s="57" t="s">
        <v>452</v>
      </c>
    </row>
    <row r="5" spans="1:9" x14ac:dyDescent="0.2">
      <c r="A5" s="58">
        <v>1</v>
      </c>
      <c r="B5" s="59" t="s">
        <v>285</v>
      </c>
      <c r="C5" s="59" t="s">
        <v>290</v>
      </c>
      <c r="D5" s="59" t="s">
        <v>453</v>
      </c>
      <c r="E5" s="58">
        <v>11</v>
      </c>
      <c r="F5" s="58">
        <v>11</v>
      </c>
      <c r="G5" s="58"/>
      <c r="H5" s="59" t="s">
        <v>454</v>
      </c>
      <c r="I5" s="59"/>
    </row>
    <row r="6" spans="1:9" x14ac:dyDescent="0.2">
      <c r="A6" s="58">
        <v>2</v>
      </c>
      <c r="B6" s="59" t="s">
        <v>455</v>
      </c>
      <c r="C6" s="59" t="s">
        <v>128</v>
      </c>
      <c r="D6" s="59" t="s">
        <v>453</v>
      </c>
      <c r="E6" s="58">
        <v>9</v>
      </c>
      <c r="F6" s="58">
        <v>9</v>
      </c>
      <c r="G6" s="58"/>
      <c r="H6" s="59" t="s">
        <v>456</v>
      </c>
      <c r="I6" s="59"/>
    </row>
    <row r="7" spans="1:9" x14ac:dyDescent="0.2">
      <c r="A7" s="58">
        <v>3</v>
      </c>
      <c r="B7" s="59" t="s">
        <v>215</v>
      </c>
      <c r="C7" s="59"/>
      <c r="D7" s="59" t="s">
        <v>453</v>
      </c>
      <c r="E7" s="58">
        <v>4</v>
      </c>
      <c r="F7" s="58">
        <v>4</v>
      </c>
      <c r="G7" s="58"/>
      <c r="H7" s="59" t="s">
        <v>454</v>
      </c>
      <c r="I7" s="59"/>
    </row>
    <row r="8" spans="1:9" x14ac:dyDescent="0.2">
      <c r="A8" s="58">
        <v>4</v>
      </c>
      <c r="B8" s="59" t="s">
        <v>457</v>
      </c>
      <c r="C8" s="59" t="s">
        <v>236</v>
      </c>
      <c r="D8" s="59" t="s">
        <v>453</v>
      </c>
      <c r="E8" s="58">
        <v>9</v>
      </c>
      <c r="F8" s="58">
        <v>9</v>
      </c>
      <c r="G8" s="58"/>
      <c r="H8" s="59" t="s">
        <v>454</v>
      </c>
      <c r="I8" s="59"/>
    </row>
    <row r="9" spans="1:9" x14ac:dyDescent="0.2">
      <c r="A9" s="58">
        <v>5</v>
      </c>
      <c r="B9" s="59" t="s">
        <v>458</v>
      </c>
      <c r="C9" s="59" t="s">
        <v>459</v>
      </c>
      <c r="D9" s="59" t="s">
        <v>453</v>
      </c>
      <c r="E9" s="58">
        <v>75</v>
      </c>
      <c r="F9" s="58">
        <v>75</v>
      </c>
      <c r="G9" s="58"/>
      <c r="H9" s="59" t="s">
        <v>460</v>
      </c>
      <c r="I9" s="59"/>
    </row>
    <row r="10" spans="1:9" x14ac:dyDescent="0.2">
      <c r="A10" s="58">
        <v>6</v>
      </c>
      <c r="B10" s="59" t="s">
        <v>461</v>
      </c>
      <c r="C10" s="59" t="s">
        <v>462</v>
      </c>
      <c r="D10" s="59" t="s">
        <v>453</v>
      </c>
      <c r="E10" s="58">
        <v>5</v>
      </c>
      <c r="F10" s="58">
        <v>5</v>
      </c>
      <c r="G10" s="58"/>
      <c r="H10" s="59" t="s">
        <v>456</v>
      </c>
      <c r="I10" s="59"/>
    </row>
    <row r="11" spans="1:9" x14ac:dyDescent="0.2">
      <c r="A11" s="58">
        <v>7</v>
      </c>
      <c r="B11" s="59" t="s">
        <v>461</v>
      </c>
      <c r="C11" s="59" t="s">
        <v>135</v>
      </c>
      <c r="D11" s="59" t="s">
        <v>453</v>
      </c>
      <c r="E11" s="58">
        <v>10</v>
      </c>
      <c r="F11" s="58">
        <v>10</v>
      </c>
      <c r="G11" s="58"/>
      <c r="H11" s="59" t="s">
        <v>456</v>
      </c>
      <c r="I11" s="59"/>
    </row>
    <row r="12" spans="1:9" x14ac:dyDescent="0.2">
      <c r="A12" s="58">
        <v>8</v>
      </c>
      <c r="B12" s="59" t="s">
        <v>134</v>
      </c>
      <c r="C12" s="59" t="s">
        <v>149</v>
      </c>
      <c r="D12" s="59" t="s">
        <v>453</v>
      </c>
      <c r="E12" s="58">
        <v>10</v>
      </c>
      <c r="F12" s="58">
        <v>10</v>
      </c>
      <c r="G12" s="58"/>
      <c r="H12" s="59" t="s">
        <v>456</v>
      </c>
      <c r="I12" s="59"/>
    </row>
    <row r="13" spans="1:9" x14ac:dyDescent="0.2">
      <c r="A13" s="58">
        <v>9</v>
      </c>
      <c r="B13" s="59" t="s">
        <v>463</v>
      </c>
      <c r="C13" s="59" t="s">
        <v>142</v>
      </c>
      <c r="D13" s="59" t="s">
        <v>453</v>
      </c>
      <c r="E13" s="58">
        <v>7</v>
      </c>
      <c r="F13" s="58">
        <v>7</v>
      </c>
      <c r="G13" s="58"/>
      <c r="H13" s="59" t="s">
        <v>454</v>
      </c>
      <c r="I13" s="59"/>
    </row>
    <row r="14" spans="1:9" x14ac:dyDescent="0.2">
      <c r="A14" s="58">
        <v>10</v>
      </c>
      <c r="B14" s="59" t="s">
        <v>339</v>
      </c>
      <c r="C14" s="59" t="s">
        <v>340</v>
      </c>
      <c r="D14" s="59" t="s">
        <v>453</v>
      </c>
      <c r="E14" s="58">
        <v>4</v>
      </c>
      <c r="F14" s="58">
        <v>4</v>
      </c>
      <c r="G14" s="58"/>
      <c r="H14" s="59" t="s">
        <v>454</v>
      </c>
      <c r="I14" s="59"/>
    </row>
    <row r="15" spans="1:9" x14ac:dyDescent="0.2">
      <c r="A15" s="58">
        <v>12</v>
      </c>
      <c r="B15" s="59" t="s">
        <v>464</v>
      </c>
      <c r="C15" s="59" t="s">
        <v>146</v>
      </c>
      <c r="D15" s="59" t="s">
        <v>453</v>
      </c>
      <c r="E15" s="58">
        <v>5</v>
      </c>
      <c r="F15" s="58">
        <v>5</v>
      </c>
      <c r="G15" s="58"/>
      <c r="H15" s="59" t="s">
        <v>456</v>
      </c>
      <c r="I15" s="59"/>
    </row>
    <row r="16" spans="1:9" x14ac:dyDescent="0.2">
      <c r="A16" s="58">
        <v>14</v>
      </c>
      <c r="B16" s="59" t="s">
        <v>465</v>
      </c>
      <c r="C16" s="59">
        <v>8758</v>
      </c>
      <c r="D16" s="59" t="s">
        <v>453</v>
      </c>
      <c r="E16" s="58">
        <v>11</v>
      </c>
      <c r="F16" s="58">
        <v>11</v>
      </c>
      <c r="G16" s="58"/>
      <c r="H16" s="59" t="s">
        <v>454</v>
      </c>
      <c r="I16" s="59"/>
    </row>
    <row r="17" spans="1:9" x14ac:dyDescent="0.2">
      <c r="A17" s="58">
        <v>15</v>
      </c>
      <c r="B17" s="59" t="s">
        <v>282</v>
      </c>
      <c r="C17" s="59" t="s">
        <v>466</v>
      </c>
      <c r="D17" s="59" t="s">
        <v>453</v>
      </c>
      <c r="E17" s="58">
        <v>2</v>
      </c>
      <c r="F17" s="58">
        <v>2</v>
      </c>
      <c r="G17" s="58"/>
      <c r="H17" s="59" t="s">
        <v>467</v>
      </c>
      <c r="I17" s="59"/>
    </row>
    <row r="18" spans="1:9" x14ac:dyDescent="0.2">
      <c r="A18" s="58">
        <v>16</v>
      </c>
      <c r="B18" s="59" t="s">
        <v>282</v>
      </c>
      <c r="C18" s="59" t="s">
        <v>468</v>
      </c>
      <c r="D18" s="59" t="s">
        <v>453</v>
      </c>
      <c r="E18" s="58">
        <v>2</v>
      </c>
      <c r="F18" s="58">
        <v>2</v>
      </c>
      <c r="G18" s="58"/>
      <c r="H18" s="59" t="s">
        <v>467</v>
      </c>
      <c r="I18" s="59"/>
    </row>
    <row r="19" spans="1:9" x14ac:dyDescent="0.2">
      <c r="A19" s="58">
        <v>17</v>
      </c>
      <c r="B19" s="59" t="s">
        <v>282</v>
      </c>
      <c r="C19" s="59" t="s">
        <v>469</v>
      </c>
      <c r="D19" s="59" t="s">
        <v>453</v>
      </c>
      <c r="E19" s="58">
        <v>2</v>
      </c>
      <c r="F19" s="58">
        <v>2</v>
      </c>
      <c r="G19" s="58"/>
      <c r="H19" s="59" t="s">
        <v>467</v>
      </c>
      <c r="I19" s="59"/>
    </row>
    <row r="20" spans="1:9" x14ac:dyDescent="0.2">
      <c r="A20" s="58">
        <v>18</v>
      </c>
      <c r="B20" s="59" t="s">
        <v>470</v>
      </c>
      <c r="C20" s="59" t="s">
        <v>471</v>
      </c>
      <c r="D20" s="59" t="s">
        <v>472</v>
      </c>
      <c r="E20" s="58">
        <v>16</v>
      </c>
      <c r="F20" s="58">
        <v>16</v>
      </c>
      <c r="G20" s="58"/>
      <c r="H20" s="59" t="s">
        <v>454</v>
      </c>
      <c r="I20" s="59"/>
    </row>
    <row r="21" spans="1:9" x14ac:dyDescent="0.2">
      <c r="A21" s="58">
        <v>19</v>
      </c>
      <c r="B21" s="59" t="s">
        <v>473</v>
      </c>
      <c r="C21" s="59" t="s">
        <v>473</v>
      </c>
      <c r="D21" s="59" t="s">
        <v>472</v>
      </c>
      <c r="E21" s="58">
        <v>89</v>
      </c>
      <c r="F21" s="58">
        <v>89</v>
      </c>
      <c r="G21" s="58"/>
      <c r="H21" s="59" t="s">
        <v>456</v>
      </c>
      <c r="I21" s="59"/>
    </row>
    <row r="22" spans="1:9" x14ac:dyDescent="0.2">
      <c r="A22" s="58">
        <v>20</v>
      </c>
      <c r="B22" s="59" t="s">
        <v>474</v>
      </c>
      <c r="C22" s="59" t="s">
        <v>475</v>
      </c>
      <c r="D22" s="59" t="s">
        <v>472</v>
      </c>
      <c r="E22" s="58">
        <v>228</v>
      </c>
      <c r="F22" s="58">
        <v>228</v>
      </c>
      <c r="G22" s="58"/>
      <c r="H22" s="59" t="s">
        <v>456</v>
      </c>
      <c r="I22" s="59"/>
    </row>
    <row r="23" spans="1:9" s="62" customFormat="1" x14ac:dyDescent="0.2">
      <c r="A23" s="60">
        <v>21</v>
      </c>
      <c r="B23" s="61" t="s">
        <v>476</v>
      </c>
      <c r="C23" s="61" t="s">
        <v>477</v>
      </c>
      <c r="D23" s="61" t="s">
        <v>472</v>
      </c>
      <c r="E23" s="60">
        <v>117</v>
      </c>
      <c r="F23" s="60">
        <v>114</v>
      </c>
      <c r="G23" s="60">
        <v>3</v>
      </c>
      <c r="H23" s="61" t="s">
        <v>478</v>
      </c>
      <c r="I23" s="61"/>
    </row>
    <row r="24" spans="1:9" s="62" customFormat="1" x14ac:dyDescent="0.2">
      <c r="A24" s="60">
        <v>22</v>
      </c>
      <c r="B24" s="61" t="s">
        <v>479</v>
      </c>
      <c r="C24" s="61" t="s">
        <v>480</v>
      </c>
      <c r="D24" s="61" t="s">
        <v>472</v>
      </c>
      <c r="E24" s="60">
        <v>9</v>
      </c>
      <c r="F24" s="60">
        <v>6</v>
      </c>
      <c r="G24" s="60">
        <v>3</v>
      </c>
      <c r="H24" s="61" t="s">
        <v>478</v>
      </c>
      <c r="I24" s="61"/>
    </row>
    <row r="25" spans="1:9" x14ac:dyDescent="0.2">
      <c r="A25" s="58">
        <v>23</v>
      </c>
      <c r="B25" s="59" t="s">
        <v>481</v>
      </c>
      <c r="C25" s="59" t="s">
        <v>482</v>
      </c>
      <c r="D25" s="59" t="s">
        <v>472</v>
      </c>
      <c r="E25" s="58">
        <v>12</v>
      </c>
      <c r="F25" s="58">
        <v>12</v>
      </c>
      <c r="G25" s="58"/>
      <c r="H25" s="59" t="s">
        <v>478</v>
      </c>
      <c r="I25" s="59"/>
    </row>
    <row r="26" spans="1:9" x14ac:dyDescent="0.2">
      <c r="A26" s="58">
        <v>24</v>
      </c>
      <c r="B26" s="59" t="s">
        <v>483</v>
      </c>
      <c r="C26" s="59" t="s">
        <v>114</v>
      </c>
      <c r="D26" s="59" t="s">
        <v>484</v>
      </c>
      <c r="E26" s="58">
        <v>11</v>
      </c>
      <c r="F26" s="58">
        <v>11</v>
      </c>
      <c r="G26" s="58"/>
      <c r="H26" s="59" t="s">
        <v>454</v>
      </c>
      <c r="I26" s="59"/>
    </row>
    <row r="27" spans="1:9" x14ac:dyDescent="0.2">
      <c r="A27" s="58">
        <v>25</v>
      </c>
      <c r="B27" s="59" t="s">
        <v>485</v>
      </c>
      <c r="C27" s="59" t="s">
        <v>486</v>
      </c>
      <c r="D27" s="59" t="s">
        <v>484</v>
      </c>
      <c r="E27" s="58">
        <v>2</v>
      </c>
      <c r="F27" s="58">
        <v>2</v>
      </c>
      <c r="G27" s="58"/>
      <c r="H27" s="59" t="s">
        <v>454</v>
      </c>
      <c r="I27" s="59"/>
    </row>
    <row r="28" spans="1:9" x14ac:dyDescent="0.2">
      <c r="A28" s="58">
        <v>26</v>
      </c>
      <c r="B28" s="59" t="s">
        <v>487</v>
      </c>
      <c r="C28" s="59" t="s">
        <v>488</v>
      </c>
      <c r="D28" s="59" t="s">
        <v>484</v>
      </c>
      <c r="E28" s="58">
        <v>11</v>
      </c>
      <c r="F28" s="58">
        <v>11</v>
      </c>
      <c r="G28" s="58"/>
      <c r="H28" s="59" t="s">
        <v>454</v>
      </c>
      <c r="I28" s="59"/>
    </row>
    <row r="29" spans="1:9" x14ac:dyDescent="0.2">
      <c r="A29" s="58">
        <v>27</v>
      </c>
      <c r="B29" s="59" t="s">
        <v>489</v>
      </c>
      <c r="C29" s="59" t="s">
        <v>490</v>
      </c>
      <c r="D29" s="59" t="s">
        <v>484</v>
      </c>
      <c r="E29" s="58">
        <v>2</v>
      </c>
      <c r="F29" s="58">
        <v>2</v>
      </c>
      <c r="G29" s="58"/>
      <c r="H29" s="59" t="s">
        <v>454</v>
      </c>
      <c r="I29" s="59"/>
    </row>
    <row r="30" spans="1:9" x14ac:dyDescent="0.2">
      <c r="A30" s="58">
        <v>28</v>
      </c>
      <c r="B30" s="59" t="s">
        <v>491</v>
      </c>
      <c r="C30" s="59" t="s">
        <v>492</v>
      </c>
      <c r="D30" s="59" t="s">
        <v>484</v>
      </c>
      <c r="E30" s="58">
        <v>7</v>
      </c>
      <c r="F30" s="58">
        <v>7</v>
      </c>
      <c r="G30" s="58"/>
      <c r="H30" s="59" t="s">
        <v>493</v>
      </c>
      <c r="I30" s="59"/>
    </row>
    <row r="31" spans="1:9" x14ac:dyDescent="0.2">
      <c r="A31" s="58">
        <v>29</v>
      </c>
      <c r="B31" s="59" t="s">
        <v>494</v>
      </c>
      <c r="C31" s="59" t="s">
        <v>495</v>
      </c>
      <c r="D31" s="59" t="s">
        <v>484</v>
      </c>
      <c r="E31" s="58">
        <v>1</v>
      </c>
      <c r="F31" s="58">
        <v>1</v>
      </c>
      <c r="G31" s="58"/>
      <c r="H31" s="59" t="s">
        <v>454</v>
      </c>
      <c r="I31" s="59"/>
    </row>
    <row r="32" spans="1:9" x14ac:dyDescent="0.2">
      <c r="A32" s="58">
        <v>30</v>
      </c>
      <c r="B32" s="59" t="s">
        <v>285</v>
      </c>
      <c r="C32" s="59" t="s">
        <v>286</v>
      </c>
      <c r="D32" s="59" t="s">
        <v>484</v>
      </c>
      <c r="E32" s="58">
        <v>6</v>
      </c>
      <c r="F32" s="58">
        <v>6</v>
      </c>
      <c r="G32" s="58"/>
      <c r="H32" s="59" t="s">
        <v>454</v>
      </c>
      <c r="I32" s="59"/>
    </row>
    <row r="33" spans="1:9" x14ac:dyDescent="0.2">
      <c r="A33" s="58">
        <v>31</v>
      </c>
      <c r="B33" s="59" t="s">
        <v>496</v>
      </c>
      <c r="C33" s="59" t="s">
        <v>131</v>
      </c>
      <c r="D33" s="59" t="s">
        <v>484</v>
      </c>
      <c r="E33" s="58">
        <v>2</v>
      </c>
      <c r="F33" s="58">
        <v>2</v>
      </c>
      <c r="G33" s="58"/>
      <c r="H33" s="59" t="s">
        <v>467</v>
      </c>
      <c r="I33" s="59"/>
    </row>
    <row r="34" spans="1:9" x14ac:dyDescent="0.2">
      <c r="A34" s="58">
        <v>32</v>
      </c>
      <c r="B34" s="59" t="s">
        <v>497</v>
      </c>
      <c r="C34" s="59" t="s">
        <v>498</v>
      </c>
      <c r="D34" s="59" t="s">
        <v>484</v>
      </c>
      <c r="E34" s="58">
        <v>3</v>
      </c>
      <c r="F34" s="58">
        <v>3</v>
      </c>
      <c r="G34" s="58"/>
      <c r="H34" s="59" t="s">
        <v>454</v>
      </c>
      <c r="I34" s="59"/>
    </row>
    <row r="35" spans="1:9" x14ac:dyDescent="0.2">
      <c r="A35" s="58">
        <v>33</v>
      </c>
      <c r="B35" s="59" t="s">
        <v>285</v>
      </c>
      <c r="C35" s="59" t="s">
        <v>499</v>
      </c>
      <c r="D35" s="59" t="s">
        <v>484</v>
      </c>
      <c r="E35" s="58">
        <v>4</v>
      </c>
      <c r="F35" s="58">
        <v>4</v>
      </c>
      <c r="G35" s="58"/>
      <c r="H35" s="59" t="s">
        <v>454</v>
      </c>
      <c r="I35" s="59"/>
    </row>
    <row r="36" spans="1:9" x14ac:dyDescent="0.2">
      <c r="A36" s="58">
        <v>34</v>
      </c>
      <c r="B36" s="59" t="s">
        <v>285</v>
      </c>
      <c r="C36" s="59" t="s">
        <v>124</v>
      </c>
      <c r="D36" s="59" t="s">
        <v>484</v>
      </c>
      <c r="E36" s="58">
        <v>13</v>
      </c>
      <c r="F36" s="58">
        <v>13</v>
      </c>
      <c r="G36" s="58"/>
      <c r="H36" s="59" t="s">
        <v>454</v>
      </c>
      <c r="I36" s="59"/>
    </row>
    <row r="37" spans="1:9" x14ac:dyDescent="0.2">
      <c r="A37" s="58">
        <v>35</v>
      </c>
      <c r="B37" s="59" t="s">
        <v>500</v>
      </c>
      <c r="C37" s="59"/>
      <c r="D37" s="59" t="s">
        <v>484</v>
      </c>
      <c r="E37" s="58">
        <v>2</v>
      </c>
      <c r="F37" s="58">
        <v>2</v>
      </c>
      <c r="G37" s="58"/>
      <c r="H37" s="59" t="s">
        <v>501</v>
      </c>
      <c r="I37" s="59"/>
    </row>
    <row r="38" spans="1:9" x14ac:dyDescent="0.2">
      <c r="A38" s="58">
        <v>36</v>
      </c>
      <c r="B38" s="59" t="s">
        <v>502</v>
      </c>
      <c r="C38" s="59"/>
      <c r="D38" s="59" t="s">
        <v>484</v>
      </c>
      <c r="E38" s="58">
        <v>33</v>
      </c>
      <c r="F38" s="58">
        <v>33</v>
      </c>
      <c r="G38" s="58"/>
      <c r="H38" s="59" t="s">
        <v>454</v>
      </c>
      <c r="I38" s="59"/>
    </row>
    <row r="39" spans="1:9" x14ac:dyDescent="0.2">
      <c r="A39" s="58">
        <v>37</v>
      </c>
      <c r="B39" s="59" t="s">
        <v>485</v>
      </c>
      <c r="C39" s="59" t="s">
        <v>503</v>
      </c>
      <c r="D39" s="59" t="s">
        <v>484</v>
      </c>
      <c r="E39" s="58">
        <v>2</v>
      </c>
      <c r="F39" s="58">
        <v>2</v>
      </c>
      <c r="G39" s="58"/>
      <c r="H39" s="59" t="s">
        <v>454</v>
      </c>
      <c r="I39" s="59"/>
    </row>
    <row r="40" spans="1:9" x14ac:dyDescent="0.2">
      <c r="A40" s="58">
        <v>38</v>
      </c>
      <c r="B40" s="59" t="s">
        <v>504</v>
      </c>
      <c r="C40" s="59" t="s">
        <v>114</v>
      </c>
      <c r="D40" s="59" t="s">
        <v>484</v>
      </c>
      <c r="E40" s="58">
        <v>7</v>
      </c>
      <c r="F40" s="58">
        <v>7</v>
      </c>
      <c r="G40" s="58"/>
      <c r="H40" s="59" t="s">
        <v>454</v>
      </c>
      <c r="I40" s="59"/>
    </row>
    <row r="41" spans="1:9" x14ac:dyDescent="0.2">
      <c r="A41" s="58">
        <v>39</v>
      </c>
      <c r="B41" s="59" t="s">
        <v>504</v>
      </c>
      <c r="C41" s="59" t="s">
        <v>110</v>
      </c>
      <c r="D41" s="59" t="s">
        <v>484</v>
      </c>
      <c r="E41" s="58">
        <v>7</v>
      </c>
      <c r="F41" s="58">
        <v>7</v>
      </c>
      <c r="G41" s="58"/>
      <c r="H41" s="59" t="s">
        <v>454</v>
      </c>
      <c r="I41" s="59"/>
    </row>
    <row r="42" spans="1:9" x14ac:dyDescent="0.2">
      <c r="A42" s="58">
        <v>40</v>
      </c>
      <c r="B42" s="59" t="s">
        <v>504</v>
      </c>
      <c r="C42" s="59" t="s">
        <v>131</v>
      </c>
      <c r="D42" s="59" t="s">
        <v>484</v>
      </c>
      <c r="E42" s="58">
        <v>1</v>
      </c>
      <c r="F42" s="58">
        <v>1</v>
      </c>
      <c r="G42" s="58"/>
      <c r="H42" s="59" t="s">
        <v>454</v>
      </c>
      <c r="I42" s="59"/>
    </row>
    <row r="43" spans="1:9" x14ac:dyDescent="0.2">
      <c r="A43" s="58">
        <v>41</v>
      </c>
      <c r="B43" s="59" t="s">
        <v>505</v>
      </c>
      <c r="C43" s="59" t="s">
        <v>506</v>
      </c>
      <c r="D43" s="59" t="s">
        <v>484</v>
      </c>
      <c r="E43" s="58">
        <v>1</v>
      </c>
      <c r="F43" s="58">
        <v>1</v>
      </c>
      <c r="G43" s="58"/>
      <c r="H43" s="59" t="s">
        <v>454</v>
      </c>
      <c r="I43" s="59"/>
    </row>
    <row r="44" spans="1:9" x14ac:dyDescent="0.2">
      <c r="A44" s="58">
        <v>42</v>
      </c>
      <c r="B44" s="59" t="s">
        <v>507</v>
      </c>
      <c r="C44" s="59"/>
      <c r="D44" s="59" t="s">
        <v>484</v>
      </c>
      <c r="E44" s="58">
        <v>50</v>
      </c>
      <c r="F44" s="58">
        <v>50</v>
      </c>
      <c r="G44" s="58"/>
      <c r="H44" s="59" t="s">
        <v>454</v>
      </c>
      <c r="I44" s="59"/>
    </row>
    <row r="45" spans="1:9" x14ac:dyDescent="0.2">
      <c r="A45" s="58">
        <v>43</v>
      </c>
      <c r="B45" s="59" t="s">
        <v>508</v>
      </c>
      <c r="C45" s="59"/>
      <c r="D45" s="59" t="s">
        <v>484</v>
      </c>
      <c r="E45" s="58">
        <v>19</v>
      </c>
      <c r="F45" s="58">
        <v>19</v>
      </c>
      <c r="G45" s="58"/>
      <c r="H45" s="59" t="s">
        <v>454</v>
      </c>
      <c r="I45" s="59"/>
    </row>
    <row r="46" spans="1:9" x14ac:dyDescent="0.2">
      <c r="A46" s="58">
        <v>44</v>
      </c>
      <c r="B46" s="59" t="s">
        <v>509</v>
      </c>
      <c r="C46" s="59" t="s">
        <v>509</v>
      </c>
      <c r="D46" s="59" t="s">
        <v>484</v>
      </c>
      <c r="E46" s="58">
        <v>18</v>
      </c>
      <c r="F46" s="58">
        <v>18</v>
      </c>
      <c r="G46" s="58"/>
      <c r="H46" s="59" t="s">
        <v>454</v>
      </c>
      <c r="I46" s="59"/>
    </row>
    <row r="47" spans="1:9" s="62" customFormat="1" x14ac:dyDescent="0.2">
      <c r="A47" s="60">
        <v>45</v>
      </c>
      <c r="B47" s="61" t="s">
        <v>510</v>
      </c>
      <c r="C47" s="61" t="s">
        <v>511</v>
      </c>
      <c r="D47" s="61" t="s">
        <v>484</v>
      </c>
      <c r="E47" s="60">
        <v>52</v>
      </c>
      <c r="F47" s="60">
        <v>53</v>
      </c>
      <c r="G47" s="60">
        <v>1</v>
      </c>
      <c r="H47" s="61" t="s">
        <v>493</v>
      </c>
      <c r="I47" s="61"/>
    </row>
    <row r="48" spans="1:9" s="62" customFormat="1" x14ac:dyDescent="0.2">
      <c r="A48" s="60">
        <v>46</v>
      </c>
      <c r="B48" s="61" t="s">
        <v>510</v>
      </c>
      <c r="C48" s="61" t="s">
        <v>512</v>
      </c>
      <c r="D48" s="61" t="s">
        <v>484</v>
      </c>
      <c r="E48" s="60">
        <v>42</v>
      </c>
      <c r="F48" s="60">
        <v>43</v>
      </c>
      <c r="G48" s="60">
        <v>1</v>
      </c>
      <c r="H48" s="61" t="s">
        <v>493</v>
      </c>
      <c r="I48" s="61"/>
    </row>
    <row r="49" spans="1:9" x14ac:dyDescent="0.2">
      <c r="A49" s="58">
        <v>47</v>
      </c>
      <c r="B49" s="59" t="s">
        <v>510</v>
      </c>
      <c r="C49" s="59" t="s">
        <v>513</v>
      </c>
      <c r="D49" s="59" t="s">
        <v>484</v>
      </c>
      <c r="E49" s="58">
        <v>3</v>
      </c>
      <c r="F49" s="58">
        <v>3</v>
      </c>
      <c r="G49" s="58"/>
      <c r="H49" s="59" t="s">
        <v>493</v>
      </c>
      <c r="I49" s="59"/>
    </row>
    <row r="50" spans="1:9" x14ac:dyDescent="0.2">
      <c r="A50" s="58">
        <v>48</v>
      </c>
      <c r="B50" s="59" t="s">
        <v>130</v>
      </c>
      <c r="C50" s="59" t="s">
        <v>131</v>
      </c>
      <c r="D50" s="59" t="s">
        <v>484</v>
      </c>
      <c r="E50" s="58">
        <v>25</v>
      </c>
      <c r="F50" s="58">
        <v>25</v>
      </c>
      <c r="G50" s="58"/>
      <c r="H50" s="59" t="s">
        <v>454</v>
      </c>
      <c r="I50" s="59"/>
    </row>
    <row r="51" spans="1:9" x14ac:dyDescent="0.2">
      <c r="A51" s="58">
        <v>49</v>
      </c>
      <c r="B51" s="59" t="s">
        <v>130</v>
      </c>
      <c r="C51" s="59" t="s">
        <v>110</v>
      </c>
      <c r="D51" s="59" t="s">
        <v>484</v>
      </c>
      <c r="E51" s="58">
        <v>1</v>
      </c>
      <c r="F51" s="58">
        <v>1</v>
      </c>
      <c r="G51" s="58"/>
      <c r="H51" s="59" t="s">
        <v>454</v>
      </c>
      <c r="I51" s="59"/>
    </row>
    <row r="52" spans="1:9" x14ac:dyDescent="0.2">
      <c r="A52" s="58">
        <v>50</v>
      </c>
      <c r="B52" s="59" t="s">
        <v>514</v>
      </c>
      <c r="C52" s="59" t="s">
        <v>515</v>
      </c>
      <c r="D52" s="59" t="s">
        <v>484</v>
      </c>
      <c r="E52" s="58">
        <v>3</v>
      </c>
      <c r="F52" s="58">
        <v>3</v>
      </c>
      <c r="G52" s="58"/>
      <c r="H52" s="59" t="s">
        <v>454</v>
      </c>
      <c r="I52" s="59"/>
    </row>
    <row r="53" spans="1:9" x14ac:dyDescent="0.2">
      <c r="A53" s="58">
        <v>51</v>
      </c>
      <c r="B53" s="59" t="s">
        <v>516</v>
      </c>
      <c r="C53" s="59"/>
      <c r="D53" s="59" t="s">
        <v>484</v>
      </c>
      <c r="E53" s="58">
        <v>20</v>
      </c>
      <c r="F53" s="58">
        <v>20</v>
      </c>
      <c r="G53" s="58"/>
      <c r="H53" s="59" t="s">
        <v>454</v>
      </c>
      <c r="I53" s="59"/>
    </row>
    <row r="54" spans="1:9" x14ac:dyDescent="0.2">
      <c r="A54" s="58">
        <v>52</v>
      </c>
      <c r="B54" s="59" t="s">
        <v>517</v>
      </c>
      <c r="C54" s="59" t="s">
        <v>518</v>
      </c>
      <c r="D54" s="59" t="s">
        <v>484</v>
      </c>
      <c r="E54" s="58">
        <v>1</v>
      </c>
      <c r="F54" s="58">
        <v>1</v>
      </c>
      <c r="G54" s="58"/>
      <c r="H54" s="59" t="s">
        <v>454</v>
      </c>
      <c r="I54" s="59"/>
    </row>
    <row r="55" spans="1:9" x14ac:dyDescent="0.2">
      <c r="A55" s="58">
        <v>53</v>
      </c>
      <c r="B55" s="59" t="s">
        <v>519</v>
      </c>
      <c r="C55" s="59" t="s">
        <v>520</v>
      </c>
      <c r="D55" s="59" t="s">
        <v>484</v>
      </c>
      <c r="E55" s="58">
        <v>7</v>
      </c>
      <c r="F55" s="58">
        <v>7</v>
      </c>
      <c r="G55" s="58"/>
      <c r="H55" s="59" t="s">
        <v>478</v>
      </c>
      <c r="I55" s="59"/>
    </row>
    <row r="56" spans="1:9" x14ac:dyDescent="0.2">
      <c r="A56" s="58">
        <v>54</v>
      </c>
      <c r="B56" s="59" t="s">
        <v>458</v>
      </c>
      <c r="C56" s="59" t="s">
        <v>521</v>
      </c>
      <c r="D56" s="59" t="s">
        <v>484</v>
      </c>
      <c r="E56" s="58">
        <v>60</v>
      </c>
      <c r="F56" s="58">
        <v>60</v>
      </c>
      <c r="G56" s="58"/>
      <c r="H56" s="59" t="s">
        <v>522</v>
      </c>
      <c r="I56" s="59"/>
    </row>
    <row r="57" spans="1:9" x14ac:dyDescent="0.2">
      <c r="A57" s="58">
        <v>55</v>
      </c>
      <c r="B57" s="59" t="s">
        <v>458</v>
      </c>
      <c r="C57" s="59" t="s">
        <v>523</v>
      </c>
      <c r="D57" s="59" t="s">
        <v>484</v>
      </c>
      <c r="E57" s="58">
        <v>100</v>
      </c>
      <c r="F57" s="58">
        <v>100</v>
      </c>
      <c r="G57" s="58"/>
      <c r="H57" s="59" t="s">
        <v>522</v>
      </c>
      <c r="I57" s="59"/>
    </row>
    <row r="58" spans="1:9" x14ac:dyDescent="0.2">
      <c r="A58" s="58">
        <v>56</v>
      </c>
      <c r="B58" s="59" t="s">
        <v>458</v>
      </c>
      <c r="C58" s="59" t="s">
        <v>524</v>
      </c>
      <c r="D58" s="59" t="s">
        <v>484</v>
      </c>
      <c r="E58" s="58">
        <v>100</v>
      </c>
      <c r="F58" s="58">
        <v>100</v>
      </c>
      <c r="G58" s="58"/>
      <c r="H58" s="59" t="s">
        <v>522</v>
      </c>
      <c r="I58" s="59"/>
    </row>
    <row r="59" spans="1:9" x14ac:dyDescent="0.2">
      <c r="A59" s="58">
        <v>57</v>
      </c>
      <c r="B59" s="59" t="s">
        <v>525</v>
      </c>
      <c r="C59" s="59" t="s">
        <v>526</v>
      </c>
      <c r="D59" s="59" t="s">
        <v>484</v>
      </c>
      <c r="E59" s="58">
        <v>9</v>
      </c>
      <c r="F59" s="58">
        <v>9</v>
      </c>
      <c r="G59" s="58"/>
      <c r="H59" s="59" t="s">
        <v>522</v>
      </c>
      <c r="I59" s="59"/>
    </row>
    <row r="60" spans="1:9" x14ac:dyDescent="0.2">
      <c r="A60" s="58">
        <v>58</v>
      </c>
      <c r="B60" s="59" t="s">
        <v>458</v>
      </c>
      <c r="C60" s="59" t="s">
        <v>527</v>
      </c>
      <c r="D60" s="59" t="s">
        <v>484</v>
      </c>
      <c r="E60" s="58">
        <v>3</v>
      </c>
      <c r="F60" s="58">
        <v>3</v>
      </c>
      <c r="G60" s="58"/>
      <c r="H60" s="59" t="s">
        <v>456</v>
      </c>
      <c r="I60" s="59"/>
    </row>
    <row r="61" spans="1:9" x14ac:dyDescent="0.2">
      <c r="A61" s="58">
        <v>59</v>
      </c>
      <c r="B61" s="59" t="s">
        <v>258</v>
      </c>
      <c r="C61" s="59" t="s">
        <v>528</v>
      </c>
      <c r="D61" s="59" t="s">
        <v>484</v>
      </c>
      <c r="E61" s="58">
        <v>1</v>
      </c>
      <c r="F61" s="58">
        <v>1</v>
      </c>
      <c r="G61" s="58"/>
      <c r="H61" s="59" t="s">
        <v>454</v>
      </c>
      <c r="I61" s="59"/>
    </row>
    <row r="62" spans="1:9" x14ac:dyDescent="0.2">
      <c r="A62" s="58">
        <v>60</v>
      </c>
      <c r="B62" s="59" t="s">
        <v>463</v>
      </c>
      <c r="C62" s="59" t="s">
        <v>529</v>
      </c>
      <c r="D62" s="59" t="s">
        <v>484</v>
      </c>
      <c r="E62" s="58">
        <v>4</v>
      </c>
      <c r="F62" s="58">
        <v>4</v>
      </c>
      <c r="G62" s="58"/>
      <c r="H62" s="59" t="s">
        <v>454</v>
      </c>
      <c r="I62" s="59"/>
    </row>
    <row r="63" spans="1:9" x14ac:dyDescent="0.2">
      <c r="A63" s="58">
        <v>61</v>
      </c>
      <c r="B63" s="59" t="s">
        <v>463</v>
      </c>
      <c r="C63" s="59" t="s">
        <v>530</v>
      </c>
      <c r="D63" s="59" t="s">
        <v>484</v>
      </c>
      <c r="E63" s="58">
        <v>3</v>
      </c>
      <c r="F63" s="58">
        <v>3</v>
      </c>
      <c r="G63" s="58"/>
      <c r="H63" s="59" t="s">
        <v>454</v>
      </c>
      <c r="I63" s="59"/>
    </row>
    <row r="64" spans="1:9" x14ac:dyDescent="0.2">
      <c r="A64" s="58">
        <v>62</v>
      </c>
      <c r="B64" s="59" t="s">
        <v>531</v>
      </c>
      <c r="C64" s="59" t="s">
        <v>532</v>
      </c>
      <c r="D64" s="59" t="s">
        <v>484</v>
      </c>
      <c r="E64" s="58">
        <v>1</v>
      </c>
      <c r="F64" s="58">
        <v>1</v>
      </c>
      <c r="G64" s="58"/>
      <c r="H64" s="59" t="s">
        <v>454</v>
      </c>
      <c r="I64" s="59"/>
    </row>
    <row r="65" spans="1:9" x14ac:dyDescent="0.2">
      <c r="A65" s="58">
        <v>63</v>
      </c>
      <c r="B65" s="59" t="s">
        <v>533</v>
      </c>
      <c r="C65" s="59"/>
      <c r="D65" s="59" t="s">
        <v>484</v>
      </c>
      <c r="E65" s="58">
        <v>1</v>
      </c>
      <c r="F65" s="58">
        <v>1</v>
      </c>
      <c r="G65" s="58"/>
      <c r="H65" s="59" t="s">
        <v>454</v>
      </c>
      <c r="I65" s="59"/>
    </row>
    <row r="66" spans="1:9" x14ac:dyDescent="0.2">
      <c r="A66" s="58">
        <v>64</v>
      </c>
      <c r="B66" s="59" t="s">
        <v>534</v>
      </c>
      <c r="C66" s="59"/>
      <c r="D66" s="59" t="s">
        <v>484</v>
      </c>
      <c r="E66" s="58">
        <v>40</v>
      </c>
      <c r="F66" s="58">
        <v>40</v>
      </c>
      <c r="G66" s="58"/>
      <c r="H66" s="59" t="s">
        <v>454</v>
      </c>
      <c r="I66" s="59"/>
    </row>
    <row r="67" spans="1:9" x14ac:dyDescent="0.2">
      <c r="A67" s="58">
        <v>65</v>
      </c>
      <c r="B67" s="59" t="s">
        <v>491</v>
      </c>
      <c r="C67" s="59" t="s">
        <v>535</v>
      </c>
      <c r="D67" s="59" t="s">
        <v>484</v>
      </c>
      <c r="E67" s="58">
        <v>8</v>
      </c>
      <c r="F67" s="58">
        <v>8</v>
      </c>
      <c r="G67" s="58"/>
      <c r="H67" s="59" t="s">
        <v>456</v>
      </c>
      <c r="I67" s="59"/>
    </row>
    <row r="68" spans="1:9" x14ac:dyDescent="0.2">
      <c r="A68" s="58">
        <v>66</v>
      </c>
      <c r="B68" s="59" t="s">
        <v>536</v>
      </c>
      <c r="C68" s="59" t="s">
        <v>537</v>
      </c>
      <c r="D68" s="59" t="s">
        <v>484</v>
      </c>
      <c r="E68" s="58">
        <v>28</v>
      </c>
      <c r="F68" s="58">
        <v>28</v>
      </c>
      <c r="G68" s="58"/>
      <c r="H68" s="59" t="s">
        <v>454</v>
      </c>
      <c r="I68" s="59"/>
    </row>
    <row r="69" spans="1:9" x14ac:dyDescent="0.2">
      <c r="A69" s="58">
        <v>67</v>
      </c>
      <c r="B69" s="59" t="s">
        <v>538</v>
      </c>
      <c r="C69" s="59" t="s">
        <v>539</v>
      </c>
      <c r="D69" s="59" t="s">
        <v>484</v>
      </c>
      <c r="E69" s="58">
        <v>2</v>
      </c>
      <c r="F69" s="58">
        <v>2</v>
      </c>
      <c r="G69" s="58"/>
      <c r="H69" s="59" t="s">
        <v>454</v>
      </c>
      <c r="I69" s="59"/>
    </row>
    <row r="70" spans="1:9" x14ac:dyDescent="0.2">
      <c r="A70" s="58">
        <v>68</v>
      </c>
      <c r="B70" s="59" t="s">
        <v>540</v>
      </c>
      <c r="C70" s="59" t="s">
        <v>541</v>
      </c>
      <c r="D70" s="59" t="s">
        <v>484</v>
      </c>
      <c r="E70" s="58">
        <v>1</v>
      </c>
      <c r="F70" s="58">
        <v>1</v>
      </c>
      <c r="G70" s="58"/>
      <c r="H70" s="59" t="s">
        <v>454</v>
      </c>
      <c r="I70" s="59"/>
    </row>
    <row r="71" spans="1:9" x14ac:dyDescent="0.2">
      <c r="A71" s="58">
        <v>69</v>
      </c>
      <c r="B71" s="59" t="s">
        <v>542</v>
      </c>
      <c r="C71" s="59" t="s">
        <v>543</v>
      </c>
      <c r="D71" s="59" t="s">
        <v>484</v>
      </c>
      <c r="E71" s="58">
        <v>1</v>
      </c>
      <c r="F71" s="58">
        <v>1</v>
      </c>
      <c r="G71" s="58"/>
      <c r="H71" s="59" t="s">
        <v>454</v>
      </c>
      <c r="I71" s="59"/>
    </row>
    <row r="72" spans="1:9" x14ac:dyDescent="0.2">
      <c r="A72" s="58">
        <v>70</v>
      </c>
      <c r="B72" s="59" t="s">
        <v>496</v>
      </c>
      <c r="C72" s="59" t="s">
        <v>114</v>
      </c>
      <c r="D72" s="59" t="s">
        <v>484</v>
      </c>
      <c r="E72" s="58">
        <v>3</v>
      </c>
      <c r="F72" s="58">
        <v>3</v>
      </c>
      <c r="G72" s="58"/>
      <c r="H72" s="59" t="s">
        <v>454</v>
      </c>
      <c r="I72" s="59"/>
    </row>
    <row r="73" spans="1:9" x14ac:dyDescent="0.2">
      <c r="A73" s="58">
        <v>71</v>
      </c>
      <c r="B73" s="59" t="s">
        <v>544</v>
      </c>
      <c r="C73" s="59" t="s">
        <v>114</v>
      </c>
      <c r="D73" s="59" t="s">
        <v>484</v>
      </c>
      <c r="E73" s="58">
        <v>2</v>
      </c>
      <c r="F73" s="58">
        <v>2</v>
      </c>
      <c r="G73" s="58"/>
      <c r="H73" s="59" t="s">
        <v>467</v>
      </c>
      <c r="I73" s="59"/>
    </row>
    <row r="74" spans="1:9" x14ac:dyDescent="0.2">
      <c r="A74" s="58">
        <v>72</v>
      </c>
      <c r="B74" s="59" t="s">
        <v>545</v>
      </c>
      <c r="C74" s="59" t="s">
        <v>546</v>
      </c>
      <c r="D74" s="59" t="s">
        <v>484</v>
      </c>
      <c r="E74" s="58">
        <v>60</v>
      </c>
      <c r="F74" s="58">
        <v>60</v>
      </c>
      <c r="G74" s="58"/>
      <c r="H74" s="59" t="s">
        <v>454</v>
      </c>
      <c r="I74" s="59"/>
    </row>
    <row r="75" spans="1:9" x14ac:dyDescent="0.2">
      <c r="A75" s="58">
        <v>73</v>
      </c>
      <c r="B75" s="59" t="s">
        <v>547</v>
      </c>
      <c r="C75" s="59" t="s">
        <v>110</v>
      </c>
      <c r="D75" s="59" t="s">
        <v>484</v>
      </c>
      <c r="E75" s="58">
        <v>6</v>
      </c>
      <c r="F75" s="58">
        <v>6</v>
      </c>
      <c r="G75" s="58"/>
      <c r="H75" s="59" t="s">
        <v>454</v>
      </c>
      <c r="I75" s="59"/>
    </row>
    <row r="76" spans="1:9" x14ac:dyDescent="0.2">
      <c r="A76" s="58">
        <v>74</v>
      </c>
      <c r="B76" s="59" t="s">
        <v>548</v>
      </c>
      <c r="C76" s="59" t="s">
        <v>110</v>
      </c>
      <c r="D76" s="59" t="s">
        <v>484</v>
      </c>
      <c r="E76" s="58">
        <v>7</v>
      </c>
      <c r="F76" s="58">
        <v>7</v>
      </c>
      <c r="G76" s="58"/>
      <c r="H76" s="59" t="s">
        <v>454</v>
      </c>
      <c r="I76" s="59"/>
    </row>
    <row r="77" spans="1:9" x14ac:dyDescent="0.2">
      <c r="A77" s="58">
        <v>75</v>
      </c>
      <c r="B77" s="59" t="s">
        <v>548</v>
      </c>
      <c r="C77" s="59" t="s">
        <v>114</v>
      </c>
      <c r="D77" s="59" t="s">
        <v>484</v>
      </c>
      <c r="E77" s="58">
        <v>5</v>
      </c>
      <c r="F77" s="58">
        <v>5</v>
      </c>
      <c r="G77" s="58"/>
      <c r="H77" s="59" t="s">
        <v>454</v>
      </c>
      <c r="I77" s="59"/>
    </row>
    <row r="78" spans="1:9" x14ac:dyDescent="0.2">
      <c r="A78" s="58">
        <v>76</v>
      </c>
      <c r="B78" s="59" t="s">
        <v>549</v>
      </c>
      <c r="C78" s="59" t="s">
        <v>110</v>
      </c>
      <c r="D78" s="59" t="s">
        <v>484</v>
      </c>
      <c r="E78" s="58">
        <v>2</v>
      </c>
      <c r="F78" s="58">
        <v>2</v>
      </c>
      <c r="G78" s="58"/>
      <c r="H78" s="59" t="s">
        <v>454</v>
      </c>
      <c r="I78" s="59"/>
    </row>
    <row r="79" spans="1:9" x14ac:dyDescent="0.2">
      <c r="A79" s="58">
        <v>77</v>
      </c>
      <c r="B79" s="59" t="s">
        <v>550</v>
      </c>
      <c r="C79" s="59" t="s">
        <v>131</v>
      </c>
      <c r="D79" s="59" t="s">
        <v>484</v>
      </c>
      <c r="E79" s="58">
        <v>2</v>
      </c>
      <c r="F79" s="58">
        <v>2</v>
      </c>
      <c r="G79" s="58"/>
      <c r="H79" s="59" t="s">
        <v>454</v>
      </c>
      <c r="I79" s="59"/>
    </row>
    <row r="80" spans="1:9" x14ac:dyDescent="0.2">
      <c r="A80" s="58">
        <v>78</v>
      </c>
      <c r="B80" s="59" t="s">
        <v>551</v>
      </c>
      <c r="C80" s="59" t="s">
        <v>114</v>
      </c>
      <c r="D80" s="59" t="s">
        <v>484</v>
      </c>
      <c r="E80" s="58">
        <v>2</v>
      </c>
      <c r="F80" s="58">
        <v>2</v>
      </c>
      <c r="G80" s="58"/>
      <c r="H80" s="59" t="s">
        <v>454</v>
      </c>
      <c r="I80" s="59"/>
    </row>
    <row r="81" spans="1:9" x14ac:dyDescent="0.2">
      <c r="A81" s="58">
        <v>79</v>
      </c>
      <c r="B81" s="59" t="s">
        <v>551</v>
      </c>
      <c r="C81" s="59" t="s">
        <v>131</v>
      </c>
      <c r="D81" s="59" t="s">
        <v>484</v>
      </c>
      <c r="E81" s="58">
        <v>1</v>
      </c>
      <c r="F81" s="58">
        <v>1</v>
      </c>
      <c r="G81" s="58"/>
      <c r="H81" s="59" t="s">
        <v>454</v>
      </c>
      <c r="I81" s="59"/>
    </row>
    <row r="82" spans="1:9" x14ac:dyDescent="0.2">
      <c r="A82" s="58">
        <v>80</v>
      </c>
      <c r="B82" s="59" t="s">
        <v>552</v>
      </c>
      <c r="C82" s="59"/>
      <c r="D82" s="59" t="s">
        <v>484</v>
      </c>
      <c r="E82" s="58">
        <v>4</v>
      </c>
      <c r="F82" s="58">
        <v>4</v>
      </c>
      <c r="G82" s="58"/>
      <c r="H82" s="59" t="s">
        <v>454</v>
      </c>
      <c r="I82" s="59"/>
    </row>
    <row r="83" spans="1:9" x14ac:dyDescent="0.2">
      <c r="A83" s="58">
        <v>81</v>
      </c>
      <c r="B83" s="59" t="s">
        <v>553</v>
      </c>
      <c r="C83" s="59" t="s">
        <v>554</v>
      </c>
      <c r="D83" s="59" t="s">
        <v>484</v>
      </c>
      <c r="E83" s="58">
        <v>9</v>
      </c>
      <c r="F83" s="58">
        <v>9</v>
      </c>
      <c r="G83" s="58"/>
      <c r="H83" s="59" t="s">
        <v>454</v>
      </c>
      <c r="I83" s="59"/>
    </row>
    <row r="84" spans="1:9" x14ac:dyDescent="0.2">
      <c r="A84" s="58">
        <v>82</v>
      </c>
      <c r="B84" s="59" t="s">
        <v>555</v>
      </c>
      <c r="C84" s="59" t="s">
        <v>556</v>
      </c>
      <c r="D84" s="59" t="s">
        <v>484</v>
      </c>
      <c r="E84" s="58">
        <v>1</v>
      </c>
      <c r="F84" s="58">
        <v>1</v>
      </c>
      <c r="G84" s="58"/>
      <c r="H84" s="59" t="s">
        <v>467</v>
      </c>
      <c r="I84" s="59"/>
    </row>
    <row r="85" spans="1:9" x14ac:dyDescent="0.2">
      <c r="A85" s="58">
        <v>83</v>
      </c>
      <c r="B85" s="59" t="s">
        <v>555</v>
      </c>
      <c r="C85" s="59" t="s">
        <v>557</v>
      </c>
      <c r="D85" s="59" t="s">
        <v>484</v>
      </c>
      <c r="E85" s="58">
        <v>1</v>
      </c>
      <c r="F85" s="58">
        <v>1</v>
      </c>
      <c r="G85" s="58"/>
      <c r="H85" s="59" t="s">
        <v>467</v>
      </c>
      <c r="I85" s="59"/>
    </row>
    <row r="86" spans="1:9" x14ac:dyDescent="0.2">
      <c r="A86" s="58">
        <v>84</v>
      </c>
      <c r="B86" s="59" t="s">
        <v>555</v>
      </c>
      <c r="C86" s="59" t="s">
        <v>558</v>
      </c>
      <c r="D86" s="59" t="s">
        <v>484</v>
      </c>
      <c r="E86" s="58">
        <v>1</v>
      </c>
      <c r="F86" s="58">
        <v>1</v>
      </c>
      <c r="G86" s="58"/>
      <c r="H86" s="59" t="s">
        <v>467</v>
      </c>
      <c r="I86" s="59"/>
    </row>
    <row r="87" spans="1:9" x14ac:dyDescent="0.2">
      <c r="A87" s="58">
        <v>85</v>
      </c>
      <c r="B87" s="59" t="s">
        <v>282</v>
      </c>
      <c r="C87" s="59" t="s">
        <v>559</v>
      </c>
      <c r="D87" s="59" t="s">
        <v>484</v>
      </c>
      <c r="E87" s="58">
        <v>3</v>
      </c>
      <c r="F87" s="58">
        <v>3</v>
      </c>
      <c r="G87" s="58"/>
      <c r="H87" s="59" t="s">
        <v>467</v>
      </c>
      <c r="I87" s="59"/>
    </row>
    <row r="88" spans="1:9" x14ac:dyDescent="0.2">
      <c r="A88" s="58">
        <v>86</v>
      </c>
      <c r="B88" s="59" t="s">
        <v>560</v>
      </c>
      <c r="C88" s="59" t="s">
        <v>274</v>
      </c>
      <c r="D88" s="59" t="s">
        <v>484</v>
      </c>
      <c r="E88" s="58">
        <v>5</v>
      </c>
      <c r="F88" s="58">
        <v>5</v>
      </c>
      <c r="G88" s="58"/>
      <c r="H88" s="59" t="s">
        <v>467</v>
      </c>
      <c r="I88" s="59"/>
    </row>
    <row r="89" spans="1:9" x14ac:dyDescent="0.2">
      <c r="A89" s="58">
        <v>87</v>
      </c>
      <c r="B89" s="59" t="s">
        <v>560</v>
      </c>
      <c r="C89" s="59" t="s">
        <v>277</v>
      </c>
      <c r="D89" s="59" t="s">
        <v>484</v>
      </c>
      <c r="E89" s="58">
        <v>5</v>
      </c>
      <c r="F89" s="58">
        <v>5</v>
      </c>
      <c r="G89" s="58"/>
      <c r="H89" s="59" t="s">
        <v>467</v>
      </c>
      <c r="I89" s="59"/>
    </row>
    <row r="90" spans="1:9" x14ac:dyDescent="0.2">
      <c r="A90" s="58">
        <v>88</v>
      </c>
      <c r="B90" s="59" t="s">
        <v>560</v>
      </c>
      <c r="C90" s="59" t="s">
        <v>278</v>
      </c>
      <c r="D90" s="59" t="s">
        <v>484</v>
      </c>
      <c r="E90" s="58">
        <v>5</v>
      </c>
      <c r="F90" s="58">
        <v>5</v>
      </c>
      <c r="G90" s="58"/>
      <c r="H90" s="59" t="s">
        <v>467</v>
      </c>
      <c r="I90" s="59"/>
    </row>
    <row r="91" spans="1:9" s="62" customFormat="1" x14ac:dyDescent="0.2">
      <c r="A91" s="60">
        <v>89</v>
      </c>
      <c r="B91" s="61" t="s">
        <v>273</v>
      </c>
      <c r="C91" s="61" t="s">
        <v>561</v>
      </c>
      <c r="D91" s="61" t="s">
        <v>484</v>
      </c>
      <c r="E91" s="60">
        <v>6</v>
      </c>
      <c r="F91" s="60">
        <v>5</v>
      </c>
      <c r="G91" s="60">
        <v>1</v>
      </c>
      <c r="H91" s="61" t="s">
        <v>467</v>
      </c>
      <c r="I91" s="61"/>
    </row>
    <row r="92" spans="1:9" x14ac:dyDescent="0.2">
      <c r="A92" s="58">
        <v>90</v>
      </c>
      <c r="B92" s="59" t="s">
        <v>555</v>
      </c>
      <c r="C92" s="59" t="s">
        <v>562</v>
      </c>
      <c r="D92" s="59" t="s">
        <v>484</v>
      </c>
      <c r="E92" s="58">
        <v>3</v>
      </c>
      <c r="F92" s="58">
        <v>3</v>
      </c>
      <c r="G92" s="58"/>
      <c r="H92" s="59" t="s">
        <v>467</v>
      </c>
      <c r="I92" s="59"/>
    </row>
    <row r="93" spans="1:9" x14ac:dyDescent="0.2">
      <c r="A93" s="58">
        <v>91</v>
      </c>
      <c r="B93" s="59" t="s">
        <v>563</v>
      </c>
      <c r="C93" s="59" t="s">
        <v>564</v>
      </c>
      <c r="D93" s="59" t="s">
        <v>484</v>
      </c>
      <c r="E93" s="58">
        <v>3</v>
      </c>
      <c r="F93" s="58">
        <v>3</v>
      </c>
      <c r="G93" s="58"/>
      <c r="H93" s="59" t="s">
        <v>454</v>
      </c>
      <c r="I93" s="59"/>
    </row>
    <row r="94" spans="1:9" x14ac:dyDescent="0.2">
      <c r="A94" s="58">
        <v>92</v>
      </c>
      <c r="B94" s="59" t="s">
        <v>565</v>
      </c>
      <c r="C94" s="59" t="s">
        <v>566</v>
      </c>
      <c r="D94" s="59" t="s">
        <v>484</v>
      </c>
      <c r="E94" s="58">
        <v>10</v>
      </c>
      <c r="F94" s="58">
        <v>10</v>
      </c>
      <c r="G94" s="58"/>
      <c r="H94" s="59" t="s">
        <v>454</v>
      </c>
      <c r="I94" s="59"/>
    </row>
    <row r="95" spans="1:9" x14ac:dyDescent="0.2">
      <c r="A95" s="58">
        <v>93</v>
      </c>
      <c r="B95" s="59" t="s">
        <v>565</v>
      </c>
      <c r="C95" s="59" t="s">
        <v>567</v>
      </c>
      <c r="D95" s="59" t="s">
        <v>484</v>
      </c>
      <c r="E95" s="58">
        <v>6</v>
      </c>
      <c r="F95" s="58">
        <v>6</v>
      </c>
      <c r="G95" s="58"/>
      <c r="H95" s="59" t="s">
        <v>467</v>
      </c>
      <c r="I95" s="59"/>
    </row>
    <row r="96" spans="1:9" x14ac:dyDescent="0.2">
      <c r="A96" s="58">
        <v>94</v>
      </c>
      <c r="B96" s="59" t="s">
        <v>279</v>
      </c>
      <c r="C96" s="59" t="s">
        <v>568</v>
      </c>
      <c r="D96" s="59" t="s">
        <v>569</v>
      </c>
      <c r="E96" s="58">
        <v>20</v>
      </c>
      <c r="F96" s="58">
        <v>20</v>
      </c>
      <c r="G96" s="58"/>
      <c r="H96" s="59" t="s">
        <v>460</v>
      </c>
      <c r="I96" s="59"/>
    </row>
    <row r="97" spans="1:9" x14ac:dyDescent="0.2">
      <c r="A97" s="58">
        <v>95</v>
      </c>
      <c r="B97" s="59" t="s">
        <v>570</v>
      </c>
      <c r="C97" s="59" t="s">
        <v>131</v>
      </c>
      <c r="D97" s="59" t="s">
        <v>569</v>
      </c>
      <c r="E97" s="58">
        <v>79</v>
      </c>
      <c r="F97" s="58">
        <v>79</v>
      </c>
      <c r="G97" s="58"/>
      <c r="H97" s="59" t="s">
        <v>460</v>
      </c>
      <c r="I97" s="59"/>
    </row>
    <row r="98" spans="1:9" x14ac:dyDescent="0.2">
      <c r="A98" s="58">
        <v>96</v>
      </c>
      <c r="B98" s="59" t="s">
        <v>570</v>
      </c>
      <c r="C98" s="59" t="s">
        <v>110</v>
      </c>
      <c r="D98" s="59" t="s">
        <v>569</v>
      </c>
      <c r="E98" s="58">
        <v>172</v>
      </c>
      <c r="F98" s="58">
        <v>172</v>
      </c>
      <c r="G98" s="58"/>
      <c r="H98" s="59" t="s">
        <v>460</v>
      </c>
      <c r="I98" s="59"/>
    </row>
    <row r="99" spans="1:9" x14ac:dyDescent="0.2">
      <c r="A99" s="58">
        <v>97</v>
      </c>
      <c r="B99" s="59" t="s">
        <v>571</v>
      </c>
      <c r="C99" s="59" t="s">
        <v>572</v>
      </c>
      <c r="D99" s="59" t="s">
        <v>569</v>
      </c>
      <c r="E99" s="58">
        <v>5</v>
      </c>
      <c r="F99" s="58">
        <v>5</v>
      </c>
      <c r="G99" s="58"/>
      <c r="H99" s="59" t="s">
        <v>454</v>
      </c>
      <c r="I99" s="59"/>
    </row>
    <row r="100" spans="1:9" x14ac:dyDescent="0.2">
      <c r="A100" s="58">
        <v>98</v>
      </c>
      <c r="B100" s="59" t="s">
        <v>571</v>
      </c>
      <c r="C100" s="59" t="s">
        <v>573</v>
      </c>
      <c r="D100" s="59" t="s">
        <v>569</v>
      </c>
      <c r="E100" s="58">
        <v>2</v>
      </c>
      <c r="F100" s="58">
        <v>2</v>
      </c>
      <c r="G100" s="58"/>
      <c r="H100" s="59" t="s">
        <v>454</v>
      </c>
      <c r="I100" s="59"/>
    </row>
    <row r="101" spans="1:9" x14ac:dyDescent="0.2">
      <c r="A101" s="58">
        <v>99</v>
      </c>
      <c r="B101" s="59" t="s">
        <v>134</v>
      </c>
      <c r="C101" s="59" t="s">
        <v>574</v>
      </c>
      <c r="D101" s="59" t="s">
        <v>569</v>
      </c>
      <c r="E101" s="58">
        <v>5</v>
      </c>
      <c r="F101" s="58">
        <v>5</v>
      </c>
      <c r="G101" s="58"/>
      <c r="H101" s="59" t="s">
        <v>456</v>
      </c>
      <c r="I101" s="59"/>
    </row>
    <row r="102" spans="1:9" x14ac:dyDescent="0.2">
      <c r="A102" s="58">
        <v>100</v>
      </c>
      <c r="B102" s="59" t="s">
        <v>575</v>
      </c>
      <c r="C102" s="59" t="s">
        <v>576</v>
      </c>
      <c r="D102" s="59" t="s">
        <v>569</v>
      </c>
      <c r="E102" s="58">
        <v>5</v>
      </c>
      <c r="F102" s="58">
        <v>5</v>
      </c>
      <c r="G102" s="58"/>
      <c r="H102" s="59" t="s">
        <v>454</v>
      </c>
      <c r="I102" s="59"/>
    </row>
    <row r="103" spans="1:9" x14ac:dyDescent="0.2">
      <c r="A103" s="58">
        <v>101</v>
      </c>
      <c r="B103" s="59" t="s">
        <v>461</v>
      </c>
      <c r="C103" s="59" t="s">
        <v>577</v>
      </c>
      <c r="D103" s="59" t="s">
        <v>569</v>
      </c>
      <c r="E103" s="58">
        <v>7</v>
      </c>
      <c r="F103" s="58">
        <v>6</v>
      </c>
      <c r="G103" s="58">
        <v>1</v>
      </c>
      <c r="H103" s="59" t="s">
        <v>456</v>
      </c>
      <c r="I103" s="59"/>
    </row>
    <row r="104" spans="1:9" x14ac:dyDescent="0.2">
      <c r="A104" s="58">
        <v>102</v>
      </c>
      <c r="B104" s="59" t="s">
        <v>578</v>
      </c>
      <c r="C104" s="59" t="s">
        <v>579</v>
      </c>
      <c r="D104" s="59" t="s">
        <v>569</v>
      </c>
      <c r="E104" s="58">
        <v>12</v>
      </c>
      <c r="F104" s="58">
        <v>12</v>
      </c>
      <c r="G104" s="58"/>
      <c r="H104" s="59" t="s">
        <v>493</v>
      </c>
      <c r="I104" s="59"/>
    </row>
    <row r="105" spans="1:9" s="62" customFormat="1" x14ac:dyDescent="0.2">
      <c r="A105" s="60">
        <v>103</v>
      </c>
      <c r="B105" s="61" t="s">
        <v>580</v>
      </c>
      <c r="C105" s="61" t="s">
        <v>114</v>
      </c>
      <c r="D105" s="61" t="s">
        <v>569</v>
      </c>
      <c r="E105" s="60">
        <v>53</v>
      </c>
      <c r="F105" s="60">
        <v>53</v>
      </c>
      <c r="G105" s="60"/>
      <c r="H105" s="61" t="s">
        <v>454</v>
      </c>
      <c r="I105" s="61"/>
    </row>
    <row r="106" spans="1:9" x14ac:dyDescent="0.2">
      <c r="A106" s="58">
        <v>104</v>
      </c>
      <c r="B106" s="59" t="s">
        <v>581</v>
      </c>
      <c r="C106" s="59" t="s">
        <v>582</v>
      </c>
      <c r="D106" s="59" t="s">
        <v>569</v>
      </c>
      <c r="E106" s="58">
        <v>89</v>
      </c>
      <c r="F106" s="58">
        <v>89</v>
      </c>
      <c r="G106" s="58"/>
      <c r="H106" s="59" t="s">
        <v>454</v>
      </c>
      <c r="I106" s="59"/>
    </row>
    <row r="107" spans="1:9" x14ac:dyDescent="0.2">
      <c r="A107" s="58">
        <v>105</v>
      </c>
      <c r="B107" s="59" t="s">
        <v>583</v>
      </c>
      <c r="C107" s="59" t="s">
        <v>584</v>
      </c>
      <c r="D107" s="59" t="s">
        <v>569</v>
      </c>
      <c r="E107" s="58">
        <v>1</v>
      </c>
      <c r="F107" s="58">
        <v>1</v>
      </c>
      <c r="G107" s="58"/>
      <c r="H107" s="59" t="s">
        <v>467</v>
      </c>
      <c r="I107" s="59"/>
    </row>
    <row r="108" spans="1:9" x14ac:dyDescent="0.2">
      <c r="A108" s="58">
        <v>106</v>
      </c>
      <c r="B108" s="59" t="s">
        <v>585</v>
      </c>
      <c r="C108" s="59" t="s">
        <v>586</v>
      </c>
      <c r="D108" s="59" t="s">
        <v>569</v>
      </c>
      <c r="E108" s="58">
        <v>1</v>
      </c>
      <c r="F108" s="58">
        <v>1</v>
      </c>
      <c r="G108" s="58"/>
      <c r="H108" s="59" t="s">
        <v>493</v>
      </c>
      <c r="I108" s="59"/>
    </row>
    <row r="109" spans="1:9" x14ac:dyDescent="0.2">
      <c r="A109" s="58">
        <v>107</v>
      </c>
      <c r="B109" s="59" t="s">
        <v>578</v>
      </c>
      <c r="C109" s="59" t="s">
        <v>587</v>
      </c>
      <c r="D109" s="59" t="s">
        <v>569</v>
      </c>
      <c r="E109" s="58">
        <v>2</v>
      </c>
      <c r="F109" s="58">
        <v>2</v>
      </c>
      <c r="G109" s="58"/>
      <c r="H109" s="59" t="s">
        <v>456</v>
      </c>
      <c r="I109" s="59"/>
    </row>
    <row r="110" spans="1:9" x14ac:dyDescent="0.2">
      <c r="A110" s="58">
        <v>108</v>
      </c>
      <c r="B110" s="59" t="s">
        <v>588</v>
      </c>
      <c r="C110" s="59" t="s">
        <v>589</v>
      </c>
      <c r="D110" s="59" t="s">
        <v>569</v>
      </c>
      <c r="E110" s="58">
        <v>2</v>
      </c>
      <c r="F110" s="58">
        <v>2</v>
      </c>
      <c r="G110" s="58"/>
      <c r="H110" s="59" t="s">
        <v>456</v>
      </c>
      <c r="I110" s="59"/>
    </row>
    <row r="111" spans="1:9" x14ac:dyDescent="0.2">
      <c r="A111" s="58">
        <v>109</v>
      </c>
      <c r="B111" s="59" t="s">
        <v>590</v>
      </c>
      <c r="C111" s="59" t="s">
        <v>591</v>
      </c>
      <c r="D111" s="59" t="s">
        <v>569</v>
      </c>
      <c r="E111" s="58">
        <v>1</v>
      </c>
      <c r="F111" s="58">
        <v>1</v>
      </c>
      <c r="G111" s="58"/>
      <c r="H111" s="59" t="s">
        <v>456</v>
      </c>
      <c r="I111" s="59"/>
    </row>
    <row r="112" spans="1:9" x14ac:dyDescent="0.2">
      <c r="A112" s="58">
        <v>110</v>
      </c>
      <c r="B112" s="59" t="s">
        <v>592</v>
      </c>
      <c r="C112" s="59" t="s">
        <v>73</v>
      </c>
      <c r="D112" s="59" t="s">
        <v>569</v>
      </c>
      <c r="E112" s="58">
        <v>5</v>
      </c>
      <c r="F112" s="58">
        <v>5</v>
      </c>
      <c r="G112" s="58"/>
      <c r="H112" s="59" t="s">
        <v>456</v>
      </c>
      <c r="I112" s="59"/>
    </row>
    <row r="113" spans="1:9" x14ac:dyDescent="0.2">
      <c r="A113" s="58">
        <v>111</v>
      </c>
      <c r="B113" s="59" t="s">
        <v>593</v>
      </c>
      <c r="C113" s="59"/>
      <c r="D113" s="59" t="s">
        <v>569</v>
      </c>
      <c r="E113" s="58">
        <v>1</v>
      </c>
      <c r="F113" s="58">
        <v>1</v>
      </c>
      <c r="G113" s="58"/>
      <c r="H113" s="59" t="s">
        <v>454</v>
      </c>
      <c r="I113" s="59"/>
    </row>
    <row r="114" spans="1:9" x14ac:dyDescent="0.2">
      <c r="A114" s="58">
        <v>112</v>
      </c>
      <c r="B114" s="59" t="s">
        <v>594</v>
      </c>
      <c r="C114" s="59" t="s">
        <v>595</v>
      </c>
      <c r="D114" s="59" t="s">
        <v>569</v>
      </c>
      <c r="E114" s="58">
        <v>1</v>
      </c>
      <c r="F114" s="58">
        <v>1</v>
      </c>
      <c r="G114" s="58"/>
      <c r="H114" s="59" t="s">
        <v>454</v>
      </c>
      <c r="I114" s="59"/>
    </row>
    <row r="115" spans="1:9" s="62" customFormat="1" x14ac:dyDescent="0.2">
      <c r="A115" s="60">
        <v>113</v>
      </c>
      <c r="B115" s="61" t="s">
        <v>596</v>
      </c>
      <c r="C115" s="61" t="s">
        <v>597</v>
      </c>
      <c r="D115" s="61" t="s">
        <v>569</v>
      </c>
      <c r="E115" s="60">
        <v>2</v>
      </c>
      <c r="F115" s="60">
        <v>1</v>
      </c>
      <c r="G115" s="60">
        <v>1</v>
      </c>
      <c r="H115" s="61" t="s">
        <v>493</v>
      </c>
      <c r="I115" s="61"/>
    </row>
    <row r="116" spans="1:9" x14ac:dyDescent="0.2">
      <c r="A116" s="58">
        <v>114</v>
      </c>
      <c r="B116" s="59" t="s">
        <v>596</v>
      </c>
      <c r="C116" s="59" t="s">
        <v>462</v>
      </c>
      <c r="D116" s="59" t="s">
        <v>569</v>
      </c>
      <c r="E116" s="58">
        <v>5</v>
      </c>
      <c r="F116" s="58">
        <v>5</v>
      </c>
      <c r="G116" s="58"/>
      <c r="H116" s="59" t="s">
        <v>493</v>
      </c>
      <c r="I116" s="59"/>
    </row>
    <row r="117" spans="1:9" x14ac:dyDescent="0.2">
      <c r="A117" s="58">
        <v>115</v>
      </c>
      <c r="B117" s="59" t="s">
        <v>130</v>
      </c>
      <c r="C117" s="59" t="s">
        <v>114</v>
      </c>
      <c r="D117" s="59" t="s">
        <v>569</v>
      </c>
      <c r="E117" s="58">
        <v>7</v>
      </c>
      <c r="F117" s="58">
        <v>7</v>
      </c>
      <c r="G117" s="58"/>
      <c r="H117" s="59" t="s">
        <v>454</v>
      </c>
      <c r="I117" s="59"/>
    </row>
    <row r="118" spans="1:9" x14ac:dyDescent="0.2">
      <c r="A118" s="58">
        <v>116</v>
      </c>
      <c r="B118" s="59" t="s">
        <v>598</v>
      </c>
      <c r="C118" s="59" t="s">
        <v>599</v>
      </c>
      <c r="D118" s="59" t="s">
        <v>569</v>
      </c>
      <c r="E118" s="58">
        <v>1</v>
      </c>
      <c r="F118" s="58">
        <v>1</v>
      </c>
      <c r="G118" s="58"/>
      <c r="H118" s="59" t="s">
        <v>454</v>
      </c>
      <c r="I118" s="59"/>
    </row>
    <row r="119" spans="1:9" x14ac:dyDescent="0.2">
      <c r="A119" s="58">
        <v>117</v>
      </c>
      <c r="B119" s="59" t="s">
        <v>600</v>
      </c>
      <c r="C119" s="59" t="s">
        <v>601</v>
      </c>
      <c r="D119" s="59" t="s">
        <v>569</v>
      </c>
      <c r="E119" s="58">
        <v>2</v>
      </c>
      <c r="F119" s="58">
        <v>2</v>
      </c>
      <c r="G119" s="58"/>
      <c r="H119" s="59" t="s">
        <v>501</v>
      </c>
      <c r="I119" s="59"/>
    </row>
    <row r="120" spans="1:9" x14ac:dyDescent="0.2">
      <c r="A120" s="58">
        <v>118</v>
      </c>
      <c r="B120" s="59" t="s">
        <v>457</v>
      </c>
      <c r="C120" s="59" t="s">
        <v>602</v>
      </c>
      <c r="D120" s="59" t="s">
        <v>569</v>
      </c>
      <c r="E120" s="58">
        <v>11</v>
      </c>
      <c r="F120" s="58">
        <v>11</v>
      </c>
      <c r="G120" s="58"/>
      <c r="H120" s="59" t="s">
        <v>454</v>
      </c>
      <c r="I120" s="59"/>
    </row>
    <row r="121" spans="1:9" x14ac:dyDescent="0.2">
      <c r="A121" s="58">
        <v>119</v>
      </c>
      <c r="B121" s="59" t="s">
        <v>603</v>
      </c>
      <c r="C121" s="59"/>
      <c r="D121" s="59" t="s">
        <v>569</v>
      </c>
      <c r="E121" s="58">
        <v>2</v>
      </c>
      <c r="F121" s="58">
        <v>2</v>
      </c>
      <c r="G121" s="58"/>
      <c r="H121" s="59" t="s">
        <v>456</v>
      </c>
      <c r="I121" s="59"/>
    </row>
    <row r="122" spans="1:9" s="62" customFormat="1" x14ac:dyDescent="0.2">
      <c r="A122" s="60">
        <v>120</v>
      </c>
      <c r="B122" s="61" t="s">
        <v>461</v>
      </c>
      <c r="C122" s="61" t="s">
        <v>604</v>
      </c>
      <c r="D122" s="61" t="s">
        <v>569</v>
      </c>
      <c r="E122" s="60">
        <v>15</v>
      </c>
      <c r="F122" s="60">
        <v>18</v>
      </c>
      <c r="G122" s="60">
        <v>3</v>
      </c>
      <c r="H122" s="61" t="s">
        <v>522</v>
      </c>
      <c r="I122" s="61" t="s">
        <v>605</v>
      </c>
    </row>
    <row r="123" spans="1:9" x14ac:dyDescent="0.2">
      <c r="A123" s="58">
        <v>121</v>
      </c>
      <c r="B123" s="59" t="s">
        <v>461</v>
      </c>
      <c r="C123" s="59" t="s">
        <v>606</v>
      </c>
      <c r="D123" s="59" t="s">
        <v>569</v>
      </c>
      <c r="E123" s="58">
        <v>6</v>
      </c>
      <c r="F123" s="58">
        <v>6</v>
      </c>
      <c r="G123" s="58"/>
      <c r="H123" s="59" t="s">
        <v>456</v>
      </c>
      <c r="I123" s="59"/>
    </row>
    <row r="124" spans="1:9" x14ac:dyDescent="0.2">
      <c r="A124" s="58">
        <v>122</v>
      </c>
      <c r="B124" s="59" t="s">
        <v>461</v>
      </c>
      <c r="C124" s="59" t="s">
        <v>607</v>
      </c>
      <c r="D124" s="59" t="s">
        <v>569</v>
      </c>
      <c r="E124" s="58">
        <v>5</v>
      </c>
      <c r="F124" s="58">
        <v>5</v>
      </c>
      <c r="G124" s="58"/>
      <c r="H124" s="59" t="s">
        <v>456</v>
      </c>
      <c r="I124" s="59"/>
    </row>
    <row r="125" spans="1:9" x14ac:dyDescent="0.2">
      <c r="A125" s="58">
        <v>123</v>
      </c>
      <c r="B125" s="59" t="s">
        <v>461</v>
      </c>
      <c r="C125" s="59" t="s">
        <v>608</v>
      </c>
      <c r="D125" s="59" t="s">
        <v>569</v>
      </c>
      <c r="E125" s="58">
        <v>0.75</v>
      </c>
      <c r="F125" s="58">
        <v>0.75</v>
      </c>
      <c r="G125" s="58"/>
      <c r="H125" s="59" t="s">
        <v>609</v>
      </c>
      <c r="I125" s="59"/>
    </row>
    <row r="126" spans="1:9" x14ac:dyDescent="0.2">
      <c r="A126" s="58">
        <v>124</v>
      </c>
      <c r="B126" s="59" t="s">
        <v>461</v>
      </c>
      <c r="C126" s="59" t="s">
        <v>610</v>
      </c>
      <c r="D126" s="59" t="s">
        <v>569</v>
      </c>
      <c r="E126" s="58">
        <v>1</v>
      </c>
      <c r="F126" s="58">
        <v>1</v>
      </c>
      <c r="G126" s="58"/>
      <c r="H126" s="59" t="s">
        <v>456</v>
      </c>
      <c r="I126" s="59"/>
    </row>
    <row r="127" spans="1:9" x14ac:dyDescent="0.2">
      <c r="A127" s="58">
        <v>125</v>
      </c>
      <c r="B127" s="59" t="s">
        <v>220</v>
      </c>
      <c r="C127" s="59" t="s">
        <v>221</v>
      </c>
      <c r="D127" s="59" t="s">
        <v>569</v>
      </c>
      <c r="E127" s="58">
        <v>13</v>
      </c>
      <c r="F127" s="58">
        <v>13</v>
      </c>
      <c r="G127" s="58"/>
      <c r="H127" s="59" t="s">
        <v>454</v>
      </c>
      <c r="I127" s="59"/>
    </row>
    <row r="128" spans="1:9" x14ac:dyDescent="0.2">
      <c r="A128" s="58">
        <v>126</v>
      </c>
      <c r="B128" s="59" t="s">
        <v>463</v>
      </c>
      <c r="C128" s="59" t="s">
        <v>611</v>
      </c>
      <c r="D128" s="59" t="s">
        <v>569</v>
      </c>
      <c r="E128" s="58">
        <v>2</v>
      </c>
      <c r="F128" s="58">
        <v>2</v>
      </c>
      <c r="G128" s="58"/>
      <c r="H128" s="59" t="s">
        <v>454</v>
      </c>
      <c r="I128" s="59"/>
    </row>
    <row r="129" spans="1:9" x14ac:dyDescent="0.2">
      <c r="A129" s="58">
        <v>127</v>
      </c>
      <c r="B129" s="59" t="s">
        <v>612</v>
      </c>
      <c r="C129" s="59"/>
      <c r="D129" s="59" t="s">
        <v>569</v>
      </c>
      <c r="E129" s="58">
        <v>14</v>
      </c>
      <c r="F129" s="58">
        <v>14</v>
      </c>
      <c r="G129" s="58"/>
      <c r="H129" s="59" t="s">
        <v>454</v>
      </c>
      <c r="I129" s="59"/>
    </row>
    <row r="130" spans="1:9" x14ac:dyDescent="0.2">
      <c r="A130" s="58">
        <v>128</v>
      </c>
      <c r="B130" s="59" t="s">
        <v>613</v>
      </c>
      <c r="C130" s="59" t="s">
        <v>614</v>
      </c>
      <c r="D130" s="59" t="s">
        <v>569</v>
      </c>
      <c r="E130" s="58">
        <v>2</v>
      </c>
      <c r="F130" s="58">
        <v>2</v>
      </c>
      <c r="G130" s="58"/>
      <c r="H130" s="59" t="s">
        <v>454</v>
      </c>
      <c r="I130" s="59"/>
    </row>
    <row r="131" spans="1:9" x14ac:dyDescent="0.2">
      <c r="A131" s="58">
        <v>129</v>
      </c>
      <c r="B131" s="59" t="s">
        <v>615</v>
      </c>
      <c r="C131" s="59"/>
      <c r="D131" s="59" t="s">
        <v>569</v>
      </c>
      <c r="E131" s="58">
        <v>1</v>
      </c>
      <c r="F131" s="58">
        <v>1</v>
      </c>
      <c r="G131" s="58"/>
      <c r="H131" s="59" t="s">
        <v>454</v>
      </c>
      <c r="I131" s="59"/>
    </row>
    <row r="132" spans="1:9" x14ac:dyDescent="0.2">
      <c r="A132" s="58">
        <v>130</v>
      </c>
      <c r="B132" s="59" t="s">
        <v>616</v>
      </c>
      <c r="C132" s="59" t="s">
        <v>617</v>
      </c>
      <c r="D132" s="59" t="s">
        <v>569</v>
      </c>
      <c r="E132" s="58">
        <v>16</v>
      </c>
      <c r="F132" s="58">
        <v>16</v>
      </c>
      <c r="G132" s="58"/>
      <c r="H132" s="59" t="s">
        <v>454</v>
      </c>
      <c r="I132" s="59"/>
    </row>
    <row r="133" spans="1:9" x14ac:dyDescent="0.2">
      <c r="A133" s="58">
        <v>131</v>
      </c>
      <c r="B133" s="59" t="s">
        <v>618</v>
      </c>
      <c r="C133" s="59" t="s">
        <v>619</v>
      </c>
      <c r="D133" s="59" t="s">
        <v>569</v>
      </c>
      <c r="E133" s="58">
        <v>4</v>
      </c>
      <c r="F133" s="58">
        <v>4</v>
      </c>
      <c r="G133" s="58"/>
      <c r="H133" s="59" t="s">
        <v>454</v>
      </c>
      <c r="I133" s="59"/>
    </row>
    <row r="134" spans="1:9" x14ac:dyDescent="0.2">
      <c r="A134" s="58">
        <v>132</v>
      </c>
      <c r="B134" s="59" t="s">
        <v>618</v>
      </c>
      <c r="C134" s="59" t="s">
        <v>620</v>
      </c>
      <c r="D134" s="59" t="s">
        <v>569</v>
      </c>
      <c r="E134" s="58">
        <v>5</v>
      </c>
      <c r="F134" s="58">
        <v>5</v>
      </c>
      <c r="G134" s="58"/>
      <c r="H134" s="59" t="s">
        <v>454</v>
      </c>
      <c r="I134" s="59"/>
    </row>
    <row r="135" spans="1:9" x14ac:dyDescent="0.2">
      <c r="A135" s="58">
        <v>133</v>
      </c>
      <c r="B135" s="59" t="s">
        <v>621</v>
      </c>
      <c r="C135" s="59" t="s">
        <v>622</v>
      </c>
      <c r="D135" s="59" t="s">
        <v>569</v>
      </c>
      <c r="E135" s="58">
        <v>2</v>
      </c>
      <c r="F135" s="58">
        <v>2</v>
      </c>
      <c r="G135" s="58"/>
      <c r="H135" s="59" t="s">
        <v>454</v>
      </c>
      <c r="I135" s="59"/>
    </row>
    <row r="136" spans="1:9" x14ac:dyDescent="0.2">
      <c r="A136" s="58">
        <v>134</v>
      </c>
      <c r="B136" s="59" t="s">
        <v>623</v>
      </c>
      <c r="C136" s="59"/>
      <c r="D136" s="59" t="s">
        <v>569</v>
      </c>
      <c r="E136" s="58">
        <v>1</v>
      </c>
      <c r="F136" s="58">
        <v>1</v>
      </c>
      <c r="G136" s="58"/>
      <c r="H136" s="59" t="s">
        <v>467</v>
      </c>
      <c r="I136" s="59"/>
    </row>
    <row r="137" spans="1:9" x14ac:dyDescent="0.2">
      <c r="A137" s="58">
        <v>135</v>
      </c>
      <c r="B137" s="59" t="s">
        <v>491</v>
      </c>
      <c r="C137" s="59" t="s">
        <v>624</v>
      </c>
      <c r="D137" s="59" t="s">
        <v>569</v>
      </c>
      <c r="E137" s="58">
        <v>1</v>
      </c>
      <c r="F137" s="58">
        <v>1</v>
      </c>
      <c r="G137" s="58"/>
      <c r="H137" s="59" t="s">
        <v>493</v>
      </c>
      <c r="I137" s="59"/>
    </row>
    <row r="138" spans="1:9" x14ac:dyDescent="0.2">
      <c r="A138" s="58">
        <v>136</v>
      </c>
      <c r="B138" s="59" t="s">
        <v>625</v>
      </c>
      <c r="C138" s="59" t="s">
        <v>626</v>
      </c>
      <c r="D138" s="59" t="s">
        <v>569</v>
      </c>
      <c r="E138" s="58">
        <v>3</v>
      </c>
      <c r="F138" s="58">
        <v>3</v>
      </c>
      <c r="G138" s="58"/>
      <c r="H138" s="59" t="s">
        <v>493</v>
      </c>
      <c r="I138" s="59"/>
    </row>
    <row r="139" spans="1:9" x14ac:dyDescent="0.2">
      <c r="A139" s="58">
        <v>137</v>
      </c>
      <c r="B139" s="59" t="s">
        <v>627</v>
      </c>
      <c r="C139" s="59" t="s">
        <v>628</v>
      </c>
      <c r="D139" s="59" t="s">
        <v>569</v>
      </c>
      <c r="E139" s="58">
        <v>3</v>
      </c>
      <c r="F139" s="58">
        <v>3</v>
      </c>
      <c r="G139" s="58"/>
      <c r="H139" s="59" t="s">
        <v>501</v>
      </c>
      <c r="I139" s="59"/>
    </row>
    <row r="140" spans="1:9" x14ac:dyDescent="0.2">
      <c r="A140" s="58">
        <v>138</v>
      </c>
      <c r="B140" s="59" t="s">
        <v>629</v>
      </c>
      <c r="C140" s="59"/>
      <c r="D140" s="59" t="s">
        <v>569</v>
      </c>
      <c r="E140" s="58">
        <v>1</v>
      </c>
      <c r="F140" s="58">
        <v>1</v>
      </c>
      <c r="G140" s="58"/>
      <c r="H140" s="59" t="s">
        <v>454</v>
      </c>
      <c r="I140" s="59"/>
    </row>
    <row r="141" spans="1:9" x14ac:dyDescent="0.2">
      <c r="A141" s="58">
        <v>139</v>
      </c>
      <c r="B141" s="59" t="s">
        <v>630</v>
      </c>
      <c r="C141" s="59"/>
      <c r="D141" s="59" t="s">
        <v>569</v>
      </c>
      <c r="E141" s="58">
        <v>1</v>
      </c>
      <c r="F141" s="58">
        <v>1</v>
      </c>
      <c r="G141" s="58"/>
      <c r="H141" s="59" t="s">
        <v>493</v>
      </c>
      <c r="I141" s="59"/>
    </row>
    <row r="142" spans="1:9" x14ac:dyDescent="0.2">
      <c r="A142" s="58">
        <v>140</v>
      </c>
      <c r="B142" s="59" t="s">
        <v>631</v>
      </c>
      <c r="C142" s="59" t="s">
        <v>632</v>
      </c>
      <c r="D142" s="59" t="s">
        <v>633</v>
      </c>
      <c r="E142" s="58">
        <v>2</v>
      </c>
      <c r="F142" s="58">
        <v>2</v>
      </c>
      <c r="G142" s="58"/>
      <c r="H142" s="59" t="s">
        <v>501</v>
      </c>
      <c r="I142" s="59"/>
    </row>
    <row r="143" spans="1:9" x14ac:dyDescent="0.2">
      <c r="A143" s="58">
        <v>141</v>
      </c>
      <c r="B143" s="59" t="s">
        <v>634</v>
      </c>
      <c r="C143" s="59" t="s">
        <v>635</v>
      </c>
      <c r="D143" s="59" t="s">
        <v>633</v>
      </c>
      <c r="E143" s="58">
        <v>1</v>
      </c>
      <c r="F143" s="58">
        <v>1</v>
      </c>
      <c r="G143" s="58"/>
      <c r="H143" s="59" t="s">
        <v>501</v>
      </c>
      <c r="I143" s="59"/>
    </row>
    <row r="144" spans="1:9" x14ac:dyDescent="0.2">
      <c r="A144" s="58">
        <v>142</v>
      </c>
      <c r="B144" s="59" t="s">
        <v>279</v>
      </c>
      <c r="C144" s="59" t="s">
        <v>636</v>
      </c>
      <c r="D144" s="59" t="s">
        <v>633</v>
      </c>
      <c r="E144" s="58">
        <v>17</v>
      </c>
      <c r="F144" s="58">
        <v>17</v>
      </c>
      <c r="G144" s="58"/>
      <c r="H144" s="59" t="s">
        <v>493</v>
      </c>
      <c r="I144" s="59"/>
    </row>
    <row r="145" spans="1:9" x14ac:dyDescent="0.2">
      <c r="A145" s="58">
        <v>143</v>
      </c>
      <c r="B145" s="59" t="s">
        <v>279</v>
      </c>
      <c r="C145" s="59" t="s">
        <v>637</v>
      </c>
      <c r="D145" s="59" t="s">
        <v>633</v>
      </c>
      <c r="E145" s="58">
        <v>5</v>
      </c>
      <c r="F145" s="58">
        <v>5</v>
      </c>
      <c r="G145" s="58"/>
      <c r="H145" s="59" t="s">
        <v>493</v>
      </c>
      <c r="I145" s="59"/>
    </row>
    <row r="146" spans="1:9" x14ac:dyDescent="0.2">
      <c r="A146" s="58">
        <v>144</v>
      </c>
      <c r="B146" s="59" t="s">
        <v>279</v>
      </c>
      <c r="C146" s="59" t="s">
        <v>638</v>
      </c>
      <c r="D146" s="59" t="s">
        <v>633</v>
      </c>
      <c r="E146" s="58">
        <v>4</v>
      </c>
      <c r="F146" s="58">
        <v>4</v>
      </c>
      <c r="G146" s="58"/>
      <c r="H146" s="59" t="s">
        <v>493</v>
      </c>
      <c r="I146" s="59"/>
    </row>
    <row r="147" spans="1:9" x14ac:dyDescent="0.2">
      <c r="A147" s="58">
        <v>145</v>
      </c>
      <c r="B147" s="59" t="s">
        <v>279</v>
      </c>
      <c r="C147" s="59" t="s">
        <v>280</v>
      </c>
      <c r="D147" s="59" t="s">
        <v>633</v>
      </c>
      <c r="E147" s="58">
        <v>58</v>
      </c>
      <c r="F147" s="58">
        <v>58</v>
      </c>
      <c r="G147" s="58"/>
      <c r="H147" s="59" t="s">
        <v>493</v>
      </c>
      <c r="I147" s="59"/>
    </row>
    <row r="148" spans="1:9" x14ac:dyDescent="0.2">
      <c r="A148" s="58">
        <v>146</v>
      </c>
      <c r="B148" s="59" t="s">
        <v>279</v>
      </c>
      <c r="C148" s="59" t="s">
        <v>639</v>
      </c>
      <c r="D148" s="59" t="s">
        <v>633</v>
      </c>
      <c r="E148" s="58">
        <v>8</v>
      </c>
      <c r="F148" s="58">
        <v>8</v>
      </c>
      <c r="G148" s="58"/>
      <c r="H148" s="59" t="s">
        <v>493</v>
      </c>
      <c r="I148" s="59"/>
    </row>
    <row r="149" spans="1:9" x14ac:dyDescent="0.2">
      <c r="A149" s="58">
        <v>147</v>
      </c>
      <c r="B149" s="59" t="s">
        <v>640</v>
      </c>
      <c r="C149" s="59" t="s">
        <v>641</v>
      </c>
      <c r="D149" s="59" t="s">
        <v>633</v>
      </c>
      <c r="E149" s="58">
        <v>7</v>
      </c>
      <c r="F149" s="58">
        <v>7</v>
      </c>
      <c r="G149" s="58"/>
      <c r="H149" s="59" t="s">
        <v>501</v>
      </c>
      <c r="I149" s="59"/>
    </row>
    <row r="150" spans="1:9" x14ac:dyDescent="0.2">
      <c r="A150" s="58">
        <v>148</v>
      </c>
      <c r="B150" s="59" t="s">
        <v>642</v>
      </c>
      <c r="C150" s="59" t="s">
        <v>643</v>
      </c>
      <c r="D150" s="59" t="s">
        <v>633</v>
      </c>
      <c r="E150" s="58">
        <v>2</v>
      </c>
      <c r="F150" s="58">
        <v>2</v>
      </c>
      <c r="G150" s="58"/>
      <c r="H150" s="59" t="s">
        <v>454</v>
      </c>
      <c r="I150" s="59"/>
    </row>
    <row r="151" spans="1:9" x14ac:dyDescent="0.2">
      <c r="A151" s="58">
        <v>149</v>
      </c>
      <c r="B151" s="59" t="s">
        <v>644</v>
      </c>
      <c r="C151" s="59" t="s">
        <v>645</v>
      </c>
      <c r="D151" s="59" t="s">
        <v>633</v>
      </c>
      <c r="E151" s="58">
        <v>1000</v>
      </c>
      <c r="F151" s="58">
        <v>1000</v>
      </c>
      <c r="G151" s="58"/>
      <c r="H151" s="59" t="s">
        <v>460</v>
      </c>
      <c r="I151" s="59"/>
    </row>
    <row r="152" spans="1:9" x14ac:dyDescent="0.2">
      <c r="A152" s="58">
        <v>150</v>
      </c>
      <c r="B152" s="59" t="s">
        <v>646</v>
      </c>
      <c r="C152" s="59" t="s">
        <v>647</v>
      </c>
      <c r="D152" s="59" t="s">
        <v>633</v>
      </c>
      <c r="E152" s="58">
        <v>2</v>
      </c>
      <c r="F152" s="58">
        <v>2</v>
      </c>
      <c r="G152" s="58"/>
      <c r="H152" s="59" t="s">
        <v>501</v>
      </c>
      <c r="I152" s="59"/>
    </row>
    <row r="153" spans="1:9" s="62" customFormat="1" x14ac:dyDescent="0.2">
      <c r="A153" s="60">
        <v>151</v>
      </c>
      <c r="B153" s="61" t="s">
        <v>220</v>
      </c>
      <c r="C153" s="61" t="s">
        <v>648</v>
      </c>
      <c r="D153" s="61" t="s">
        <v>633</v>
      </c>
      <c r="E153" s="60">
        <v>27</v>
      </c>
      <c r="F153" s="60">
        <v>21</v>
      </c>
      <c r="G153" s="60">
        <v>6</v>
      </c>
      <c r="H153" s="61" t="s">
        <v>454</v>
      </c>
      <c r="I153" s="61"/>
    </row>
    <row r="154" spans="1:9" s="62" customFormat="1" x14ac:dyDescent="0.2">
      <c r="A154" s="60">
        <v>152</v>
      </c>
      <c r="B154" s="61" t="s">
        <v>220</v>
      </c>
      <c r="C154" s="61" t="s">
        <v>649</v>
      </c>
      <c r="D154" s="61" t="s">
        <v>633</v>
      </c>
      <c r="E154" s="60">
        <v>18</v>
      </c>
      <c r="F154" s="60">
        <v>19</v>
      </c>
      <c r="G154" s="60">
        <v>1</v>
      </c>
      <c r="H154" s="61" t="s">
        <v>454</v>
      </c>
      <c r="I154" s="61"/>
    </row>
    <row r="155" spans="1:9" x14ac:dyDescent="0.2">
      <c r="A155" s="58">
        <v>153</v>
      </c>
      <c r="B155" s="59" t="s">
        <v>220</v>
      </c>
      <c r="C155" s="59" t="s">
        <v>650</v>
      </c>
      <c r="D155" s="59" t="s">
        <v>633</v>
      </c>
      <c r="E155" s="58">
        <v>1</v>
      </c>
      <c r="F155" s="58">
        <v>1</v>
      </c>
      <c r="G155" s="58"/>
      <c r="H155" s="59" t="s">
        <v>454</v>
      </c>
      <c r="I155" s="59"/>
    </row>
    <row r="156" spans="1:9" x14ac:dyDescent="0.2">
      <c r="A156" s="58">
        <v>154</v>
      </c>
      <c r="B156" s="59" t="s">
        <v>651</v>
      </c>
      <c r="C156" s="59" t="s">
        <v>652</v>
      </c>
      <c r="D156" s="59" t="s">
        <v>633</v>
      </c>
      <c r="E156" s="58">
        <v>4</v>
      </c>
      <c r="F156" s="58">
        <v>4</v>
      </c>
      <c r="G156" s="58"/>
      <c r="H156" s="59" t="s">
        <v>456</v>
      </c>
      <c r="I156" s="59"/>
    </row>
    <row r="157" spans="1:9" x14ac:dyDescent="0.2">
      <c r="A157" s="58">
        <v>155</v>
      </c>
      <c r="B157" s="59" t="s">
        <v>653</v>
      </c>
      <c r="C157" s="59" t="s">
        <v>654</v>
      </c>
      <c r="D157" s="59" t="s">
        <v>655</v>
      </c>
      <c r="E157" s="58">
        <v>27</v>
      </c>
      <c r="F157" s="58">
        <v>27</v>
      </c>
      <c r="G157" s="58"/>
      <c r="H157" s="59" t="s">
        <v>493</v>
      </c>
      <c r="I157" s="59"/>
    </row>
    <row r="158" spans="1:9" x14ac:dyDescent="0.2">
      <c r="A158" s="58">
        <v>156</v>
      </c>
      <c r="B158" s="59" t="s">
        <v>656</v>
      </c>
      <c r="C158" s="59" t="s">
        <v>657</v>
      </c>
      <c r="D158" s="59" t="s">
        <v>655</v>
      </c>
      <c r="E158" s="58">
        <v>1</v>
      </c>
      <c r="F158" s="58">
        <v>1</v>
      </c>
      <c r="G158" s="58"/>
      <c r="H158" s="59" t="s">
        <v>467</v>
      </c>
      <c r="I158" s="59"/>
    </row>
    <row r="159" spans="1:9" x14ac:dyDescent="0.2">
      <c r="A159" s="58">
        <v>157</v>
      </c>
      <c r="B159" s="59" t="s">
        <v>658</v>
      </c>
      <c r="C159" s="59" t="s">
        <v>659</v>
      </c>
      <c r="D159" s="59" t="s">
        <v>655</v>
      </c>
      <c r="E159" s="58">
        <v>2</v>
      </c>
      <c r="F159" s="58">
        <v>2</v>
      </c>
      <c r="G159" s="58"/>
      <c r="H159" s="59" t="s">
        <v>454</v>
      </c>
      <c r="I159" s="59"/>
    </row>
    <row r="160" spans="1:9" x14ac:dyDescent="0.2">
      <c r="A160" s="58">
        <v>158</v>
      </c>
      <c r="B160" s="59" t="s">
        <v>660</v>
      </c>
      <c r="C160" s="59"/>
      <c r="D160" s="59" t="s">
        <v>655</v>
      </c>
      <c r="E160" s="58">
        <v>9</v>
      </c>
      <c r="F160" s="58">
        <v>9</v>
      </c>
      <c r="G160" s="58"/>
      <c r="H160" s="59" t="s">
        <v>454</v>
      </c>
      <c r="I160" s="59"/>
    </row>
    <row r="161" spans="1:9" x14ac:dyDescent="0.2">
      <c r="A161" s="58">
        <v>159</v>
      </c>
      <c r="B161" s="59" t="s">
        <v>661</v>
      </c>
      <c r="C161" s="59" t="s">
        <v>662</v>
      </c>
      <c r="D161" s="59" t="s">
        <v>655</v>
      </c>
      <c r="E161" s="58">
        <v>11</v>
      </c>
      <c r="F161" s="58">
        <v>11</v>
      </c>
      <c r="G161" s="58"/>
      <c r="H161" s="59" t="s">
        <v>456</v>
      </c>
      <c r="I161" s="59"/>
    </row>
    <row r="162" spans="1:9" x14ac:dyDescent="0.2">
      <c r="A162" s="58">
        <v>160</v>
      </c>
      <c r="B162" s="59" t="s">
        <v>663</v>
      </c>
      <c r="C162" s="59" t="s">
        <v>664</v>
      </c>
      <c r="D162" s="59" t="s">
        <v>655</v>
      </c>
      <c r="E162" s="58">
        <v>1</v>
      </c>
      <c r="F162" s="58">
        <v>1</v>
      </c>
      <c r="G162" s="58"/>
      <c r="H162" s="59" t="s">
        <v>467</v>
      </c>
      <c r="I162" s="59"/>
    </row>
    <row r="163" spans="1:9" x14ac:dyDescent="0.2">
      <c r="A163" s="58">
        <v>161</v>
      </c>
      <c r="B163" s="59" t="s">
        <v>665</v>
      </c>
      <c r="C163" s="59" t="s">
        <v>666</v>
      </c>
      <c r="D163" s="59" t="s">
        <v>655</v>
      </c>
      <c r="E163" s="58">
        <v>4</v>
      </c>
      <c r="F163" s="58">
        <v>4</v>
      </c>
      <c r="G163" s="58"/>
      <c r="H163" s="59" t="s">
        <v>467</v>
      </c>
      <c r="I163" s="59"/>
    </row>
    <row r="164" spans="1:9" x14ac:dyDescent="0.2">
      <c r="A164" s="58">
        <v>162</v>
      </c>
      <c r="B164" s="59" t="s">
        <v>667</v>
      </c>
      <c r="C164" s="59" t="s">
        <v>668</v>
      </c>
      <c r="D164" s="59" t="s">
        <v>655</v>
      </c>
      <c r="E164" s="58">
        <v>3</v>
      </c>
      <c r="F164" s="58">
        <v>3</v>
      </c>
      <c r="G164" s="58"/>
      <c r="H164" s="59" t="s">
        <v>454</v>
      </c>
      <c r="I164" s="59"/>
    </row>
    <row r="165" spans="1:9" s="62" customFormat="1" x14ac:dyDescent="0.2">
      <c r="A165" s="60">
        <v>163</v>
      </c>
      <c r="B165" s="61" t="s">
        <v>44</v>
      </c>
      <c r="C165" s="61"/>
      <c r="D165" s="61" t="s">
        <v>655</v>
      </c>
      <c r="E165" s="60">
        <v>6</v>
      </c>
      <c r="F165" s="60">
        <v>6</v>
      </c>
      <c r="G165" s="60"/>
      <c r="H165" s="61" t="s">
        <v>467</v>
      </c>
      <c r="I165" s="61"/>
    </row>
    <row r="166" spans="1:9" x14ac:dyDescent="0.2">
      <c r="A166" s="58">
        <v>164</v>
      </c>
      <c r="B166" s="59" t="s">
        <v>669</v>
      </c>
      <c r="C166" s="59"/>
      <c r="D166" s="59" t="s">
        <v>655</v>
      </c>
      <c r="E166" s="58">
        <v>9</v>
      </c>
      <c r="F166" s="58">
        <v>9</v>
      </c>
      <c r="G166" s="58"/>
      <c r="H166" s="59" t="s">
        <v>454</v>
      </c>
      <c r="I166" s="59"/>
    </row>
    <row r="167" spans="1:9" x14ac:dyDescent="0.2">
      <c r="A167" s="58">
        <v>165</v>
      </c>
      <c r="B167" s="59" t="s">
        <v>670</v>
      </c>
      <c r="C167" s="59"/>
      <c r="D167" s="59" t="s">
        <v>655</v>
      </c>
      <c r="E167" s="58">
        <v>4</v>
      </c>
      <c r="F167" s="58">
        <v>4</v>
      </c>
      <c r="G167" s="58"/>
      <c r="H167" s="59" t="s">
        <v>456</v>
      </c>
      <c r="I167" s="59"/>
    </row>
    <row r="168" spans="1:9" x14ac:dyDescent="0.2">
      <c r="A168" s="58">
        <v>166</v>
      </c>
      <c r="B168" s="59" t="s">
        <v>671</v>
      </c>
      <c r="C168" s="59"/>
      <c r="D168" s="59" t="s">
        <v>655</v>
      </c>
      <c r="E168" s="58">
        <v>2</v>
      </c>
      <c r="F168" s="58">
        <v>2</v>
      </c>
      <c r="G168" s="58"/>
      <c r="H168" s="59" t="s">
        <v>672</v>
      </c>
      <c r="I168" s="59"/>
    </row>
    <row r="169" spans="1:9" x14ac:dyDescent="0.2">
      <c r="A169" s="58">
        <v>167</v>
      </c>
      <c r="B169" s="59" t="s">
        <v>545</v>
      </c>
      <c r="C169" s="59" t="s">
        <v>673</v>
      </c>
      <c r="D169" s="59" t="s">
        <v>655</v>
      </c>
      <c r="E169" s="58">
        <v>14</v>
      </c>
      <c r="F169" s="58">
        <v>14</v>
      </c>
      <c r="G169" s="58"/>
      <c r="H169" s="59" t="s">
        <v>454</v>
      </c>
      <c r="I169" s="59"/>
    </row>
    <row r="170" spans="1:9" x14ac:dyDescent="0.2">
      <c r="A170" s="58">
        <v>168</v>
      </c>
      <c r="B170" s="59" t="s">
        <v>674</v>
      </c>
      <c r="C170" s="59" t="s">
        <v>675</v>
      </c>
      <c r="D170" s="59" t="s">
        <v>655</v>
      </c>
      <c r="E170" s="58">
        <v>1</v>
      </c>
      <c r="F170" s="58">
        <v>1</v>
      </c>
      <c r="G170" s="58"/>
      <c r="H170" s="59" t="s">
        <v>467</v>
      </c>
      <c r="I170" s="59"/>
    </row>
    <row r="171" spans="1:9" x14ac:dyDescent="0.2">
      <c r="A171" s="58">
        <v>169</v>
      </c>
      <c r="B171" s="59" t="s">
        <v>676</v>
      </c>
      <c r="C171" s="59" t="s">
        <v>677</v>
      </c>
      <c r="D171" s="59" t="s">
        <v>655</v>
      </c>
      <c r="E171" s="58">
        <v>3</v>
      </c>
      <c r="F171" s="58">
        <v>3</v>
      </c>
      <c r="G171" s="58"/>
      <c r="H171" s="59" t="s">
        <v>456</v>
      </c>
      <c r="I171" s="59"/>
    </row>
    <row r="172" spans="1:9" x14ac:dyDescent="0.2">
      <c r="A172" s="58">
        <v>170</v>
      </c>
      <c r="B172" s="59" t="s">
        <v>676</v>
      </c>
      <c r="C172" s="59" t="s">
        <v>678</v>
      </c>
      <c r="D172" s="59" t="s">
        <v>655</v>
      </c>
      <c r="E172" s="58">
        <v>3</v>
      </c>
      <c r="F172" s="58">
        <v>3</v>
      </c>
      <c r="G172" s="58"/>
      <c r="H172" s="59" t="s">
        <v>456</v>
      </c>
      <c r="I172" s="59"/>
    </row>
    <row r="173" spans="1:9" x14ac:dyDescent="0.2">
      <c r="A173" s="58">
        <v>171</v>
      </c>
      <c r="B173" s="59" t="s">
        <v>679</v>
      </c>
      <c r="C173" s="59"/>
      <c r="D173" s="59" t="s">
        <v>655</v>
      </c>
      <c r="E173" s="58">
        <v>9</v>
      </c>
      <c r="F173" s="58">
        <v>9</v>
      </c>
      <c r="G173" s="58"/>
      <c r="H173" s="59" t="s">
        <v>456</v>
      </c>
      <c r="I173" s="59"/>
    </row>
    <row r="174" spans="1:9" x14ac:dyDescent="0.2">
      <c r="A174" s="58">
        <v>172</v>
      </c>
      <c r="B174" s="59" t="s">
        <v>680</v>
      </c>
      <c r="C174" s="59" t="s">
        <v>681</v>
      </c>
      <c r="D174" s="59" t="s">
        <v>655</v>
      </c>
      <c r="E174" s="58">
        <v>9</v>
      </c>
      <c r="F174" s="58">
        <v>9</v>
      </c>
      <c r="G174" s="58"/>
      <c r="H174" s="59" t="s">
        <v>456</v>
      </c>
      <c r="I174" s="59"/>
    </row>
    <row r="175" spans="1:9" x14ac:dyDescent="0.2">
      <c r="A175" s="58">
        <v>173</v>
      </c>
      <c r="B175" s="59" t="s">
        <v>269</v>
      </c>
      <c r="C175" s="59" t="s">
        <v>270</v>
      </c>
      <c r="D175" s="59" t="s">
        <v>655</v>
      </c>
      <c r="E175" s="58">
        <v>12</v>
      </c>
      <c r="F175" s="58">
        <v>12</v>
      </c>
      <c r="G175" s="58"/>
      <c r="H175" s="59" t="s">
        <v>467</v>
      </c>
      <c r="I175" s="59"/>
    </row>
    <row r="176" spans="1:9" x14ac:dyDescent="0.2">
      <c r="A176" s="58">
        <v>174</v>
      </c>
      <c r="B176" s="59" t="s">
        <v>682</v>
      </c>
      <c r="C176" s="59"/>
      <c r="D176" s="59" t="s">
        <v>683</v>
      </c>
      <c r="E176" s="58">
        <v>1</v>
      </c>
      <c r="F176" s="58">
        <v>1</v>
      </c>
      <c r="G176" s="58"/>
      <c r="H176" s="59" t="s">
        <v>478</v>
      </c>
      <c r="I176" s="59"/>
    </row>
    <row r="177" spans="1:9" x14ac:dyDescent="0.2">
      <c r="A177" s="58">
        <v>175</v>
      </c>
      <c r="B177" s="59" t="s">
        <v>684</v>
      </c>
      <c r="C177" s="59"/>
      <c r="D177" s="59" t="s">
        <v>683</v>
      </c>
      <c r="E177" s="58">
        <v>1</v>
      </c>
      <c r="F177" s="58">
        <v>1</v>
      </c>
      <c r="G177" s="58"/>
      <c r="H177" s="59" t="s">
        <v>478</v>
      </c>
      <c r="I177" s="59"/>
    </row>
    <row r="178" spans="1:9" x14ac:dyDescent="0.2">
      <c r="A178" s="58">
        <v>176</v>
      </c>
      <c r="B178" s="59" t="s">
        <v>685</v>
      </c>
      <c r="C178" s="59" t="s">
        <v>686</v>
      </c>
      <c r="D178" s="59" t="s">
        <v>687</v>
      </c>
      <c r="E178" s="58">
        <v>2</v>
      </c>
      <c r="F178" s="58">
        <v>2</v>
      </c>
      <c r="G178" s="58"/>
      <c r="H178" s="59" t="s">
        <v>454</v>
      </c>
      <c r="I178" s="59"/>
    </row>
    <row r="179" spans="1:9" x14ac:dyDescent="0.2">
      <c r="A179" s="58">
        <v>177</v>
      </c>
      <c r="B179" s="59" t="s">
        <v>688</v>
      </c>
      <c r="C179" s="59" t="s">
        <v>689</v>
      </c>
      <c r="D179" s="59" t="s">
        <v>687</v>
      </c>
      <c r="E179" s="58">
        <v>71</v>
      </c>
      <c r="F179" s="58">
        <v>71</v>
      </c>
      <c r="G179" s="58"/>
      <c r="H179" s="59" t="s">
        <v>690</v>
      </c>
      <c r="I179" s="59"/>
    </row>
    <row r="180" spans="1:9" s="62" customFormat="1" x14ac:dyDescent="0.2">
      <c r="A180" s="60">
        <v>178</v>
      </c>
      <c r="B180" s="61" t="s">
        <v>458</v>
      </c>
      <c r="C180" s="61" t="s">
        <v>691</v>
      </c>
      <c r="D180" s="61" t="s">
        <v>687</v>
      </c>
      <c r="E180" s="60">
        <v>19</v>
      </c>
      <c r="F180" s="60">
        <v>19</v>
      </c>
      <c r="G180" s="60"/>
      <c r="H180" s="61" t="s">
        <v>456</v>
      </c>
      <c r="I180" s="61"/>
    </row>
    <row r="181" spans="1:9" x14ac:dyDescent="0.2">
      <c r="A181" s="58">
        <v>179</v>
      </c>
      <c r="B181" s="59" t="s">
        <v>458</v>
      </c>
      <c r="C181" s="59" t="s">
        <v>692</v>
      </c>
      <c r="D181" s="59" t="s">
        <v>687</v>
      </c>
      <c r="E181" s="58">
        <v>19</v>
      </c>
      <c r="F181" s="58">
        <v>19</v>
      </c>
      <c r="G181" s="58"/>
      <c r="H181" s="59" t="s">
        <v>456</v>
      </c>
      <c r="I181" s="59"/>
    </row>
    <row r="182" spans="1:9" x14ac:dyDescent="0.2">
      <c r="A182" s="58">
        <v>180</v>
      </c>
      <c r="B182" s="59" t="s">
        <v>458</v>
      </c>
      <c r="C182" s="59" t="s">
        <v>693</v>
      </c>
      <c r="D182" s="59" t="s">
        <v>687</v>
      </c>
      <c r="E182" s="58">
        <v>4</v>
      </c>
      <c r="F182" s="58">
        <v>4</v>
      </c>
      <c r="G182" s="58"/>
      <c r="H182" s="59" t="s">
        <v>690</v>
      </c>
      <c r="I182" s="59"/>
    </row>
    <row r="183" spans="1:9" x14ac:dyDescent="0.2">
      <c r="A183" s="58">
        <v>181</v>
      </c>
      <c r="B183" s="59" t="s">
        <v>458</v>
      </c>
      <c r="C183" s="59" t="s">
        <v>694</v>
      </c>
      <c r="D183" s="59" t="s">
        <v>687</v>
      </c>
      <c r="E183" s="58">
        <v>4</v>
      </c>
      <c r="F183" s="58">
        <v>4</v>
      </c>
      <c r="G183" s="58"/>
      <c r="H183" s="59" t="s">
        <v>690</v>
      </c>
      <c r="I183" s="59"/>
    </row>
    <row r="184" spans="1:9" x14ac:dyDescent="0.2">
      <c r="A184" s="58">
        <v>182</v>
      </c>
      <c r="B184" s="59" t="s">
        <v>695</v>
      </c>
      <c r="C184" s="59" t="s">
        <v>691</v>
      </c>
      <c r="D184" s="59" t="s">
        <v>687</v>
      </c>
      <c r="E184" s="58">
        <v>2</v>
      </c>
      <c r="F184" s="58">
        <v>2</v>
      </c>
      <c r="G184" s="58"/>
      <c r="H184" s="59" t="s">
        <v>456</v>
      </c>
      <c r="I184" s="59"/>
    </row>
    <row r="185" spans="1:9" x14ac:dyDescent="0.2">
      <c r="A185" s="58">
        <v>183</v>
      </c>
      <c r="B185" s="59" t="s">
        <v>696</v>
      </c>
      <c r="C185" s="59" t="s">
        <v>697</v>
      </c>
      <c r="D185" s="59" t="s">
        <v>687</v>
      </c>
      <c r="E185" s="58">
        <v>6</v>
      </c>
      <c r="F185" s="58">
        <v>6</v>
      </c>
      <c r="G185" s="58"/>
      <c r="H185" s="59" t="s">
        <v>454</v>
      </c>
      <c r="I185" s="59"/>
    </row>
    <row r="186" spans="1:9" x14ac:dyDescent="0.2">
      <c r="A186" s="58">
        <v>184</v>
      </c>
      <c r="B186" s="59" t="s">
        <v>698</v>
      </c>
      <c r="C186" s="59" t="s">
        <v>699</v>
      </c>
      <c r="D186" s="59" t="s">
        <v>687</v>
      </c>
      <c r="E186" s="58">
        <v>5</v>
      </c>
      <c r="F186" s="58">
        <v>5</v>
      </c>
      <c r="G186" s="58"/>
      <c r="H186" s="59" t="s">
        <v>454</v>
      </c>
      <c r="I186" s="59"/>
    </row>
    <row r="187" spans="1:9" x14ac:dyDescent="0.2">
      <c r="A187" s="58">
        <v>185</v>
      </c>
      <c r="B187" s="59" t="s">
        <v>700</v>
      </c>
      <c r="C187" s="59" t="s">
        <v>701</v>
      </c>
      <c r="D187" s="59" t="s">
        <v>687</v>
      </c>
      <c r="E187" s="58">
        <v>13</v>
      </c>
      <c r="F187" s="58">
        <v>13</v>
      </c>
      <c r="G187" s="58"/>
      <c r="H187" s="59" t="s">
        <v>454</v>
      </c>
      <c r="I187" s="59"/>
    </row>
    <row r="188" spans="1:9" x14ac:dyDescent="0.2">
      <c r="A188" s="58">
        <v>186</v>
      </c>
      <c r="B188" s="59" t="s">
        <v>702</v>
      </c>
      <c r="C188" s="59" t="s">
        <v>703</v>
      </c>
      <c r="D188" s="59" t="s">
        <v>687</v>
      </c>
      <c r="E188" s="58">
        <v>80</v>
      </c>
      <c r="F188" s="58">
        <v>80</v>
      </c>
      <c r="G188" s="58"/>
      <c r="H188" s="59" t="s">
        <v>454</v>
      </c>
      <c r="I188" s="59"/>
    </row>
    <row r="189" spans="1:9" x14ac:dyDescent="0.2">
      <c r="A189" s="58">
        <v>187</v>
      </c>
      <c r="B189" s="59" t="s">
        <v>704</v>
      </c>
      <c r="C189" s="59" t="s">
        <v>705</v>
      </c>
      <c r="D189" s="59" t="s">
        <v>687</v>
      </c>
      <c r="E189" s="58">
        <v>16</v>
      </c>
      <c r="F189" s="58">
        <v>16</v>
      </c>
      <c r="G189" s="58"/>
      <c r="H189" s="59" t="s">
        <v>456</v>
      </c>
      <c r="I189" s="59"/>
    </row>
    <row r="190" spans="1:9" x14ac:dyDescent="0.2">
      <c r="C190" s="53"/>
      <c r="D190" s="63" t="s">
        <v>706</v>
      </c>
      <c r="E190" s="64">
        <f>SUM(E5:E189)</f>
        <v>3625.75</v>
      </c>
      <c r="F190" s="64">
        <f>SUM(F5:F189)</f>
        <v>3616.75</v>
      </c>
    </row>
    <row r="191" spans="1:9" x14ac:dyDescent="0.2">
      <c r="C191" s="53"/>
      <c r="D191" s="66" t="s">
        <v>707</v>
      </c>
      <c r="E191" s="64"/>
      <c r="F191" s="64">
        <v>19</v>
      </c>
    </row>
    <row r="192" spans="1:9" x14ac:dyDescent="0.2">
      <c r="C192" s="53"/>
      <c r="D192" s="66" t="s">
        <v>708</v>
      </c>
      <c r="E192" s="64"/>
      <c r="F192" s="64">
        <v>11</v>
      </c>
    </row>
    <row r="193" spans="3:6" x14ac:dyDescent="0.2">
      <c r="C193" s="53"/>
      <c r="D193" s="66" t="s">
        <v>709</v>
      </c>
      <c r="E193" s="67"/>
      <c r="F193" s="68">
        <f>((F190-F191)/F190)</f>
        <v>0.99474666482339114</v>
      </c>
    </row>
    <row r="194" spans="3:6" x14ac:dyDescent="0.2">
      <c r="C194" s="53"/>
      <c r="D194" s="66" t="s">
        <v>710</v>
      </c>
      <c r="E194" s="67"/>
      <c r="F194" s="68">
        <f>((F190-F192)/F190)</f>
        <v>0.99695859542406862</v>
      </c>
    </row>
  </sheetData>
  <pageMargins left="0.25" right="0.25" top="0.75" bottom="0.75" header="0.3" footer="0.3"/>
  <pageSetup paperSize="10000"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D12" sqref="D12"/>
    </sheetView>
  </sheetViews>
  <sheetFormatPr defaultRowHeight="15" x14ac:dyDescent="0.25"/>
  <cols>
    <col min="1" max="1" width="6" customWidth="1"/>
    <col min="2" max="2" width="13.85546875" style="70" customWidth="1"/>
    <col min="3" max="3" width="39.5703125" customWidth="1"/>
    <col min="4" max="4" width="35.5703125" customWidth="1"/>
    <col min="5" max="5" width="16.28515625" customWidth="1"/>
    <col min="6" max="6" width="10.42578125" bestFit="1" customWidth="1"/>
  </cols>
  <sheetData>
    <row r="1" spans="1:6" ht="18.75" x14ac:dyDescent="0.3">
      <c r="A1" s="69" t="s">
        <v>711</v>
      </c>
    </row>
    <row r="2" spans="1:6" x14ac:dyDescent="0.25">
      <c r="A2" t="s">
        <v>712</v>
      </c>
    </row>
    <row r="3" spans="1:6" ht="30" x14ac:dyDescent="0.25">
      <c r="A3" s="71" t="s">
        <v>713</v>
      </c>
      <c r="B3" s="72" t="s">
        <v>714</v>
      </c>
      <c r="C3" s="71" t="s">
        <v>715</v>
      </c>
      <c r="D3" s="71" t="s">
        <v>716</v>
      </c>
      <c r="E3" s="71" t="s">
        <v>717</v>
      </c>
      <c r="F3" s="71" t="s">
        <v>718</v>
      </c>
    </row>
    <row r="4" spans="1:6" ht="30" x14ac:dyDescent="0.25">
      <c r="A4" s="1">
        <v>1</v>
      </c>
      <c r="B4" s="73">
        <v>46127</v>
      </c>
      <c r="C4" s="11" t="s">
        <v>719</v>
      </c>
      <c r="D4" s="11" t="s">
        <v>720</v>
      </c>
      <c r="E4" s="73">
        <v>46128</v>
      </c>
      <c r="F4" s="1">
        <f>E4-B4</f>
        <v>1</v>
      </c>
    </row>
    <row r="5" spans="1:6" ht="45" x14ac:dyDescent="0.25">
      <c r="A5" s="1">
        <v>2</v>
      </c>
      <c r="B5" s="73">
        <v>46128</v>
      </c>
      <c r="C5" s="6" t="s">
        <v>721</v>
      </c>
      <c r="D5" s="11" t="s">
        <v>722</v>
      </c>
      <c r="E5" s="73">
        <v>46128</v>
      </c>
      <c r="F5" s="1">
        <f>E5-B5</f>
        <v>0</v>
      </c>
    </row>
    <row r="6" spans="1:6" x14ac:dyDescent="0.25">
      <c r="A6" s="50"/>
    </row>
    <row r="7" spans="1:6" x14ac:dyDescent="0.25">
      <c r="A7" s="50"/>
    </row>
    <row r="8" spans="1:6" x14ac:dyDescent="0.25">
      <c r="A8" s="50"/>
    </row>
    <row r="9" spans="1:6" x14ac:dyDescent="0.25">
      <c r="A9" s="50"/>
    </row>
    <row r="10" spans="1:6" x14ac:dyDescent="0.25">
      <c r="A10" s="50"/>
    </row>
    <row r="11" spans="1:6" x14ac:dyDescent="0.25">
      <c r="A11" s="50"/>
    </row>
    <row r="12" spans="1:6" x14ac:dyDescent="0.25">
      <c r="A12" s="50"/>
    </row>
    <row r="13" spans="1:6" x14ac:dyDescent="0.25">
      <c r="A13" s="5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70" zoomScaleNormal="70" workbookViewId="0">
      <selection activeCell="E7" sqref="E7"/>
    </sheetView>
  </sheetViews>
  <sheetFormatPr defaultRowHeight="15" x14ac:dyDescent="0.25"/>
  <cols>
    <col min="1" max="1" width="6.5703125" customWidth="1"/>
    <col min="2" max="2" width="13.85546875" style="70" customWidth="1"/>
    <col min="3" max="3" width="45.28515625" customWidth="1"/>
    <col min="4" max="4" width="32.28515625" customWidth="1"/>
    <col min="5" max="5" width="66.85546875" customWidth="1"/>
  </cols>
  <sheetData>
    <row r="1" spans="1:5" x14ac:dyDescent="0.25">
      <c r="A1" s="51" t="s">
        <v>723</v>
      </c>
    </row>
    <row r="3" spans="1:5" ht="27" customHeight="1" x14ac:dyDescent="0.25">
      <c r="A3" s="74" t="s">
        <v>713</v>
      </c>
      <c r="B3" s="75" t="s">
        <v>724</v>
      </c>
      <c r="C3" s="74" t="s">
        <v>725</v>
      </c>
      <c r="D3" s="74" t="s">
        <v>726</v>
      </c>
      <c r="E3" s="74" t="s">
        <v>452</v>
      </c>
    </row>
    <row r="4" spans="1:5" ht="330" x14ac:dyDescent="0.25">
      <c r="A4" s="19">
        <v>1</v>
      </c>
      <c r="B4" s="73">
        <v>46116</v>
      </c>
      <c r="C4" s="19" t="s">
        <v>727</v>
      </c>
      <c r="D4" s="19" t="s">
        <v>728</v>
      </c>
      <c r="E4" s="40" t="s">
        <v>729</v>
      </c>
    </row>
    <row r="5" spans="1:5" x14ac:dyDescent="0.25">
      <c r="A5" s="13">
        <v>2</v>
      </c>
      <c r="B5" s="73">
        <v>46116</v>
      </c>
      <c r="C5" s="6" t="s">
        <v>730</v>
      </c>
      <c r="D5" s="2" t="s">
        <v>731</v>
      </c>
      <c r="E5" s="40"/>
    </row>
    <row r="6" spans="1:5" x14ac:dyDescent="0.25">
      <c r="A6" s="13">
        <v>3</v>
      </c>
      <c r="B6" s="73">
        <v>46116</v>
      </c>
      <c r="C6" s="2" t="s">
        <v>732</v>
      </c>
      <c r="D6" s="2" t="s">
        <v>731</v>
      </c>
      <c r="E6" s="2"/>
    </row>
    <row r="7" spans="1:5" x14ac:dyDescent="0.25">
      <c r="A7" s="13">
        <v>4</v>
      </c>
      <c r="B7" s="76">
        <v>46116</v>
      </c>
      <c r="C7" s="2" t="s">
        <v>733</v>
      </c>
      <c r="D7" s="2" t="s">
        <v>731</v>
      </c>
      <c r="E7" s="2"/>
    </row>
  </sheetData>
  <pageMargins left="0.7" right="0.7" top="0.75" bottom="0.75" header="0.3" footer="0.3"/>
  <pageSetup paperSize="10000"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79"/>
  <sheetViews>
    <sheetView tabSelected="1" workbookViewId="0">
      <selection activeCell="D14" sqref="D14"/>
    </sheetView>
  </sheetViews>
  <sheetFormatPr defaultRowHeight="16.5" customHeight="1" x14ac:dyDescent="0.25"/>
  <cols>
    <col min="1" max="1" width="8.140625" style="117" customWidth="1"/>
    <col min="2" max="2" width="12.85546875" customWidth="1"/>
    <col min="3" max="3" width="67.140625" customWidth="1"/>
    <col min="4" max="5" width="19.5703125" bestFit="1" customWidth="1"/>
  </cols>
  <sheetData>
    <row r="1" spans="1:17" ht="16.5" customHeight="1" x14ac:dyDescent="0.25">
      <c r="A1" s="77"/>
      <c r="B1" s="78" t="s">
        <v>414</v>
      </c>
      <c r="C1" s="79"/>
      <c r="D1" s="79"/>
      <c r="E1" s="80"/>
    </row>
    <row r="2" spans="1:17" ht="16.5" customHeight="1" x14ac:dyDescent="0.25">
      <c r="A2" s="81"/>
      <c r="B2" s="82" t="s">
        <v>734</v>
      </c>
      <c r="C2" s="83"/>
      <c r="D2" s="83"/>
      <c r="E2" s="84"/>
    </row>
    <row r="3" spans="1:17" ht="16.5" customHeight="1" x14ac:dyDescent="0.25">
      <c r="A3" s="81"/>
      <c r="B3" s="85" t="s">
        <v>735</v>
      </c>
      <c r="C3" s="86"/>
      <c r="D3" s="87"/>
      <c r="E3" s="88"/>
    </row>
    <row r="4" spans="1:17" ht="16.5" customHeight="1" x14ac:dyDescent="0.25">
      <c r="A4" s="81"/>
      <c r="B4" s="89"/>
      <c r="C4" s="90"/>
      <c r="D4" s="90"/>
      <c r="E4" s="90"/>
    </row>
    <row r="5" spans="1:17" ht="16.5" customHeight="1" x14ac:dyDescent="0.25">
      <c r="A5" s="91" t="s">
        <v>736</v>
      </c>
      <c r="B5" s="92" t="s">
        <v>737</v>
      </c>
      <c r="C5" s="93" t="s">
        <v>738</v>
      </c>
      <c r="D5" s="94" t="s">
        <v>739</v>
      </c>
      <c r="E5" s="94" t="s">
        <v>740</v>
      </c>
    </row>
    <row r="6" spans="1:17" s="90" customFormat="1" ht="16.5" customHeight="1" x14ac:dyDescent="0.25">
      <c r="A6" s="95">
        <v>1</v>
      </c>
      <c r="B6" s="89">
        <v>45296</v>
      </c>
      <c r="C6" s="90" t="s">
        <v>741</v>
      </c>
      <c r="D6" s="96">
        <v>61300</v>
      </c>
      <c r="E6" s="96">
        <v>0</v>
      </c>
      <c r="H6" s="96"/>
      <c r="I6" s="96"/>
      <c r="J6" s="96"/>
    </row>
    <row r="7" spans="1:17" s="90" customFormat="1" ht="16.5" customHeight="1" x14ac:dyDescent="0.25">
      <c r="A7" s="95">
        <v>2</v>
      </c>
      <c r="B7" s="89">
        <v>45296</v>
      </c>
      <c r="C7" s="90" t="s">
        <v>742</v>
      </c>
      <c r="D7" s="96">
        <v>92000</v>
      </c>
      <c r="E7" s="96">
        <v>0</v>
      </c>
      <c r="H7" s="96"/>
      <c r="I7" s="96"/>
      <c r="J7" s="96"/>
    </row>
    <row r="8" spans="1:17" s="90" customFormat="1" ht="16.5" customHeight="1" x14ac:dyDescent="0.25">
      <c r="A8" s="95">
        <v>3</v>
      </c>
      <c r="B8" s="89">
        <v>45296</v>
      </c>
      <c r="C8" s="90" t="s">
        <v>743</v>
      </c>
      <c r="D8" s="96">
        <v>17700</v>
      </c>
      <c r="E8" s="96">
        <v>0</v>
      </c>
      <c r="H8" s="96"/>
      <c r="I8" s="96"/>
      <c r="J8" s="96"/>
      <c r="K8" s="97"/>
      <c r="L8" s="97"/>
      <c r="M8" s="97"/>
      <c r="N8" s="97"/>
    </row>
    <row r="9" spans="1:17" s="90" customFormat="1" ht="16.5" customHeight="1" x14ac:dyDescent="0.25">
      <c r="A9" s="95">
        <v>4</v>
      </c>
      <c r="B9" s="89">
        <v>45315</v>
      </c>
      <c r="C9" s="90" t="s">
        <v>744</v>
      </c>
      <c r="D9" s="96">
        <v>166000</v>
      </c>
      <c r="E9" s="96">
        <v>0</v>
      </c>
      <c r="H9" s="96"/>
      <c r="I9" s="96"/>
      <c r="J9" s="96"/>
      <c r="K9" s="97"/>
      <c r="L9" s="97"/>
      <c r="M9" s="97"/>
      <c r="N9" s="97"/>
    </row>
    <row r="10" spans="1:17" s="90" customFormat="1" ht="16.5" customHeight="1" x14ac:dyDescent="0.25">
      <c r="A10" s="95">
        <v>5</v>
      </c>
      <c r="B10" s="89">
        <v>45318</v>
      </c>
      <c r="C10" s="90" t="s">
        <v>745</v>
      </c>
      <c r="D10" s="96">
        <v>251000</v>
      </c>
      <c r="E10" s="96">
        <v>0</v>
      </c>
      <c r="H10" s="96"/>
      <c r="I10" s="96"/>
      <c r="J10" s="96"/>
      <c r="K10" s="98"/>
      <c r="L10" s="98"/>
      <c r="M10" s="98"/>
      <c r="N10" s="98"/>
    </row>
    <row r="11" spans="1:17" s="90" customFormat="1" ht="16.5" customHeight="1" x14ac:dyDescent="0.25">
      <c r="A11" s="95">
        <v>6</v>
      </c>
      <c r="B11" s="89">
        <v>45320</v>
      </c>
      <c r="C11" s="90" t="s">
        <v>743</v>
      </c>
      <c r="D11" s="96">
        <v>17700</v>
      </c>
      <c r="E11" s="96">
        <v>0</v>
      </c>
      <c r="H11" s="96"/>
      <c r="I11" s="96"/>
      <c r="J11" s="96"/>
    </row>
    <row r="12" spans="1:17" s="90" customFormat="1" ht="16.5" customHeight="1" x14ac:dyDescent="0.25">
      <c r="A12" s="95">
        <v>7</v>
      </c>
      <c r="B12" s="89">
        <v>45322</v>
      </c>
      <c r="C12" s="90" t="s">
        <v>746</v>
      </c>
      <c r="D12" s="96">
        <v>46999</v>
      </c>
      <c r="E12" s="96">
        <v>0</v>
      </c>
      <c r="H12" s="96"/>
      <c r="I12" s="96"/>
      <c r="J12" s="96"/>
    </row>
    <row r="13" spans="1:17" s="90" customFormat="1" ht="16.5" customHeight="1" x14ac:dyDescent="0.25">
      <c r="A13" s="95">
        <v>8</v>
      </c>
      <c r="B13" s="89">
        <v>45325</v>
      </c>
      <c r="C13" s="90" t="s">
        <v>743</v>
      </c>
      <c r="D13" s="96">
        <v>17700</v>
      </c>
      <c r="E13" s="96">
        <v>0</v>
      </c>
      <c r="H13" s="96"/>
      <c r="I13" s="96"/>
      <c r="J13" s="96"/>
    </row>
    <row r="14" spans="1:17" s="90" customFormat="1" ht="16.5" customHeight="1" x14ac:dyDescent="0.25">
      <c r="A14" s="95">
        <v>9</v>
      </c>
      <c r="B14" s="89">
        <v>45325</v>
      </c>
      <c r="C14" s="90" t="s">
        <v>747</v>
      </c>
      <c r="D14" s="96">
        <v>73000</v>
      </c>
      <c r="E14" s="96">
        <v>0</v>
      </c>
      <c r="M14" s="99"/>
      <c r="N14" s="100"/>
      <c r="O14" s="100"/>
      <c r="P14" s="100"/>
      <c r="Q14" s="100"/>
    </row>
    <row r="15" spans="1:17" s="90" customFormat="1" ht="16.5" customHeight="1" x14ac:dyDescent="0.25">
      <c r="A15" s="95">
        <v>10</v>
      </c>
      <c r="B15" s="89">
        <v>45331</v>
      </c>
      <c r="C15" s="90" t="s">
        <v>748</v>
      </c>
      <c r="D15" s="96">
        <v>50000</v>
      </c>
      <c r="E15" s="96">
        <v>0</v>
      </c>
      <c r="M15" s="99"/>
      <c r="N15" s="100"/>
      <c r="O15" s="100"/>
      <c r="P15" s="100"/>
      <c r="Q15" s="100"/>
    </row>
    <row r="16" spans="1:17" s="90" customFormat="1" ht="16.5" customHeight="1" x14ac:dyDescent="0.25">
      <c r="A16" s="95">
        <v>11</v>
      </c>
      <c r="B16" s="89">
        <v>45334</v>
      </c>
      <c r="C16" s="90" t="s">
        <v>749</v>
      </c>
      <c r="D16" s="96">
        <v>4021704</v>
      </c>
      <c r="E16" s="96">
        <v>0</v>
      </c>
      <c r="M16" s="99"/>
      <c r="N16" s="100"/>
      <c r="O16" s="100"/>
      <c r="P16" s="100"/>
      <c r="Q16" s="100"/>
    </row>
    <row r="17" spans="1:17" s="90" customFormat="1" ht="16.5" customHeight="1" x14ac:dyDescent="0.25">
      <c r="A17" s="95">
        <v>12</v>
      </c>
      <c r="B17" s="89">
        <v>45334</v>
      </c>
      <c r="C17" s="90" t="s">
        <v>750</v>
      </c>
      <c r="D17" s="96">
        <v>2143100</v>
      </c>
      <c r="E17" s="96">
        <v>0</v>
      </c>
      <c r="M17" s="99"/>
      <c r="N17" s="100"/>
      <c r="O17" s="100"/>
      <c r="P17" s="100"/>
      <c r="Q17" s="100"/>
    </row>
    <row r="18" spans="1:17" s="90" customFormat="1" ht="16.5" customHeight="1" x14ac:dyDescent="0.25">
      <c r="A18" s="95">
        <v>13</v>
      </c>
      <c r="B18" s="89">
        <v>45335</v>
      </c>
      <c r="C18" s="90" t="s">
        <v>743</v>
      </c>
      <c r="D18" s="96">
        <v>17700</v>
      </c>
      <c r="E18" s="96">
        <v>0</v>
      </c>
      <c r="M18" s="99"/>
      <c r="N18" s="100"/>
      <c r="O18" s="100"/>
      <c r="P18" s="100"/>
      <c r="Q18" s="100"/>
    </row>
    <row r="19" spans="1:17" s="90" customFormat="1" ht="16.5" customHeight="1" x14ac:dyDescent="0.25">
      <c r="A19" s="95">
        <v>14</v>
      </c>
      <c r="B19" s="89">
        <v>45337</v>
      </c>
      <c r="C19" s="90" t="s">
        <v>751</v>
      </c>
      <c r="D19" s="96">
        <v>7500</v>
      </c>
      <c r="E19" s="96">
        <v>0</v>
      </c>
      <c r="M19" s="99"/>
      <c r="N19" s="100"/>
      <c r="O19" s="100"/>
      <c r="P19" s="100"/>
      <c r="Q19" s="100"/>
    </row>
    <row r="20" spans="1:17" s="90" customFormat="1" ht="16.5" customHeight="1" x14ac:dyDescent="0.25">
      <c r="A20" s="95">
        <v>15</v>
      </c>
      <c r="B20" s="89">
        <v>45337</v>
      </c>
      <c r="C20" s="90" t="s">
        <v>742</v>
      </c>
      <c r="D20" s="96">
        <v>92000</v>
      </c>
      <c r="E20" s="96">
        <v>0</v>
      </c>
      <c r="M20" s="99"/>
      <c r="N20" s="100"/>
      <c r="O20" s="100"/>
      <c r="P20" s="100"/>
      <c r="Q20" s="100"/>
    </row>
    <row r="21" spans="1:17" s="90" customFormat="1" ht="16.5" customHeight="1" x14ac:dyDescent="0.25">
      <c r="A21" s="95">
        <v>16</v>
      </c>
      <c r="B21" s="89">
        <v>45341</v>
      </c>
      <c r="C21" s="90" t="s">
        <v>752</v>
      </c>
      <c r="D21" s="96">
        <v>333000</v>
      </c>
      <c r="E21" s="96">
        <v>0</v>
      </c>
      <c r="M21" s="99"/>
      <c r="N21" s="100"/>
      <c r="O21" s="100"/>
      <c r="P21" s="100"/>
      <c r="Q21" s="100"/>
    </row>
    <row r="22" spans="1:17" s="90" customFormat="1" ht="16.5" customHeight="1" x14ac:dyDescent="0.25">
      <c r="A22" s="95">
        <v>17</v>
      </c>
      <c r="B22" s="89">
        <v>45341</v>
      </c>
      <c r="C22" s="90" t="s">
        <v>753</v>
      </c>
      <c r="D22" s="96">
        <v>199000</v>
      </c>
      <c r="E22" s="96">
        <v>0</v>
      </c>
      <c r="M22" s="99"/>
      <c r="N22" s="100"/>
      <c r="O22" s="100"/>
      <c r="P22" s="100"/>
      <c r="Q22" s="100"/>
    </row>
    <row r="23" spans="1:17" s="90" customFormat="1" ht="16.5" customHeight="1" x14ac:dyDescent="0.25">
      <c r="A23" s="95">
        <v>18</v>
      </c>
      <c r="B23" s="89">
        <v>45343</v>
      </c>
      <c r="C23" s="90" t="s">
        <v>754</v>
      </c>
      <c r="D23" s="96">
        <v>45000</v>
      </c>
      <c r="E23" s="96">
        <v>0</v>
      </c>
      <c r="M23" s="99"/>
      <c r="N23" s="100"/>
      <c r="O23" s="100"/>
      <c r="P23" s="100"/>
      <c r="Q23" s="100"/>
    </row>
    <row r="24" spans="1:17" s="90" customFormat="1" ht="16.5" customHeight="1" x14ac:dyDescent="0.25">
      <c r="A24" s="95">
        <v>19</v>
      </c>
      <c r="B24" s="89">
        <v>45343</v>
      </c>
      <c r="C24" s="90" t="s">
        <v>755</v>
      </c>
      <c r="D24" s="96">
        <v>150300</v>
      </c>
      <c r="E24" s="96">
        <v>0</v>
      </c>
      <c r="M24" s="99"/>
      <c r="N24" s="100"/>
      <c r="O24" s="100"/>
      <c r="P24" s="100"/>
      <c r="Q24" s="100"/>
    </row>
    <row r="25" spans="1:17" s="90" customFormat="1" ht="16.5" customHeight="1" x14ac:dyDescent="0.25">
      <c r="A25" s="95">
        <v>20</v>
      </c>
      <c r="B25" s="89">
        <v>45343</v>
      </c>
      <c r="C25" s="90" t="s">
        <v>756</v>
      </c>
      <c r="D25" s="96">
        <v>69000</v>
      </c>
      <c r="E25" s="96">
        <v>0</v>
      </c>
      <c r="M25" s="99"/>
      <c r="N25" s="100"/>
      <c r="O25" s="100"/>
      <c r="P25" s="100"/>
      <c r="Q25" s="100"/>
    </row>
    <row r="26" spans="1:17" s="90" customFormat="1" ht="16.5" customHeight="1" x14ac:dyDescent="0.25">
      <c r="A26" s="95">
        <v>21</v>
      </c>
      <c r="B26" s="89">
        <v>45343</v>
      </c>
      <c r="C26" s="90" t="s">
        <v>743</v>
      </c>
      <c r="D26" s="96">
        <v>17700</v>
      </c>
      <c r="E26" s="96">
        <v>0</v>
      </c>
      <c r="M26" s="99"/>
      <c r="N26" s="100"/>
      <c r="O26" s="100"/>
      <c r="P26" s="100"/>
      <c r="Q26" s="100"/>
    </row>
    <row r="27" spans="1:17" s="90" customFormat="1" ht="16.5" customHeight="1" x14ac:dyDescent="0.25">
      <c r="A27" s="95">
        <v>22</v>
      </c>
      <c r="B27" s="89">
        <v>45344</v>
      </c>
      <c r="C27" s="90" t="s">
        <v>757</v>
      </c>
      <c r="D27" s="96">
        <v>201500</v>
      </c>
      <c r="E27" s="96">
        <v>0</v>
      </c>
      <c r="M27" s="99"/>
      <c r="N27" s="100"/>
      <c r="O27" s="100"/>
      <c r="P27" s="100"/>
      <c r="Q27" s="100"/>
    </row>
    <row r="28" spans="1:17" s="90" customFormat="1" ht="16.5" customHeight="1" x14ac:dyDescent="0.25">
      <c r="A28" s="95">
        <v>23</v>
      </c>
      <c r="B28" s="89">
        <v>45344</v>
      </c>
      <c r="C28" s="90" t="s">
        <v>758</v>
      </c>
      <c r="D28" s="96">
        <v>1759500</v>
      </c>
      <c r="E28" s="96">
        <v>0</v>
      </c>
      <c r="M28" s="99"/>
      <c r="N28" s="100"/>
      <c r="O28" s="100"/>
      <c r="P28" s="100"/>
      <c r="Q28" s="100"/>
    </row>
    <row r="29" spans="1:17" s="90" customFormat="1" ht="16.5" customHeight="1" x14ac:dyDescent="0.25">
      <c r="A29" s="95">
        <v>24</v>
      </c>
      <c r="B29" s="89">
        <v>45344</v>
      </c>
      <c r="C29" s="90" t="s">
        <v>758</v>
      </c>
      <c r="D29" s="96">
        <v>1065750</v>
      </c>
      <c r="E29" s="96">
        <v>0</v>
      </c>
      <c r="M29" s="99"/>
      <c r="N29" s="100"/>
      <c r="O29" s="100"/>
      <c r="P29" s="100"/>
      <c r="Q29" s="100"/>
    </row>
    <row r="30" spans="1:17" s="90" customFormat="1" ht="16.5" customHeight="1" x14ac:dyDescent="0.25">
      <c r="A30" s="95">
        <v>25</v>
      </c>
      <c r="B30" s="89">
        <v>45344</v>
      </c>
      <c r="C30" s="90" t="s">
        <v>741</v>
      </c>
      <c r="D30" s="96">
        <v>75900</v>
      </c>
      <c r="E30" s="96">
        <v>0</v>
      </c>
      <c r="M30" s="99"/>
      <c r="N30" s="100"/>
      <c r="O30" s="100"/>
      <c r="P30" s="100"/>
      <c r="Q30" s="100"/>
    </row>
    <row r="31" spans="1:17" s="90" customFormat="1" ht="16.5" customHeight="1" x14ac:dyDescent="0.25">
      <c r="A31" s="95">
        <v>26</v>
      </c>
      <c r="B31" s="89">
        <v>45348</v>
      </c>
      <c r="C31" s="90" t="s">
        <v>759</v>
      </c>
      <c r="D31" s="96">
        <v>30000</v>
      </c>
      <c r="E31" s="96">
        <v>0</v>
      </c>
      <c r="M31" s="99"/>
      <c r="N31" s="100"/>
      <c r="O31" s="100"/>
      <c r="P31" s="100"/>
      <c r="Q31" s="100"/>
    </row>
    <row r="32" spans="1:17" s="90" customFormat="1" ht="16.5" customHeight="1" x14ac:dyDescent="0.25">
      <c r="A32" s="95">
        <v>27</v>
      </c>
      <c r="B32" s="89">
        <v>45350</v>
      </c>
      <c r="C32" s="90" t="s">
        <v>745</v>
      </c>
      <c r="D32" s="96">
        <v>180000</v>
      </c>
      <c r="E32" s="96">
        <v>0</v>
      </c>
      <c r="M32" s="99"/>
      <c r="N32" s="100"/>
      <c r="O32" s="100"/>
      <c r="P32" s="100"/>
      <c r="Q32" s="100"/>
    </row>
    <row r="33" spans="1:17" s="90" customFormat="1" ht="16.5" customHeight="1" x14ac:dyDescent="0.25">
      <c r="A33" s="95">
        <v>28</v>
      </c>
      <c r="B33" s="89">
        <v>45350</v>
      </c>
      <c r="C33" s="90" t="s">
        <v>743</v>
      </c>
      <c r="D33" s="96">
        <v>20000</v>
      </c>
      <c r="E33" s="96">
        <v>0</v>
      </c>
      <c r="M33" s="99"/>
      <c r="N33" s="100"/>
      <c r="O33" s="100"/>
      <c r="P33" s="100"/>
      <c r="Q33" s="100"/>
    </row>
    <row r="34" spans="1:17" s="90" customFormat="1" ht="16.5" customHeight="1" x14ac:dyDescent="0.25">
      <c r="A34" s="95">
        <v>29</v>
      </c>
      <c r="B34" s="89">
        <v>45351</v>
      </c>
      <c r="C34" s="90" t="s">
        <v>760</v>
      </c>
      <c r="D34" s="96">
        <v>1300000</v>
      </c>
      <c r="E34" s="96">
        <v>0</v>
      </c>
      <c r="M34" s="99"/>
      <c r="N34" s="100"/>
      <c r="O34" s="100"/>
      <c r="P34" s="100"/>
      <c r="Q34" s="100"/>
    </row>
    <row r="35" spans="1:17" s="90" customFormat="1" ht="16.5" customHeight="1" x14ac:dyDescent="0.25">
      <c r="A35" s="95">
        <v>30</v>
      </c>
      <c r="B35" s="89">
        <v>45358</v>
      </c>
      <c r="C35" s="90" t="s">
        <v>743</v>
      </c>
      <c r="D35" s="96">
        <v>17700</v>
      </c>
      <c r="E35" s="96">
        <v>0</v>
      </c>
      <c r="M35" s="99"/>
      <c r="N35" s="100"/>
      <c r="O35" s="100"/>
      <c r="P35" s="100"/>
      <c r="Q35" s="100"/>
    </row>
    <row r="36" spans="1:17" s="90" customFormat="1" ht="16.5" customHeight="1" x14ac:dyDescent="0.25">
      <c r="A36" s="95">
        <v>31</v>
      </c>
      <c r="B36" s="89">
        <v>45360</v>
      </c>
      <c r="C36" s="90" t="s">
        <v>761</v>
      </c>
      <c r="D36" s="96">
        <v>4468500</v>
      </c>
      <c r="E36" s="96">
        <v>0</v>
      </c>
      <c r="M36" s="99"/>
      <c r="N36" s="100"/>
      <c r="O36" s="100"/>
      <c r="P36" s="100"/>
      <c r="Q36" s="100"/>
    </row>
    <row r="37" spans="1:17" s="90" customFormat="1" ht="16.5" customHeight="1" x14ac:dyDescent="0.25">
      <c r="A37" s="95">
        <v>32</v>
      </c>
      <c r="B37" s="89">
        <v>45364</v>
      </c>
      <c r="C37" s="90" t="s">
        <v>762</v>
      </c>
      <c r="D37" s="96">
        <v>606500</v>
      </c>
      <c r="E37" s="96">
        <v>0</v>
      </c>
      <c r="M37" s="99"/>
      <c r="N37" s="100"/>
      <c r="O37" s="100"/>
      <c r="P37" s="100"/>
      <c r="Q37" s="100"/>
    </row>
    <row r="38" spans="1:17" s="90" customFormat="1" ht="16.5" customHeight="1" x14ac:dyDescent="0.25">
      <c r="A38" s="95">
        <v>33</v>
      </c>
      <c r="B38" s="89">
        <v>45367</v>
      </c>
      <c r="C38" s="90" t="s">
        <v>743</v>
      </c>
      <c r="D38" s="96">
        <v>17700</v>
      </c>
      <c r="E38" s="96">
        <v>0</v>
      </c>
      <c r="M38" s="99"/>
      <c r="N38" s="100"/>
      <c r="O38" s="100"/>
      <c r="P38" s="100"/>
      <c r="Q38" s="100"/>
    </row>
    <row r="39" spans="1:17" s="90" customFormat="1" ht="16.5" customHeight="1" x14ac:dyDescent="0.25">
      <c r="A39" s="95">
        <v>34</v>
      </c>
      <c r="B39" s="89">
        <v>45373</v>
      </c>
      <c r="C39" s="90" t="s">
        <v>743</v>
      </c>
      <c r="D39" s="96">
        <v>17700</v>
      </c>
      <c r="E39" s="96">
        <v>0</v>
      </c>
      <c r="M39" s="99"/>
      <c r="N39" s="100"/>
      <c r="O39" s="100"/>
      <c r="P39" s="100"/>
      <c r="Q39" s="100"/>
    </row>
    <row r="40" spans="1:17" s="90" customFormat="1" ht="16.5" customHeight="1" x14ac:dyDescent="0.25">
      <c r="A40" s="95">
        <v>35</v>
      </c>
      <c r="B40" s="89">
        <v>45374</v>
      </c>
      <c r="C40" s="90" t="s">
        <v>763</v>
      </c>
      <c r="D40" s="96">
        <v>572000</v>
      </c>
      <c r="E40" s="96">
        <v>0</v>
      </c>
      <c r="M40" s="99"/>
      <c r="N40" s="100"/>
      <c r="O40" s="100"/>
      <c r="P40" s="100"/>
      <c r="Q40" s="100"/>
    </row>
    <row r="41" spans="1:17" s="90" customFormat="1" ht="16.5" customHeight="1" x14ac:dyDescent="0.25">
      <c r="A41" s="95">
        <v>36</v>
      </c>
      <c r="B41" s="89">
        <v>45384</v>
      </c>
      <c r="C41" s="90" t="s">
        <v>764</v>
      </c>
      <c r="D41" s="96">
        <v>1000000</v>
      </c>
      <c r="E41" s="96">
        <v>0</v>
      </c>
      <c r="M41" s="99"/>
      <c r="N41" s="100"/>
      <c r="O41" s="100"/>
      <c r="P41" s="100"/>
      <c r="Q41" s="100"/>
    </row>
    <row r="42" spans="1:17" s="90" customFormat="1" ht="16.5" customHeight="1" x14ac:dyDescent="0.25">
      <c r="A42" s="95">
        <v>37</v>
      </c>
      <c r="B42" s="89">
        <v>45386</v>
      </c>
      <c r="C42" s="90" t="s">
        <v>765</v>
      </c>
      <c r="D42" s="96">
        <v>420000</v>
      </c>
      <c r="E42" s="96">
        <v>0</v>
      </c>
      <c r="M42" s="99"/>
      <c r="N42" s="100"/>
      <c r="O42" s="100"/>
      <c r="P42" s="100"/>
      <c r="Q42" s="100"/>
    </row>
    <row r="43" spans="1:17" s="90" customFormat="1" ht="16.5" customHeight="1" x14ac:dyDescent="0.25">
      <c r="A43" s="95">
        <v>38</v>
      </c>
      <c r="B43" s="89">
        <v>45386</v>
      </c>
      <c r="C43" s="90" t="s">
        <v>743</v>
      </c>
      <c r="D43" s="96">
        <v>17700</v>
      </c>
      <c r="E43" s="96">
        <v>0</v>
      </c>
      <c r="M43" s="99"/>
      <c r="N43" s="100"/>
      <c r="O43" s="100"/>
      <c r="P43" s="100"/>
      <c r="Q43" s="100"/>
    </row>
    <row r="44" spans="1:17" s="90" customFormat="1" ht="16.5" customHeight="1" x14ac:dyDescent="0.25">
      <c r="A44" s="95">
        <v>39</v>
      </c>
      <c r="B44" s="89">
        <v>45402</v>
      </c>
      <c r="C44" s="90" t="s">
        <v>743</v>
      </c>
      <c r="D44" s="96">
        <v>17700</v>
      </c>
      <c r="E44" s="96">
        <v>0</v>
      </c>
      <c r="M44" s="99"/>
      <c r="N44" s="100"/>
      <c r="O44" s="100"/>
      <c r="P44" s="100"/>
      <c r="Q44" s="100"/>
    </row>
    <row r="45" spans="1:17" s="90" customFormat="1" ht="16.5" customHeight="1" x14ac:dyDescent="0.25">
      <c r="A45" s="95">
        <v>40</v>
      </c>
      <c r="B45" s="89">
        <v>45404</v>
      </c>
      <c r="C45" s="90" t="s">
        <v>766</v>
      </c>
      <c r="D45" s="96">
        <v>3055000</v>
      </c>
      <c r="E45" s="96">
        <v>0</v>
      </c>
      <c r="M45" s="99"/>
      <c r="N45" s="100"/>
      <c r="O45" s="100"/>
      <c r="P45" s="100"/>
      <c r="Q45" s="100"/>
    </row>
    <row r="46" spans="1:17" s="90" customFormat="1" ht="16.5" customHeight="1" x14ac:dyDescent="0.25">
      <c r="A46" s="95">
        <v>41</v>
      </c>
      <c r="B46" s="89">
        <v>45407</v>
      </c>
      <c r="C46" s="90" t="s">
        <v>742</v>
      </c>
      <c r="D46" s="96">
        <v>92000</v>
      </c>
      <c r="E46" s="96">
        <v>0</v>
      </c>
      <c r="M46" s="99"/>
      <c r="N46" s="100"/>
      <c r="O46" s="100"/>
      <c r="P46" s="100"/>
      <c r="Q46" s="100"/>
    </row>
    <row r="47" spans="1:17" s="90" customFormat="1" ht="16.5" customHeight="1" x14ac:dyDescent="0.25">
      <c r="A47" s="95">
        <v>42</v>
      </c>
      <c r="B47" s="89">
        <v>45408</v>
      </c>
      <c r="C47" s="90" t="s">
        <v>767</v>
      </c>
      <c r="D47" s="96">
        <v>40000</v>
      </c>
      <c r="E47" s="96">
        <v>0</v>
      </c>
      <c r="M47" s="99"/>
      <c r="N47" s="100"/>
      <c r="O47" s="100"/>
      <c r="P47" s="100"/>
      <c r="Q47" s="100"/>
    </row>
    <row r="48" spans="1:17" s="90" customFormat="1" ht="16.5" customHeight="1" x14ac:dyDescent="0.25">
      <c r="A48" s="95">
        <v>43</v>
      </c>
      <c r="B48" s="89">
        <v>45414</v>
      </c>
      <c r="C48" s="90" t="s">
        <v>768</v>
      </c>
      <c r="D48" s="96">
        <v>39600</v>
      </c>
      <c r="E48" s="96">
        <v>0</v>
      </c>
      <c r="M48" s="99"/>
      <c r="N48" s="100"/>
      <c r="O48" s="100"/>
      <c r="P48" s="100"/>
      <c r="Q48" s="100"/>
    </row>
    <row r="49" spans="1:17" s="90" customFormat="1" ht="16.5" customHeight="1" x14ac:dyDescent="0.25">
      <c r="A49" s="95">
        <v>44</v>
      </c>
      <c r="B49" s="89">
        <v>45414</v>
      </c>
      <c r="C49" s="90" t="s">
        <v>768</v>
      </c>
      <c r="D49" s="96">
        <v>29500</v>
      </c>
      <c r="E49" s="96">
        <v>0</v>
      </c>
      <c r="M49" s="99"/>
      <c r="N49" s="100"/>
      <c r="O49" s="100"/>
      <c r="P49" s="100"/>
      <c r="Q49" s="100"/>
    </row>
    <row r="50" spans="1:17" s="90" customFormat="1" ht="16.5" customHeight="1" x14ac:dyDescent="0.25">
      <c r="A50" s="95">
        <v>45</v>
      </c>
      <c r="B50" s="89">
        <v>45414</v>
      </c>
      <c r="C50" s="90" t="s">
        <v>768</v>
      </c>
      <c r="D50" s="96">
        <v>28000</v>
      </c>
      <c r="E50" s="96">
        <v>0</v>
      </c>
      <c r="M50" s="99"/>
      <c r="N50" s="100"/>
      <c r="O50" s="100"/>
      <c r="P50" s="100"/>
      <c r="Q50" s="100"/>
    </row>
    <row r="51" spans="1:17" s="90" customFormat="1" ht="16.5" customHeight="1" x14ac:dyDescent="0.25">
      <c r="A51" s="95">
        <v>46</v>
      </c>
      <c r="B51" s="89">
        <v>45414</v>
      </c>
      <c r="C51" s="90" t="s">
        <v>769</v>
      </c>
      <c r="D51" s="96">
        <v>24000</v>
      </c>
      <c r="E51" s="96">
        <v>0</v>
      </c>
      <c r="M51" s="99"/>
      <c r="N51" s="100"/>
      <c r="O51" s="100"/>
      <c r="P51" s="100"/>
      <c r="Q51" s="100"/>
    </row>
    <row r="52" spans="1:17" s="98" customFormat="1" ht="16.5" customHeight="1" x14ac:dyDescent="0.25">
      <c r="A52" s="95">
        <v>47</v>
      </c>
      <c r="B52" s="89">
        <v>45414</v>
      </c>
      <c r="C52" s="90" t="s">
        <v>770</v>
      </c>
      <c r="D52" s="96">
        <v>46500</v>
      </c>
      <c r="E52" s="96">
        <v>0</v>
      </c>
      <c r="F52" s="90"/>
      <c r="G52" s="90"/>
      <c r="H52" s="90"/>
      <c r="I52" s="90"/>
      <c r="J52" s="90"/>
      <c r="K52" s="90"/>
      <c r="L52" s="90"/>
      <c r="M52" s="99"/>
      <c r="N52" s="100"/>
      <c r="O52" s="100"/>
      <c r="P52" s="100"/>
      <c r="Q52" s="100"/>
    </row>
    <row r="53" spans="1:17" s="98" customFormat="1" ht="16.5" customHeight="1" x14ac:dyDescent="0.25">
      <c r="A53" s="95">
        <v>48</v>
      </c>
      <c r="B53" s="89">
        <v>45414</v>
      </c>
      <c r="C53" s="90" t="s">
        <v>770</v>
      </c>
      <c r="D53" s="96">
        <v>22000</v>
      </c>
      <c r="E53" s="96">
        <v>0</v>
      </c>
      <c r="F53" s="90"/>
      <c r="G53" s="90"/>
      <c r="H53" s="90"/>
      <c r="I53" s="90"/>
      <c r="J53" s="90"/>
      <c r="K53" s="90"/>
      <c r="L53" s="90"/>
      <c r="M53" s="99"/>
      <c r="N53" s="100"/>
      <c r="O53" s="100"/>
      <c r="P53" s="100"/>
      <c r="Q53" s="100"/>
    </row>
    <row r="54" spans="1:17" s="90" customFormat="1" ht="16.5" customHeight="1" x14ac:dyDescent="0.25">
      <c r="A54" s="95">
        <v>49</v>
      </c>
      <c r="B54" s="89">
        <v>45414</v>
      </c>
      <c r="C54" s="90" t="s">
        <v>770</v>
      </c>
      <c r="D54" s="96">
        <v>10500</v>
      </c>
      <c r="E54" s="96">
        <v>0</v>
      </c>
      <c r="M54" s="99"/>
      <c r="N54" s="100"/>
      <c r="O54" s="100"/>
      <c r="P54" s="100"/>
      <c r="Q54" s="100"/>
    </row>
    <row r="55" spans="1:17" s="90" customFormat="1" ht="16.5" customHeight="1" x14ac:dyDescent="0.25">
      <c r="A55" s="95">
        <v>50</v>
      </c>
      <c r="B55" s="89">
        <v>45415</v>
      </c>
      <c r="C55" s="90" t="s">
        <v>771</v>
      </c>
      <c r="D55" s="96">
        <v>17700</v>
      </c>
      <c r="E55" s="96">
        <v>0</v>
      </c>
      <c r="M55" s="99"/>
      <c r="N55" s="100"/>
      <c r="O55" s="100"/>
      <c r="P55" s="100"/>
      <c r="Q55" s="100"/>
    </row>
    <row r="56" spans="1:17" s="90" customFormat="1" ht="16.5" customHeight="1" x14ac:dyDescent="0.25">
      <c r="A56" s="95">
        <v>51</v>
      </c>
      <c r="B56" s="89">
        <v>45425</v>
      </c>
      <c r="C56" s="90" t="s">
        <v>772</v>
      </c>
      <c r="D56" s="96">
        <v>27500</v>
      </c>
      <c r="E56" s="96">
        <v>0</v>
      </c>
      <c r="M56" s="99"/>
      <c r="N56" s="100"/>
      <c r="O56" s="100"/>
      <c r="P56" s="100"/>
      <c r="Q56" s="100"/>
    </row>
    <row r="57" spans="1:17" s="90" customFormat="1" ht="16.5" customHeight="1" x14ac:dyDescent="0.25">
      <c r="A57" s="95">
        <v>52</v>
      </c>
      <c r="B57" s="89">
        <v>45425</v>
      </c>
      <c r="C57" s="90" t="s">
        <v>773</v>
      </c>
      <c r="D57" s="96">
        <v>30500</v>
      </c>
      <c r="E57" s="96">
        <v>0</v>
      </c>
      <c r="M57" s="99"/>
      <c r="N57" s="100"/>
      <c r="O57" s="100"/>
      <c r="P57" s="100"/>
      <c r="Q57" s="100"/>
    </row>
    <row r="58" spans="1:17" s="98" customFormat="1" ht="16.5" customHeight="1" x14ac:dyDescent="0.25">
      <c r="A58" s="95">
        <v>53</v>
      </c>
      <c r="B58" s="89">
        <v>45425</v>
      </c>
      <c r="C58" s="90" t="s">
        <v>774</v>
      </c>
      <c r="D58" s="96">
        <v>15000</v>
      </c>
      <c r="E58" s="96">
        <v>0</v>
      </c>
      <c r="F58" s="90"/>
      <c r="G58" s="90"/>
      <c r="H58" s="90"/>
      <c r="I58" s="90"/>
      <c r="J58" s="90"/>
      <c r="K58" s="90"/>
      <c r="L58" s="90"/>
      <c r="M58" s="99"/>
      <c r="N58" s="100"/>
      <c r="O58" s="100"/>
      <c r="P58" s="100"/>
      <c r="Q58" s="100"/>
    </row>
    <row r="59" spans="1:17" s="98" customFormat="1" ht="16.5" customHeight="1" x14ac:dyDescent="0.25">
      <c r="A59" s="95">
        <v>54</v>
      </c>
      <c r="B59" s="89">
        <v>45425</v>
      </c>
      <c r="C59" s="90" t="s">
        <v>774</v>
      </c>
      <c r="D59" s="96">
        <v>4000</v>
      </c>
      <c r="E59" s="96">
        <v>0</v>
      </c>
      <c r="F59" s="90"/>
      <c r="G59" s="90"/>
      <c r="H59" s="90"/>
      <c r="I59" s="90"/>
      <c r="J59" s="90"/>
      <c r="K59" s="90"/>
      <c r="L59" s="90"/>
      <c r="M59" s="99"/>
      <c r="N59" s="100"/>
      <c r="O59" s="100"/>
      <c r="P59" s="100"/>
      <c r="Q59" s="100"/>
    </row>
    <row r="60" spans="1:17" s="90" customFormat="1" ht="16.5" customHeight="1" x14ac:dyDescent="0.25">
      <c r="A60" s="95">
        <v>55</v>
      </c>
      <c r="B60" s="89">
        <v>45425</v>
      </c>
      <c r="C60" s="90" t="s">
        <v>775</v>
      </c>
      <c r="D60" s="96">
        <v>17500</v>
      </c>
      <c r="E60" s="96">
        <v>0</v>
      </c>
      <c r="M60" s="99"/>
      <c r="N60" s="100"/>
      <c r="O60" s="100"/>
      <c r="P60" s="100"/>
      <c r="Q60" s="100"/>
    </row>
    <row r="61" spans="1:17" s="90" customFormat="1" ht="16.5" customHeight="1" x14ac:dyDescent="0.25">
      <c r="A61" s="95">
        <v>56</v>
      </c>
      <c r="B61" s="89">
        <v>45425</v>
      </c>
      <c r="C61" s="90" t="s">
        <v>775</v>
      </c>
      <c r="D61" s="96">
        <v>12000</v>
      </c>
      <c r="E61" s="96">
        <v>0</v>
      </c>
      <c r="M61" s="99"/>
      <c r="N61" s="100"/>
      <c r="O61" s="100"/>
      <c r="P61" s="100"/>
      <c r="Q61" s="100"/>
    </row>
    <row r="62" spans="1:17" s="90" customFormat="1" ht="16.5" customHeight="1" x14ac:dyDescent="0.25">
      <c r="A62" s="95">
        <v>57</v>
      </c>
      <c r="B62" s="89">
        <v>45427</v>
      </c>
      <c r="C62" s="90" t="s">
        <v>771</v>
      </c>
      <c r="D62" s="96">
        <v>17700</v>
      </c>
      <c r="E62" s="96">
        <v>0</v>
      </c>
      <c r="M62" s="99"/>
      <c r="N62" s="100"/>
      <c r="O62" s="100"/>
      <c r="P62" s="100"/>
      <c r="Q62" s="100"/>
    </row>
    <row r="63" spans="1:17" s="90" customFormat="1" ht="16.5" customHeight="1" x14ac:dyDescent="0.25">
      <c r="A63" s="95">
        <v>58</v>
      </c>
      <c r="B63" s="89">
        <v>45428</v>
      </c>
      <c r="C63" s="90" t="s">
        <v>776</v>
      </c>
      <c r="D63" s="96">
        <v>80000</v>
      </c>
      <c r="E63" s="96">
        <v>0</v>
      </c>
      <c r="M63" s="99"/>
      <c r="N63" s="100"/>
      <c r="O63" s="100"/>
      <c r="P63" s="100"/>
      <c r="Q63" s="100"/>
    </row>
    <row r="64" spans="1:17" s="98" customFormat="1" ht="16.5" customHeight="1" x14ac:dyDescent="0.25">
      <c r="A64" s="95">
        <v>59</v>
      </c>
      <c r="B64" s="89">
        <v>45428</v>
      </c>
      <c r="C64" s="90" t="s">
        <v>776</v>
      </c>
      <c r="D64" s="96">
        <v>70000</v>
      </c>
      <c r="E64" s="96">
        <v>0</v>
      </c>
      <c r="F64" s="90"/>
      <c r="G64" s="90"/>
      <c r="H64" s="90"/>
      <c r="I64" s="90"/>
      <c r="J64" s="90"/>
      <c r="K64" s="90"/>
      <c r="L64" s="90"/>
      <c r="M64" s="99"/>
      <c r="N64" s="100"/>
      <c r="O64" s="100"/>
      <c r="P64" s="100"/>
      <c r="Q64" s="100"/>
    </row>
    <row r="65" spans="1:17" s="98" customFormat="1" ht="16.5" customHeight="1" x14ac:dyDescent="0.25">
      <c r="A65" s="95">
        <v>60</v>
      </c>
      <c r="B65" s="89">
        <v>45430</v>
      </c>
      <c r="C65" s="90" t="s">
        <v>777</v>
      </c>
      <c r="D65" s="96">
        <v>90000</v>
      </c>
      <c r="E65" s="96">
        <v>0</v>
      </c>
      <c r="F65" s="90"/>
      <c r="G65" s="90"/>
      <c r="H65" s="90"/>
      <c r="I65" s="90"/>
      <c r="J65" s="90"/>
      <c r="K65" s="90"/>
      <c r="L65" s="90"/>
      <c r="M65" s="99"/>
      <c r="N65" s="100"/>
      <c r="O65" s="100"/>
      <c r="P65" s="100"/>
      <c r="Q65" s="100"/>
    </row>
    <row r="66" spans="1:17" s="90" customFormat="1" ht="16.5" customHeight="1" x14ac:dyDescent="0.25">
      <c r="A66" s="95">
        <v>61</v>
      </c>
      <c r="B66" s="89">
        <v>45430</v>
      </c>
      <c r="C66" s="90" t="s">
        <v>778</v>
      </c>
      <c r="D66" s="96">
        <v>19500</v>
      </c>
      <c r="E66" s="96">
        <v>0</v>
      </c>
      <c r="M66" s="99"/>
      <c r="N66" s="100"/>
      <c r="O66" s="100"/>
      <c r="P66" s="100"/>
      <c r="Q66" s="100"/>
    </row>
    <row r="67" spans="1:17" s="90" customFormat="1" ht="16.5" customHeight="1" x14ac:dyDescent="0.25">
      <c r="A67" s="95">
        <v>62</v>
      </c>
      <c r="B67" s="89">
        <v>45430</v>
      </c>
      <c r="C67" s="90" t="s">
        <v>779</v>
      </c>
      <c r="D67" s="96">
        <v>126000</v>
      </c>
      <c r="E67" s="96">
        <v>0</v>
      </c>
      <c r="M67" s="99"/>
      <c r="N67" s="100"/>
      <c r="O67" s="100"/>
      <c r="P67" s="100"/>
      <c r="Q67" s="100"/>
    </row>
    <row r="68" spans="1:17" s="90" customFormat="1" ht="16.5" customHeight="1" x14ac:dyDescent="0.25">
      <c r="A68" s="95">
        <v>63</v>
      </c>
      <c r="B68" s="89">
        <v>45433</v>
      </c>
      <c r="C68" s="90" t="s">
        <v>780</v>
      </c>
      <c r="D68" s="96">
        <v>69473</v>
      </c>
      <c r="E68" s="96">
        <v>0</v>
      </c>
      <c r="M68" s="99"/>
      <c r="N68" s="100"/>
      <c r="O68" s="100"/>
      <c r="P68" s="100"/>
      <c r="Q68" s="100"/>
    </row>
    <row r="69" spans="1:17" s="98" customFormat="1" ht="16.5" customHeight="1" x14ac:dyDescent="0.25">
      <c r="A69" s="95">
        <v>64</v>
      </c>
      <c r="B69" s="89">
        <v>45433</v>
      </c>
      <c r="C69" s="90" t="s">
        <v>781</v>
      </c>
      <c r="D69" s="96">
        <v>42500</v>
      </c>
      <c r="E69" s="96">
        <v>0</v>
      </c>
    </row>
    <row r="70" spans="1:17" s="98" customFormat="1" ht="16.5" customHeight="1" x14ac:dyDescent="0.25">
      <c r="A70" s="95">
        <v>65</v>
      </c>
      <c r="B70" s="89">
        <v>45434</v>
      </c>
      <c r="C70" s="90" t="s">
        <v>782</v>
      </c>
      <c r="D70" s="96">
        <v>25000</v>
      </c>
      <c r="E70" s="96">
        <v>0</v>
      </c>
    </row>
    <row r="71" spans="1:17" s="98" customFormat="1" ht="16.5" customHeight="1" x14ac:dyDescent="0.25">
      <c r="A71" s="95">
        <v>66</v>
      </c>
      <c r="B71" s="89">
        <v>45436</v>
      </c>
      <c r="C71" s="90" t="s">
        <v>783</v>
      </c>
      <c r="D71" s="96">
        <v>2717950</v>
      </c>
      <c r="E71" s="96">
        <v>0</v>
      </c>
    </row>
    <row r="72" spans="1:17" s="98" customFormat="1" ht="16.5" customHeight="1" x14ac:dyDescent="0.25">
      <c r="A72" s="95">
        <v>67</v>
      </c>
      <c r="B72" s="89">
        <v>45436</v>
      </c>
      <c r="C72" s="90" t="s">
        <v>783</v>
      </c>
      <c r="D72" s="96">
        <v>2250000</v>
      </c>
      <c r="E72" s="96">
        <v>0</v>
      </c>
    </row>
    <row r="73" spans="1:17" s="98" customFormat="1" ht="16.5" customHeight="1" x14ac:dyDescent="0.25">
      <c r="A73" s="95">
        <v>68</v>
      </c>
      <c r="B73" s="89">
        <v>45436</v>
      </c>
      <c r="C73" s="90" t="s">
        <v>783</v>
      </c>
      <c r="D73" s="96">
        <v>402500</v>
      </c>
      <c r="E73" s="96">
        <v>0</v>
      </c>
    </row>
    <row r="74" spans="1:17" s="98" customFormat="1" ht="16.5" customHeight="1" x14ac:dyDescent="0.25">
      <c r="A74" s="95">
        <v>69</v>
      </c>
      <c r="B74" s="89">
        <v>45436</v>
      </c>
      <c r="C74" s="90" t="s">
        <v>783</v>
      </c>
      <c r="D74" s="96">
        <v>17000</v>
      </c>
      <c r="E74" s="96">
        <v>0</v>
      </c>
    </row>
    <row r="75" spans="1:17" s="98" customFormat="1" ht="16.5" customHeight="1" x14ac:dyDescent="0.25">
      <c r="A75" s="95">
        <v>70</v>
      </c>
      <c r="B75" s="89">
        <v>45440</v>
      </c>
      <c r="C75" s="90" t="s">
        <v>784</v>
      </c>
      <c r="D75" s="96">
        <v>95000</v>
      </c>
      <c r="E75" s="96">
        <v>0</v>
      </c>
    </row>
    <row r="76" spans="1:17" s="98" customFormat="1" ht="16.5" customHeight="1" x14ac:dyDescent="0.25">
      <c r="A76" s="95">
        <v>71</v>
      </c>
      <c r="B76" s="89">
        <v>45440</v>
      </c>
      <c r="C76" s="90" t="s">
        <v>784</v>
      </c>
      <c r="D76" s="96">
        <v>5000</v>
      </c>
      <c r="E76" s="96">
        <v>0</v>
      </c>
    </row>
    <row r="77" spans="1:17" s="98" customFormat="1" ht="16.5" customHeight="1" x14ac:dyDescent="0.25">
      <c r="A77" s="95">
        <v>72</v>
      </c>
      <c r="B77" s="89">
        <v>45440</v>
      </c>
      <c r="C77" s="90" t="s">
        <v>785</v>
      </c>
      <c r="D77" s="96">
        <v>319996</v>
      </c>
      <c r="E77" s="96">
        <v>0</v>
      </c>
    </row>
    <row r="78" spans="1:17" s="98" customFormat="1" ht="16.5" customHeight="1" x14ac:dyDescent="0.25">
      <c r="A78" s="95">
        <v>73</v>
      </c>
      <c r="B78" s="89">
        <v>45440</v>
      </c>
      <c r="C78" s="90" t="s">
        <v>785</v>
      </c>
      <c r="D78" s="96">
        <v>9998</v>
      </c>
      <c r="E78" s="96">
        <v>0</v>
      </c>
    </row>
    <row r="79" spans="1:17" s="98" customFormat="1" ht="16.5" customHeight="1" x14ac:dyDescent="0.25">
      <c r="A79" s="95">
        <v>74</v>
      </c>
      <c r="B79" s="89">
        <v>45440</v>
      </c>
      <c r="C79" s="90" t="s">
        <v>786</v>
      </c>
      <c r="D79" s="96">
        <v>25000</v>
      </c>
      <c r="E79" s="96">
        <v>0</v>
      </c>
    </row>
    <row r="80" spans="1:17" s="98" customFormat="1" ht="16.5" customHeight="1" x14ac:dyDescent="0.25">
      <c r="A80" s="95">
        <v>75</v>
      </c>
      <c r="B80" s="89">
        <v>45440</v>
      </c>
      <c r="C80" s="90" t="s">
        <v>787</v>
      </c>
      <c r="D80" s="96">
        <v>120000</v>
      </c>
      <c r="E80" s="96">
        <v>0</v>
      </c>
      <c r="F80" s="101"/>
      <c r="G80" s="101"/>
    </row>
    <row r="81" spans="1:7" s="98" customFormat="1" ht="16.5" customHeight="1" x14ac:dyDescent="0.25">
      <c r="A81" s="95">
        <v>76</v>
      </c>
      <c r="B81" s="89">
        <v>45440</v>
      </c>
      <c r="C81" s="90" t="s">
        <v>787</v>
      </c>
      <c r="D81" s="96">
        <v>120000</v>
      </c>
      <c r="E81" s="96">
        <v>0</v>
      </c>
    </row>
    <row r="82" spans="1:7" s="98" customFormat="1" ht="16.5" customHeight="1" x14ac:dyDescent="0.25">
      <c r="A82" s="95">
        <v>77</v>
      </c>
      <c r="B82" s="89">
        <v>45440</v>
      </c>
      <c r="C82" s="90" t="s">
        <v>788</v>
      </c>
      <c r="D82" s="96">
        <v>18000</v>
      </c>
      <c r="E82" s="96">
        <v>0</v>
      </c>
    </row>
    <row r="83" spans="1:7" s="98" customFormat="1" ht="16.5" customHeight="1" x14ac:dyDescent="0.25">
      <c r="A83" s="95">
        <v>78</v>
      </c>
      <c r="B83" s="89">
        <v>45443</v>
      </c>
      <c r="C83" s="90" t="s">
        <v>789</v>
      </c>
      <c r="D83" s="96">
        <v>46104</v>
      </c>
      <c r="E83" s="96">
        <v>0</v>
      </c>
      <c r="F83" s="101"/>
      <c r="G83" s="101"/>
    </row>
    <row r="84" spans="1:7" s="98" customFormat="1" ht="16.5" customHeight="1" x14ac:dyDescent="0.25">
      <c r="A84" s="95">
        <v>79</v>
      </c>
      <c r="B84" s="89">
        <v>45448</v>
      </c>
      <c r="C84" s="90" t="s">
        <v>790</v>
      </c>
      <c r="D84" s="96">
        <v>32670</v>
      </c>
      <c r="E84" s="96">
        <v>0</v>
      </c>
    </row>
    <row r="85" spans="1:7" s="98" customFormat="1" ht="16.5" customHeight="1" x14ac:dyDescent="0.25">
      <c r="A85" s="95">
        <v>80</v>
      </c>
      <c r="B85" s="89">
        <v>45448</v>
      </c>
      <c r="C85" s="90" t="s">
        <v>791</v>
      </c>
      <c r="D85" s="96">
        <v>116000</v>
      </c>
      <c r="E85" s="96">
        <v>0</v>
      </c>
    </row>
    <row r="86" spans="1:7" s="98" customFormat="1" ht="16.5" customHeight="1" x14ac:dyDescent="0.25">
      <c r="A86" s="95">
        <v>81</v>
      </c>
      <c r="B86" s="89">
        <v>45448</v>
      </c>
      <c r="C86" s="90" t="s">
        <v>792</v>
      </c>
      <c r="D86" s="96">
        <v>73500</v>
      </c>
      <c r="E86" s="96">
        <v>0</v>
      </c>
    </row>
    <row r="87" spans="1:7" s="98" customFormat="1" ht="16.5" customHeight="1" x14ac:dyDescent="0.25">
      <c r="A87" s="95">
        <v>82</v>
      </c>
      <c r="B87" s="89">
        <v>45448</v>
      </c>
      <c r="C87" s="90" t="s">
        <v>793</v>
      </c>
      <c r="D87" s="96">
        <v>97500</v>
      </c>
      <c r="E87" s="96">
        <v>0</v>
      </c>
    </row>
    <row r="88" spans="1:7" s="98" customFormat="1" ht="16.5" customHeight="1" x14ac:dyDescent="0.25">
      <c r="A88" s="95">
        <v>83</v>
      </c>
      <c r="B88" s="89">
        <v>45450</v>
      </c>
      <c r="C88" s="90" t="s">
        <v>794</v>
      </c>
      <c r="D88" s="96">
        <v>82350</v>
      </c>
      <c r="E88" s="96">
        <v>0</v>
      </c>
    </row>
    <row r="89" spans="1:7" s="98" customFormat="1" ht="16.5" customHeight="1" x14ac:dyDescent="0.25">
      <c r="A89" s="95">
        <v>84</v>
      </c>
      <c r="B89" s="89">
        <v>45451</v>
      </c>
      <c r="C89" s="90" t="s">
        <v>795</v>
      </c>
      <c r="D89" s="96">
        <v>117810</v>
      </c>
      <c r="E89" s="96">
        <v>0</v>
      </c>
    </row>
    <row r="90" spans="1:7" s="98" customFormat="1" ht="16.5" customHeight="1" x14ac:dyDescent="0.25">
      <c r="A90" s="95">
        <v>85</v>
      </c>
      <c r="B90" s="89">
        <v>45453</v>
      </c>
      <c r="C90" s="90" t="s">
        <v>796</v>
      </c>
      <c r="D90" s="96">
        <v>158400</v>
      </c>
      <c r="E90" s="96">
        <v>0</v>
      </c>
    </row>
    <row r="91" spans="1:7" s="98" customFormat="1" ht="16.5" customHeight="1" x14ac:dyDescent="0.25">
      <c r="A91" s="95">
        <v>86</v>
      </c>
      <c r="B91" s="89">
        <v>45453</v>
      </c>
      <c r="C91" s="90" t="s">
        <v>797</v>
      </c>
      <c r="D91" s="96">
        <v>19400</v>
      </c>
      <c r="E91" s="96">
        <v>0</v>
      </c>
    </row>
    <row r="92" spans="1:7" s="98" customFormat="1" ht="16.5" customHeight="1" x14ac:dyDescent="0.25">
      <c r="A92" s="95">
        <v>87</v>
      </c>
      <c r="B92" s="89">
        <v>45461</v>
      </c>
      <c r="C92" s="90" t="s">
        <v>798</v>
      </c>
      <c r="D92" s="96">
        <v>1872720</v>
      </c>
      <c r="E92" s="96">
        <v>0</v>
      </c>
    </row>
    <row r="93" spans="1:7" s="98" customFormat="1" ht="16.5" customHeight="1" x14ac:dyDescent="0.25">
      <c r="A93" s="95">
        <v>88</v>
      </c>
      <c r="B93" s="89">
        <v>45462</v>
      </c>
      <c r="C93" s="90" t="s">
        <v>799</v>
      </c>
      <c r="D93" s="96">
        <v>147000</v>
      </c>
      <c r="E93" s="96">
        <v>0</v>
      </c>
    </row>
    <row r="94" spans="1:7" s="98" customFormat="1" ht="16.5" customHeight="1" x14ac:dyDescent="0.25">
      <c r="A94" s="95">
        <v>89</v>
      </c>
      <c r="B94" s="89">
        <v>45462</v>
      </c>
      <c r="C94" s="90" t="s">
        <v>800</v>
      </c>
      <c r="D94" s="96">
        <v>78000</v>
      </c>
      <c r="E94" s="96">
        <v>0</v>
      </c>
    </row>
    <row r="95" spans="1:7" s="98" customFormat="1" ht="16.5" customHeight="1" x14ac:dyDescent="0.25">
      <c r="A95" s="95">
        <v>90</v>
      </c>
      <c r="B95" s="89">
        <v>45463</v>
      </c>
      <c r="C95" s="90" t="s">
        <v>801</v>
      </c>
      <c r="D95" s="96">
        <v>41990</v>
      </c>
      <c r="E95" s="96">
        <v>0</v>
      </c>
    </row>
    <row r="96" spans="1:7" s="98" customFormat="1" ht="16.5" customHeight="1" x14ac:dyDescent="0.25">
      <c r="A96" s="95">
        <v>91</v>
      </c>
      <c r="B96" s="89">
        <v>45463</v>
      </c>
      <c r="C96" s="90" t="s">
        <v>802</v>
      </c>
      <c r="D96" s="96">
        <v>10000</v>
      </c>
      <c r="E96" s="96">
        <v>0</v>
      </c>
    </row>
    <row r="97" spans="1:5" s="98" customFormat="1" ht="16.5" customHeight="1" x14ac:dyDescent="0.25">
      <c r="A97" s="95">
        <v>92</v>
      </c>
      <c r="B97" s="89">
        <v>45463</v>
      </c>
      <c r="C97" s="90" t="s">
        <v>803</v>
      </c>
      <c r="D97" s="96">
        <v>55429</v>
      </c>
      <c r="E97" s="96">
        <v>0</v>
      </c>
    </row>
    <row r="98" spans="1:5" s="98" customFormat="1" ht="16.5" customHeight="1" x14ac:dyDescent="0.25">
      <c r="A98" s="95">
        <v>93</v>
      </c>
      <c r="B98" s="89">
        <v>45463</v>
      </c>
      <c r="C98" s="90" t="s">
        <v>804</v>
      </c>
      <c r="D98" s="96">
        <v>285000</v>
      </c>
      <c r="E98" s="96">
        <v>0</v>
      </c>
    </row>
    <row r="99" spans="1:5" s="98" customFormat="1" ht="16.5" customHeight="1" x14ac:dyDescent="0.25">
      <c r="A99" s="95">
        <v>94</v>
      </c>
      <c r="B99" s="89">
        <v>45463</v>
      </c>
      <c r="C99" s="90" t="s">
        <v>744</v>
      </c>
      <c r="D99" s="96">
        <v>2103500</v>
      </c>
      <c r="E99" s="96">
        <v>0</v>
      </c>
    </row>
    <row r="100" spans="1:5" s="98" customFormat="1" ht="16.5" customHeight="1" x14ac:dyDescent="0.25">
      <c r="A100" s="95">
        <v>95</v>
      </c>
      <c r="B100" s="89">
        <v>45464</v>
      </c>
      <c r="C100" s="90" t="s">
        <v>805</v>
      </c>
      <c r="D100" s="96">
        <v>365000</v>
      </c>
      <c r="E100" s="96">
        <v>0</v>
      </c>
    </row>
    <row r="101" spans="1:5" s="98" customFormat="1" ht="16.5" customHeight="1" x14ac:dyDescent="0.25">
      <c r="A101" s="95">
        <v>96</v>
      </c>
      <c r="B101" s="89">
        <v>45471</v>
      </c>
      <c r="C101" s="90" t="s">
        <v>806</v>
      </c>
      <c r="D101" s="96">
        <v>245000</v>
      </c>
      <c r="E101" s="96">
        <v>0</v>
      </c>
    </row>
    <row r="102" spans="1:5" s="98" customFormat="1" ht="16.5" customHeight="1" x14ac:dyDescent="0.25">
      <c r="A102" s="95">
        <v>97</v>
      </c>
      <c r="B102" s="89">
        <v>45471</v>
      </c>
      <c r="C102" s="90" t="s">
        <v>806</v>
      </c>
      <c r="D102" s="96">
        <v>75000</v>
      </c>
      <c r="E102" s="96">
        <v>0</v>
      </c>
    </row>
    <row r="103" spans="1:5" s="98" customFormat="1" ht="16.5" customHeight="1" x14ac:dyDescent="0.25">
      <c r="A103" s="95">
        <v>98</v>
      </c>
      <c r="B103" s="89">
        <v>45471</v>
      </c>
      <c r="C103" s="90" t="s">
        <v>807</v>
      </c>
      <c r="D103" s="96">
        <v>30991000</v>
      </c>
      <c r="E103" s="96">
        <v>0</v>
      </c>
    </row>
    <row r="104" spans="1:5" s="98" customFormat="1" ht="16.5" customHeight="1" x14ac:dyDescent="0.25">
      <c r="A104" s="95">
        <v>99</v>
      </c>
      <c r="B104" s="89">
        <v>45471</v>
      </c>
      <c r="C104" s="90" t="s">
        <v>808</v>
      </c>
      <c r="D104" s="96">
        <v>97500</v>
      </c>
      <c r="E104" s="96">
        <v>0</v>
      </c>
    </row>
    <row r="105" spans="1:5" s="98" customFormat="1" ht="16.5" customHeight="1" x14ac:dyDescent="0.25">
      <c r="A105" s="95">
        <v>100</v>
      </c>
      <c r="B105" s="89">
        <v>45479</v>
      </c>
      <c r="C105" s="90" t="s">
        <v>809</v>
      </c>
      <c r="D105" s="96">
        <v>315000</v>
      </c>
      <c r="E105" s="96">
        <v>0</v>
      </c>
    </row>
    <row r="106" spans="1:5" s="98" customFormat="1" ht="16.5" customHeight="1" x14ac:dyDescent="0.25">
      <c r="A106" s="95">
        <v>101</v>
      </c>
      <c r="B106" s="89">
        <v>45486</v>
      </c>
      <c r="C106" s="90" t="s">
        <v>810</v>
      </c>
      <c r="D106" s="96">
        <v>38800</v>
      </c>
      <c r="E106" s="96">
        <v>0</v>
      </c>
    </row>
    <row r="107" spans="1:5" s="98" customFormat="1" ht="16.5" customHeight="1" x14ac:dyDescent="0.25">
      <c r="A107" s="95">
        <v>102</v>
      </c>
      <c r="B107" s="89">
        <v>45486</v>
      </c>
      <c r="C107" s="90" t="s">
        <v>811</v>
      </c>
      <c r="D107" s="96">
        <v>91180</v>
      </c>
      <c r="E107" s="96">
        <v>0</v>
      </c>
    </row>
    <row r="108" spans="1:5" s="98" customFormat="1" ht="16.5" customHeight="1" x14ac:dyDescent="0.25">
      <c r="A108" s="95">
        <v>103</v>
      </c>
      <c r="B108" s="89">
        <v>45486</v>
      </c>
      <c r="C108" s="90" t="s">
        <v>812</v>
      </c>
      <c r="D108" s="96">
        <v>22000</v>
      </c>
      <c r="E108" s="96">
        <v>0</v>
      </c>
    </row>
    <row r="109" spans="1:5" s="98" customFormat="1" ht="16.5" customHeight="1" x14ac:dyDescent="0.25">
      <c r="A109" s="95">
        <v>104</v>
      </c>
      <c r="B109" s="89">
        <v>45486</v>
      </c>
      <c r="C109" s="90" t="s">
        <v>813</v>
      </c>
      <c r="D109" s="96">
        <v>25000</v>
      </c>
      <c r="E109" s="96">
        <v>0</v>
      </c>
    </row>
    <row r="110" spans="1:5" s="98" customFormat="1" ht="16.5" customHeight="1" x14ac:dyDescent="0.25">
      <c r="A110" s="95">
        <v>105</v>
      </c>
      <c r="B110" s="89">
        <v>45486</v>
      </c>
      <c r="C110" s="90" t="s">
        <v>814</v>
      </c>
      <c r="D110" s="96">
        <v>41000</v>
      </c>
      <c r="E110" s="96">
        <v>0</v>
      </c>
    </row>
    <row r="111" spans="1:5" s="98" customFormat="1" ht="16.5" customHeight="1" x14ac:dyDescent="0.25">
      <c r="A111" s="95">
        <v>106</v>
      </c>
      <c r="B111" s="89">
        <v>45486</v>
      </c>
      <c r="C111" s="90" t="s">
        <v>815</v>
      </c>
      <c r="D111" s="96">
        <v>7900</v>
      </c>
      <c r="E111" s="96">
        <v>0</v>
      </c>
    </row>
    <row r="112" spans="1:5" s="98" customFormat="1" ht="16.5" customHeight="1" x14ac:dyDescent="0.25">
      <c r="A112" s="95">
        <v>107</v>
      </c>
      <c r="B112" s="89">
        <v>45488</v>
      </c>
      <c r="C112" s="90" t="s">
        <v>816</v>
      </c>
      <c r="D112" s="96">
        <v>85500</v>
      </c>
      <c r="E112" s="96">
        <v>0</v>
      </c>
    </row>
    <row r="113" spans="1:5" s="98" customFormat="1" ht="16.5" customHeight="1" x14ac:dyDescent="0.25">
      <c r="A113" s="95">
        <v>108</v>
      </c>
      <c r="B113" s="89">
        <v>45491</v>
      </c>
      <c r="C113" s="90" t="s">
        <v>764</v>
      </c>
      <c r="D113" s="96">
        <v>1000000</v>
      </c>
      <c r="E113" s="96">
        <v>0</v>
      </c>
    </row>
    <row r="114" spans="1:5" s="98" customFormat="1" ht="16.5" customHeight="1" x14ac:dyDescent="0.25">
      <c r="A114" s="95">
        <v>109</v>
      </c>
      <c r="B114" s="89">
        <v>45493</v>
      </c>
      <c r="C114" s="90" t="s">
        <v>817</v>
      </c>
      <c r="D114" s="96">
        <v>38500</v>
      </c>
      <c r="E114" s="96">
        <v>0</v>
      </c>
    </row>
    <row r="115" spans="1:5" s="98" customFormat="1" ht="16.5" customHeight="1" x14ac:dyDescent="0.25">
      <c r="A115" s="95">
        <v>110</v>
      </c>
      <c r="B115" s="89">
        <v>45493</v>
      </c>
      <c r="C115" s="90" t="s">
        <v>818</v>
      </c>
      <c r="D115" s="96">
        <v>58500</v>
      </c>
      <c r="E115" s="96">
        <v>0</v>
      </c>
    </row>
    <row r="116" spans="1:5" s="98" customFormat="1" ht="16.5" customHeight="1" x14ac:dyDescent="0.25">
      <c r="A116" s="95">
        <v>111</v>
      </c>
      <c r="B116" s="89">
        <v>45493</v>
      </c>
      <c r="C116" s="90" t="s">
        <v>819</v>
      </c>
      <c r="D116" s="96">
        <v>63000</v>
      </c>
      <c r="E116" s="96">
        <v>0</v>
      </c>
    </row>
    <row r="117" spans="1:5" s="98" customFormat="1" ht="16.5" customHeight="1" x14ac:dyDescent="0.25">
      <c r="A117" s="95">
        <v>112</v>
      </c>
      <c r="B117" s="89">
        <v>45497</v>
      </c>
      <c r="C117" s="90" t="s">
        <v>820</v>
      </c>
      <c r="D117" s="96">
        <v>55000</v>
      </c>
      <c r="E117" s="96">
        <v>0</v>
      </c>
    </row>
    <row r="118" spans="1:5" s="98" customFormat="1" ht="16.5" customHeight="1" x14ac:dyDescent="0.25">
      <c r="A118" s="95">
        <v>113</v>
      </c>
      <c r="B118" s="89">
        <v>45498</v>
      </c>
      <c r="C118" s="90" t="s">
        <v>798</v>
      </c>
      <c r="D118" s="96">
        <v>6485550</v>
      </c>
      <c r="E118" s="96">
        <v>0</v>
      </c>
    </row>
    <row r="119" spans="1:5" s="98" customFormat="1" ht="16.5" customHeight="1" x14ac:dyDescent="0.25">
      <c r="A119" s="95">
        <v>114</v>
      </c>
      <c r="B119" s="89">
        <v>45498</v>
      </c>
      <c r="C119" s="90" t="s">
        <v>821</v>
      </c>
      <c r="D119" s="96">
        <v>6500</v>
      </c>
      <c r="E119" s="96">
        <v>0</v>
      </c>
    </row>
    <row r="120" spans="1:5" s="98" customFormat="1" ht="16.5" customHeight="1" x14ac:dyDescent="0.25">
      <c r="A120" s="95">
        <v>115</v>
      </c>
      <c r="B120" s="89">
        <v>45499</v>
      </c>
      <c r="C120" s="90" t="s">
        <v>822</v>
      </c>
      <c r="D120" s="96">
        <v>55000</v>
      </c>
      <c r="E120" s="96">
        <v>0</v>
      </c>
    </row>
    <row r="121" spans="1:5" s="98" customFormat="1" ht="16.5" customHeight="1" x14ac:dyDescent="0.25">
      <c r="A121" s="95">
        <v>116</v>
      </c>
      <c r="B121" s="89">
        <v>45500</v>
      </c>
      <c r="C121" s="90" t="s">
        <v>823</v>
      </c>
      <c r="D121" s="96">
        <v>85900</v>
      </c>
      <c r="E121" s="96">
        <v>0</v>
      </c>
    </row>
    <row r="122" spans="1:5" s="98" customFormat="1" ht="16.5" customHeight="1" x14ac:dyDescent="0.25">
      <c r="A122" s="95">
        <v>117</v>
      </c>
      <c r="B122" s="89">
        <v>45502</v>
      </c>
      <c r="C122" s="90" t="s">
        <v>824</v>
      </c>
      <c r="D122" s="96">
        <v>32500</v>
      </c>
      <c r="E122" s="96">
        <v>0</v>
      </c>
    </row>
    <row r="123" spans="1:5" s="98" customFormat="1" ht="16.5" customHeight="1" x14ac:dyDescent="0.25">
      <c r="A123" s="95">
        <v>118</v>
      </c>
      <c r="B123" s="89">
        <v>45506</v>
      </c>
      <c r="C123" s="90" t="s">
        <v>825</v>
      </c>
      <c r="D123" s="102">
        <v>99000</v>
      </c>
      <c r="E123" s="102">
        <v>0</v>
      </c>
    </row>
    <row r="124" spans="1:5" s="98" customFormat="1" ht="16.5" customHeight="1" x14ac:dyDescent="0.25">
      <c r="A124" s="95">
        <v>119</v>
      </c>
      <c r="B124" s="89">
        <v>45512</v>
      </c>
      <c r="C124" s="90" t="s">
        <v>826</v>
      </c>
      <c r="D124" s="102">
        <v>34000</v>
      </c>
      <c r="E124" s="102">
        <v>0</v>
      </c>
    </row>
    <row r="125" spans="1:5" s="98" customFormat="1" ht="16.5" customHeight="1" x14ac:dyDescent="0.25">
      <c r="A125" s="95">
        <v>120</v>
      </c>
      <c r="B125" s="89">
        <v>45512</v>
      </c>
      <c r="C125" s="90" t="s">
        <v>799</v>
      </c>
      <c r="D125" s="102">
        <v>147000</v>
      </c>
      <c r="E125" s="102">
        <v>0</v>
      </c>
    </row>
    <row r="126" spans="1:5" s="98" customFormat="1" ht="16.5" customHeight="1" x14ac:dyDescent="0.25">
      <c r="A126" s="95">
        <v>121</v>
      </c>
      <c r="B126" s="89">
        <v>45512</v>
      </c>
      <c r="C126" s="90" t="s">
        <v>827</v>
      </c>
      <c r="D126" s="102">
        <v>58500</v>
      </c>
      <c r="E126" s="102">
        <v>0</v>
      </c>
    </row>
    <row r="127" spans="1:5" s="98" customFormat="1" ht="16.5" customHeight="1" x14ac:dyDescent="0.25">
      <c r="A127" s="95">
        <v>122</v>
      </c>
      <c r="B127" s="89">
        <v>45512</v>
      </c>
      <c r="C127" s="90" t="s">
        <v>818</v>
      </c>
      <c r="D127" s="102">
        <v>58500</v>
      </c>
      <c r="E127" s="102">
        <v>0</v>
      </c>
    </row>
    <row r="128" spans="1:5" s="98" customFormat="1" ht="16.5" customHeight="1" x14ac:dyDescent="0.25">
      <c r="A128" s="95">
        <v>123</v>
      </c>
      <c r="B128" s="89">
        <v>45512</v>
      </c>
      <c r="C128" s="90" t="s">
        <v>828</v>
      </c>
      <c r="D128" s="102">
        <v>119500</v>
      </c>
      <c r="E128" s="102">
        <v>0</v>
      </c>
    </row>
    <row r="129" spans="1:5" s="98" customFormat="1" ht="16.5" customHeight="1" x14ac:dyDescent="0.25">
      <c r="A129" s="95">
        <v>124</v>
      </c>
      <c r="B129" s="89">
        <v>45513</v>
      </c>
      <c r="C129" s="90" t="s">
        <v>829</v>
      </c>
      <c r="D129" s="102">
        <v>114090</v>
      </c>
      <c r="E129" s="102">
        <v>0</v>
      </c>
    </row>
    <row r="130" spans="1:5" s="98" customFormat="1" ht="16.5" customHeight="1" x14ac:dyDescent="0.25">
      <c r="A130" s="95">
        <v>125</v>
      </c>
      <c r="B130" s="89">
        <v>45513</v>
      </c>
      <c r="C130" s="90" t="s">
        <v>829</v>
      </c>
      <c r="D130" s="102">
        <v>68400</v>
      </c>
      <c r="E130" s="102">
        <v>0</v>
      </c>
    </row>
    <row r="131" spans="1:5" s="98" customFormat="1" ht="16.5" customHeight="1" x14ac:dyDescent="0.25">
      <c r="A131" s="95">
        <v>126</v>
      </c>
      <c r="B131" s="89">
        <v>45518</v>
      </c>
      <c r="C131" s="90" t="s">
        <v>830</v>
      </c>
      <c r="D131" s="102">
        <v>20000</v>
      </c>
      <c r="E131" s="102">
        <v>0</v>
      </c>
    </row>
    <row r="132" spans="1:5" s="98" customFormat="1" ht="16.5" customHeight="1" x14ac:dyDescent="0.25">
      <c r="A132" s="95">
        <v>127</v>
      </c>
      <c r="B132" s="89">
        <v>45518</v>
      </c>
      <c r="C132" s="90" t="s">
        <v>831</v>
      </c>
      <c r="D132" s="102">
        <v>24000</v>
      </c>
      <c r="E132" s="102">
        <v>0</v>
      </c>
    </row>
    <row r="133" spans="1:5" s="98" customFormat="1" ht="16.5" customHeight="1" x14ac:dyDescent="0.25">
      <c r="A133" s="95">
        <v>128</v>
      </c>
      <c r="B133" s="89">
        <v>45518</v>
      </c>
      <c r="C133" s="90" t="s">
        <v>809</v>
      </c>
      <c r="D133" s="102">
        <v>315000</v>
      </c>
      <c r="E133" s="102">
        <v>0</v>
      </c>
    </row>
    <row r="134" spans="1:5" s="98" customFormat="1" ht="16.5" customHeight="1" x14ac:dyDescent="0.25">
      <c r="A134" s="95">
        <v>129</v>
      </c>
      <c r="B134" s="89">
        <v>45523</v>
      </c>
      <c r="C134" s="90" t="s">
        <v>832</v>
      </c>
      <c r="D134" s="102">
        <v>175609</v>
      </c>
      <c r="E134" s="102">
        <v>0</v>
      </c>
    </row>
    <row r="135" spans="1:5" s="98" customFormat="1" ht="16.5" customHeight="1" x14ac:dyDescent="0.25">
      <c r="A135" s="95">
        <v>130</v>
      </c>
      <c r="B135" s="89">
        <v>45524</v>
      </c>
      <c r="C135" s="90" t="s">
        <v>833</v>
      </c>
      <c r="D135" s="102">
        <v>128000</v>
      </c>
      <c r="E135" s="102">
        <v>0</v>
      </c>
    </row>
    <row r="136" spans="1:5" s="98" customFormat="1" ht="16.5" customHeight="1" x14ac:dyDescent="0.25">
      <c r="A136" s="95">
        <v>131</v>
      </c>
      <c r="B136" s="89">
        <v>45530</v>
      </c>
      <c r="C136" s="90" t="s">
        <v>834</v>
      </c>
      <c r="D136" s="102">
        <v>117992</v>
      </c>
      <c r="E136" s="102">
        <v>0</v>
      </c>
    </row>
    <row r="137" spans="1:5" s="98" customFormat="1" ht="16.5" customHeight="1" x14ac:dyDescent="0.25">
      <c r="A137" s="95">
        <v>132</v>
      </c>
      <c r="B137" s="89">
        <v>45530</v>
      </c>
      <c r="C137" s="90" t="s">
        <v>835</v>
      </c>
      <c r="D137" s="102">
        <v>71700</v>
      </c>
      <c r="E137" s="102">
        <v>0</v>
      </c>
    </row>
    <row r="138" spans="1:5" s="98" customFormat="1" ht="16.5" customHeight="1" x14ac:dyDescent="0.25">
      <c r="A138" s="95">
        <v>133</v>
      </c>
      <c r="B138" s="89">
        <v>45539</v>
      </c>
      <c r="C138" s="90" t="s">
        <v>836</v>
      </c>
      <c r="D138" s="102">
        <v>420000</v>
      </c>
      <c r="E138" s="102">
        <v>0</v>
      </c>
    </row>
    <row r="139" spans="1:5" s="98" customFormat="1" ht="16.5" customHeight="1" x14ac:dyDescent="0.25">
      <c r="A139" s="95">
        <v>134</v>
      </c>
      <c r="B139" s="89">
        <v>45540</v>
      </c>
      <c r="C139" s="90" t="s">
        <v>818</v>
      </c>
      <c r="D139" s="102">
        <v>58500</v>
      </c>
      <c r="E139" s="102">
        <v>0</v>
      </c>
    </row>
    <row r="140" spans="1:5" s="98" customFormat="1" ht="16.5" customHeight="1" x14ac:dyDescent="0.25">
      <c r="A140" s="95">
        <v>135</v>
      </c>
      <c r="B140" s="89">
        <v>45540</v>
      </c>
      <c r="C140" s="90" t="s">
        <v>808</v>
      </c>
      <c r="D140" s="102">
        <v>105000</v>
      </c>
      <c r="E140" s="102">
        <v>0</v>
      </c>
    </row>
    <row r="141" spans="1:5" s="98" customFormat="1" ht="16.5" customHeight="1" x14ac:dyDescent="0.25">
      <c r="A141" s="95">
        <v>136</v>
      </c>
      <c r="B141" s="89">
        <v>45540</v>
      </c>
      <c r="C141" s="90" t="s">
        <v>793</v>
      </c>
      <c r="D141" s="102">
        <v>95000</v>
      </c>
      <c r="E141" s="102">
        <v>0</v>
      </c>
    </row>
    <row r="142" spans="1:5" s="98" customFormat="1" ht="16.5" customHeight="1" x14ac:dyDescent="0.25">
      <c r="A142" s="95">
        <v>137</v>
      </c>
      <c r="B142" s="89">
        <v>45544</v>
      </c>
      <c r="C142" s="90" t="s">
        <v>837</v>
      </c>
      <c r="D142" s="102">
        <v>43800</v>
      </c>
      <c r="E142" s="102">
        <v>0</v>
      </c>
    </row>
    <row r="143" spans="1:5" s="98" customFormat="1" ht="16.5" customHeight="1" x14ac:dyDescent="0.25">
      <c r="A143" s="95">
        <v>138</v>
      </c>
      <c r="B143" s="89">
        <v>45544</v>
      </c>
      <c r="C143" s="90" t="s">
        <v>838</v>
      </c>
      <c r="D143" s="102">
        <v>63100</v>
      </c>
      <c r="E143" s="102">
        <v>0</v>
      </c>
    </row>
    <row r="144" spans="1:5" s="98" customFormat="1" ht="16.5" customHeight="1" x14ac:dyDescent="0.25">
      <c r="A144" s="95">
        <v>139</v>
      </c>
      <c r="B144" s="89">
        <v>45544</v>
      </c>
      <c r="C144" s="90" t="s">
        <v>839</v>
      </c>
      <c r="D144" s="102">
        <v>43200</v>
      </c>
      <c r="E144" s="102">
        <v>0</v>
      </c>
    </row>
    <row r="145" spans="1:5" s="98" customFormat="1" ht="16.5" customHeight="1" x14ac:dyDescent="0.25">
      <c r="A145" s="95">
        <v>140</v>
      </c>
      <c r="B145" s="89">
        <v>45547</v>
      </c>
      <c r="C145" s="90" t="s">
        <v>840</v>
      </c>
      <c r="D145" s="102">
        <v>102528</v>
      </c>
      <c r="E145" s="102">
        <v>0</v>
      </c>
    </row>
    <row r="146" spans="1:5" s="98" customFormat="1" ht="16.5" customHeight="1" x14ac:dyDescent="0.25">
      <c r="A146" s="95">
        <v>141</v>
      </c>
      <c r="B146" s="89">
        <v>45547</v>
      </c>
      <c r="C146" s="90" t="s">
        <v>841</v>
      </c>
      <c r="D146" s="102">
        <v>126420</v>
      </c>
      <c r="E146" s="102">
        <v>0</v>
      </c>
    </row>
    <row r="147" spans="1:5" s="98" customFormat="1" ht="16.5" customHeight="1" x14ac:dyDescent="0.25">
      <c r="A147" s="95">
        <v>142</v>
      </c>
      <c r="B147" s="89">
        <v>45547</v>
      </c>
      <c r="C147" s="90" t="s">
        <v>842</v>
      </c>
      <c r="D147" s="102">
        <v>69992</v>
      </c>
      <c r="E147" s="102">
        <v>0</v>
      </c>
    </row>
    <row r="148" spans="1:5" s="98" customFormat="1" ht="16.5" customHeight="1" x14ac:dyDescent="0.25">
      <c r="A148" s="95">
        <v>143</v>
      </c>
      <c r="B148" s="89">
        <v>45555</v>
      </c>
      <c r="C148" s="90" t="s">
        <v>843</v>
      </c>
      <c r="D148" s="102">
        <v>186000</v>
      </c>
      <c r="E148" s="102">
        <v>0</v>
      </c>
    </row>
    <row r="149" spans="1:5" s="98" customFormat="1" ht="16.5" customHeight="1" x14ac:dyDescent="0.25">
      <c r="A149" s="95">
        <v>144</v>
      </c>
      <c r="B149" s="89">
        <v>45555</v>
      </c>
      <c r="C149" s="90" t="s">
        <v>844</v>
      </c>
      <c r="D149" s="102">
        <v>33000</v>
      </c>
      <c r="E149" s="102">
        <v>0</v>
      </c>
    </row>
    <row r="150" spans="1:5" s="98" customFormat="1" ht="16.5" customHeight="1" x14ac:dyDescent="0.25">
      <c r="A150" s="95">
        <v>145</v>
      </c>
      <c r="B150" s="89">
        <v>45555</v>
      </c>
      <c r="C150" s="90" t="s">
        <v>845</v>
      </c>
      <c r="D150" s="102">
        <v>194000</v>
      </c>
      <c r="E150" s="102">
        <v>0</v>
      </c>
    </row>
    <row r="151" spans="1:5" s="98" customFormat="1" ht="16.5" customHeight="1" x14ac:dyDescent="0.25">
      <c r="A151" s="95">
        <v>146</v>
      </c>
      <c r="B151" s="89">
        <v>45556</v>
      </c>
      <c r="C151" s="90" t="s">
        <v>846</v>
      </c>
      <c r="D151" s="102">
        <v>24000</v>
      </c>
      <c r="E151" s="102">
        <v>0</v>
      </c>
    </row>
    <row r="152" spans="1:5" s="98" customFormat="1" ht="16.5" customHeight="1" x14ac:dyDescent="0.25">
      <c r="A152" s="95">
        <v>147</v>
      </c>
      <c r="B152" s="89">
        <v>45558</v>
      </c>
      <c r="C152" s="90" t="s">
        <v>821</v>
      </c>
      <c r="D152" s="102">
        <v>7000</v>
      </c>
      <c r="E152" s="102">
        <v>0</v>
      </c>
    </row>
    <row r="153" spans="1:5" s="98" customFormat="1" ht="16.5" customHeight="1" x14ac:dyDescent="0.25">
      <c r="A153" s="95">
        <v>148</v>
      </c>
      <c r="B153" s="89">
        <v>45559</v>
      </c>
      <c r="C153" s="90" t="s">
        <v>847</v>
      </c>
      <c r="D153" s="102">
        <v>170000</v>
      </c>
      <c r="E153" s="102">
        <v>0</v>
      </c>
    </row>
    <row r="154" spans="1:5" s="98" customFormat="1" ht="16.5" customHeight="1" x14ac:dyDescent="0.25">
      <c r="A154" s="95">
        <v>149</v>
      </c>
      <c r="B154" s="89">
        <v>45559</v>
      </c>
      <c r="C154" s="90" t="s">
        <v>848</v>
      </c>
      <c r="D154" s="102">
        <v>18000</v>
      </c>
      <c r="E154" s="102">
        <v>0</v>
      </c>
    </row>
    <row r="155" spans="1:5" s="98" customFormat="1" ht="16.5" customHeight="1" x14ac:dyDescent="0.25">
      <c r="A155" s="95">
        <v>150</v>
      </c>
      <c r="B155" s="89">
        <v>45560</v>
      </c>
      <c r="C155" s="90" t="s">
        <v>849</v>
      </c>
      <c r="D155" s="102">
        <v>71250</v>
      </c>
      <c r="E155" s="102">
        <v>0</v>
      </c>
    </row>
    <row r="156" spans="1:5" s="98" customFormat="1" ht="16.5" customHeight="1" x14ac:dyDescent="0.25">
      <c r="A156" s="95">
        <v>151</v>
      </c>
      <c r="B156" s="89">
        <v>45562</v>
      </c>
      <c r="C156" s="90" t="s">
        <v>850</v>
      </c>
      <c r="D156" s="102">
        <v>186000</v>
      </c>
      <c r="E156" s="102">
        <v>0</v>
      </c>
    </row>
    <row r="157" spans="1:5" s="98" customFormat="1" ht="16.5" customHeight="1" x14ac:dyDescent="0.25">
      <c r="A157" s="95">
        <v>152</v>
      </c>
      <c r="B157" s="89">
        <v>45563</v>
      </c>
      <c r="C157" s="90" t="s">
        <v>799</v>
      </c>
      <c r="D157" s="102">
        <v>147000</v>
      </c>
      <c r="E157" s="102">
        <v>0</v>
      </c>
    </row>
    <row r="158" spans="1:5" s="98" customFormat="1" ht="16.5" customHeight="1" x14ac:dyDescent="0.25">
      <c r="A158" s="95">
        <v>153</v>
      </c>
      <c r="B158" s="89">
        <v>45563</v>
      </c>
      <c r="C158" s="90" t="s">
        <v>818</v>
      </c>
      <c r="D158" s="102">
        <v>58500</v>
      </c>
      <c r="E158" s="102">
        <v>0</v>
      </c>
    </row>
    <row r="159" spans="1:5" s="98" customFormat="1" ht="16.5" customHeight="1" x14ac:dyDescent="0.25">
      <c r="A159" s="95">
        <v>154</v>
      </c>
      <c r="B159" s="89">
        <v>45563</v>
      </c>
      <c r="C159" s="90" t="s">
        <v>827</v>
      </c>
      <c r="D159" s="102">
        <v>57000</v>
      </c>
      <c r="E159" s="102">
        <v>0</v>
      </c>
    </row>
    <row r="160" spans="1:5" s="98" customFormat="1" ht="16.5" customHeight="1" x14ac:dyDescent="0.25">
      <c r="A160" s="95">
        <v>155</v>
      </c>
      <c r="B160" s="89">
        <v>45563</v>
      </c>
      <c r="C160" s="90" t="s">
        <v>851</v>
      </c>
      <c r="D160" s="102">
        <v>19940</v>
      </c>
      <c r="E160" s="102">
        <v>0</v>
      </c>
    </row>
    <row r="161" spans="1:5" s="98" customFormat="1" ht="16.5" customHeight="1" x14ac:dyDescent="0.25">
      <c r="A161" s="95">
        <v>156</v>
      </c>
      <c r="B161" s="89">
        <v>45568</v>
      </c>
      <c r="C161" s="90" t="s">
        <v>764</v>
      </c>
      <c r="D161" s="96">
        <v>1000000</v>
      </c>
      <c r="E161" s="96">
        <v>0</v>
      </c>
    </row>
    <row r="162" spans="1:5" s="98" customFormat="1" ht="16.5" customHeight="1" x14ac:dyDescent="0.25">
      <c r="A162" s="95">
        <v>157</v>
      </c>
      <c r="B162" s="89">
        <v>45573</v>
      </c>
      <c r="C162" s="90" t="s">
        <v>852</v>
      </c>
      <c r="D162" s="96">
        <v>30000</v>
      </c>
      <c r="E162" s="96">
        <v>0</v>
      </c>
    </row>
    <row r="163" spans="1:5" s="98" customFormat="1" ht="16.5" customHeight="1" x14ac:dyDescent="0.25">
      <c r="A163" s="95">
        <v>158</v>
      </c>
      <c r="B163" s="89">
        <v>45574</v>
      </c>
      <c r="C163" s="90" t="s">
        <v>853</v>
      </c>
      <c r="D163" s="96">
        <v>15800</v>
      </c>
      <c r="E163" s="96">
        <v>0</v>
      </c>
    </row>
    <row r="164" spans="1:5" s="98" customFormat="1" ht="16.5" customHeight="1" x14ac:dyDescent="0.25">
      <c r="A164" s="95">
        <v>159</v>
      </c>
      <c r="B164" s="89">
        <v>45575</v>
      </c>
      <c r="C164" s="90" t="s">
        <v>854</v>
      </c>
      <c r="D164" s="96">
        <v>136563</v>
      </c>
      <c r="E164" s="96">
        <v>0</v>
      </c>
    </row>
    <row r="165" spans="1:5" s="98" customFormat="1" ht="16.5" customHeight="1" x14ac:dyDescent="0.25">
      <c r="A165" s="95">
        <v>160</v>
      </c>
      <c r="B165" s="89">
        <v>45576</v>
      </c>
      <c r="C165" s="90" t="s">
        <v>855</v>
      </c>
      <c r="D165" s="96">
        <v>145800</v>
      </c>
      <c r="E165" s="96">
        <v>0</v>
      </c>
    </row>
    <row r="166" spans="1:5" s="98" customFormat="1" ht="16.5" customHeight="1" x14ac:dyDescent="0.25">
      <c r="A166" s="95">
        <v>161</v>
      </c>
      <c r="B166" s="89">
        <v>45579</v>
      </c>
      <c r="C166" s="90" t="s">
        <v>856</v>
      </c>
      <c r="D166" s="96">
        <v>149500</v>
      </c>
      <c r="E166" s="96">
        <v>0</v>
      </c>
    </row>
    <row r="167" spans="1:5" s="98" customFormat="1" ht="16.5" customHeight="1" x14ac:dyDescent="0.25">
      <c r="A167" s="95">
        <v>162</v>
      </c>
      <c r="B167" s="89">
        <v>45583</v>
      </c>
      <c r="C167" s="90" t="s">
        <v>857</v>
      </c>
      <c r="D167" s="96">
        <v>20850</v>
      </c>
      <c r="E167" s="96">
        <v>0</v>
      </c>
    </row>
    <row r="168" spans="1:5" s="98" customFormat="1" ht="16.5" customHeight="1" x14ac:dyDescent="0.25">
      <c r="A168" s="95">
        <v>163</v>
      </c>
      <c r="B168" s="89">
        <v>45583</v>
      </c>
      <c r="C168" s="90" t="s">
        <v>858</v>
      </c>
      <c r="D168" s="96">
        <v>95854</v>
      </c>
      <c r="E168" s="96">
        <v>0</v>
      </c>
    </row>
    <row r="169" spans="1:5" s="98" customFormat="1" ht="16.5" customHeight="1" x14ac:dyDescent="0.25">
      <c r="A169" s="95">
        <v>164</v>
      </c>
      <c r="B169" s="89">
        <v>45586</v>
      </c>
      <c r="C169" s="90" t="s">
        <v>859</v>
      </c>
      <c r="D169" s="96">
        <v>48000</v>
      </c>
      <c r="E169" s="96">
        <v>0</v>
      </c>
    </row>
    <row r="170" spans="1:5" s="98" customFormat="1" ht="16.5" customHeight="1" x14ac:dyDescent="0.25">
      <c r="A170" s="95">
        <v>165</v>
      </c>
      <c r="B170" s="89">
        <v>45588</v>
      </c>
      <c r="C170" s="90" t="s">
        <v>860</v>
      </c>
      <c r="D170" s="96">
        <v>187929</v>
      </c>
      <c r="E170" s="96">
        <v>0</v>
      </c>
    </row>
    <row r="171" spans="1:5" s="98" customFormat="1" ht="16.5" customHeight="1" x14ac:dyDescent="0.25">
      <c r="A171" s="95">
        <v>166</v>
      </c>
      <c r="B171" s="89">
        <v>45588</v>
      </c>
      <c r="C171" s="90" t="s">
        <v>808</v>
      </c>
      <c r="D171" s="96">
        <v>105000</v>
      </c>
      <c r="E171" s="96">
        <v>0</v>
      </c>
    </row>
    <row r="172" spans="1:5" s="98" customFormat="1" ht="16.5" customHeight="1" x14ac:dyDescent="0.25">
      <c r="A172" s="95">
        <v>167</v>
      </c>
      <c r="B172" s="89">
        <v>45588</v>
      </c>
      <c r="C172" s="90" t="s">
        <v>861</v>
      </c>
      <c r="D172" s="96">
        <v>39000</v>
      </c>
      <c r="E172" s="96">
        <v>0</v>
      </c>
    </row>
    <row r="173" spans="1:5" s="98" customFormat="1" ht="16.5" customHeight="1" x14ac:dyDescent="0.25">
      <c r="A173" s="95">
        <v>168</v>
      </c>
      <c r="B173" s="89">
        <v>45588</v>
      </c>
      <c r="C173" s="90" t="s">
        <v>827</v>
      </c>
      <c r="D173" s="96">
        <v>58500</v>
      </c>
      <c r="E173" s="96">
        <v>0</v>
      </c>
    </row>
    <row r="174" spans="1:5" s="98" customFormat="1" ht="16.5" customHeight="1" x14ac:dyDescent="0.25">
      <c r="A174" s="95">
        <v>169</v>
      </c>
      <c r="B174" s="89">
        <v>45590</v>
      </c>
      <c r="C174" s="90" t="s">
        <v>862</v>
      </c>
      <c r="D174" s="96">
        <v>199450</v>
      </c>
      <c r="E174" s="96">
        <v>0</v>
      </c>
    </row>
    <row r="175" spans="1:5" s="98" customFormat="1" ht="16.5" customHeight="1" x14ac:dyDescent="0.25">
      <c r="A175" s="95">
        <v>170</v>
      </c>
      <c r="B175" s="89">
        <v>45590</v>
      </c>
      <c r="C175" s="90" t="s">
        <v>863</v>
      </c>
      <c r="D175" s="96">
        <v>6341050</v>
      </c>
      <c r="E175" s="96">
        <v>0</v>
      </c>
    </row>
    <row r="176" spans="1:5" s="98" customFormat="1" ht="16.5" customHeight="1" x14ac:dyDescent="0.25">
      <c r="A176" s="95">
        <v>171</v>
      </c>
      <c r="B176" s="89">
        <v>45593</v>
      </c>
      <c r="C176" s="90" t="s">
        <v>864</v>
      </c>
      <c r="D176" s="96">
        <v>454900</v>
      </c>
      <c r="E176" s="96">
        <v>0</v>
      </c>
    </row>
    <row r="177" spans="1:5" s="98" customFormat="1" ht="16.5" customHeight="1" x14ac:dyDescent="0.25">
      <c r="A177" s="95">
        <v>172</v>
      </c>
      <c r="B177" s="89">
        <v>45593</v>
      </c>
      <c r="C177" s="90" t="s">
        <v>865</v>
      </c>
      <c r="D177" s="96">
        <v>948750</v>
      </c>
      <c r="E177" s="96">
        <v>0</v>
      </c>
    </row>
    <row r="178" spans="1:5" s="98" customFormat="1" ht="16.5" customHeight="1" x14ac:dyDescent="0.25">
      <c r="A178" s="95">
        <v>173</v>
      </c>
      <c r="B178" s="89">
        <v>45593</v>
      </c>
      <c r="C178" s="90" t="s">
        <v>866</v>
      </c>
      <c r="D178" s="96">
        <v>10900</v>
      </c>
      <c r="E178" s="96">
        <v>0</v>
      </c>
    </row>
    <row r="179" spans="1:5" s="98" customFormat="1" ht="16.5" customHeight="1" x14ac:dyDescent="0.25">
      <c r="A179" s="95">
        <v>174</v>
      </c>
      <c r="B179" s="89">
        <v>45593</v>
      </c>
      <c r="C179" s="90" t="s">
        <v>867</v>
      </c>
      <c r="D179" s="96">
        <v>196000</v>
      </c>
      <c r="E179" s="96">
        <v>0</v>
      </c>
    </row>
    <row r="180" spans="1:5" s="98" customFormat="1" ht="16.5" customHeight="1" x14ac:dyDescent="0.25">
      <c r="A180" s="95">
        <v>175</v>
      </c>
      <c r="B180" s="89">
        <v>45594</v>
      </c>
      <c r="C180" s="90" t="s">
        <v>868</v>
      </c>
      <c r="D180" s="96">
        <v>81500</v>
      </c>
      <c r="E180" s="96">
        <v>0</v>
      </c>
    </row>
    <row r="181" spans="1:5" s="98" customFormat="1" ht="16.5" customHeight="1" x14ac:dyDescent="0.25">
      <c r="A181" s="95">
        <v>176</v>
      </c>
      <c r="B181" s="89">
        <v>45594</v>
      </c>
      <c r="C181" s="90" t="s">
        <v>869</v>
      </c>
      <c r="D181" s="96">
        <v>3328000</v>
      </c>
      <c r="E181" s="96">
        <v>0</v>
      </c>
    </row>
    <row r="182" spans="1:5" s="98" customFormat="1" ht="16.5" customHeight="1" x14ac:dyDescent="0.25">
      <c r="A182" s="95">
        <v>177</v>
      </c>
      <c r="B182" s="89">
        <v>45596</v>
      </c>
      <c r="C182" s="90" t="s">
        <v>870</v>
      </c>
      <c r="D182" s="96">
        <v>368950</v>
      </c>
      <c r="E182" s="96">
        <v>0</v>
      </c>
    </row>
    <row r="183" spans="1:5" s="98" customFormat="1" ht="16.5" customHeight="1" x14ac:dyDescent="0.25">
      <c r="A183" s="95">
        <v>178</v>
      </c>
      <c r="B183" s="89">
        <v>45602</v>
      </c>
      <c r="C183" s="90" t="s">
        <v>871</v>
      </c>
      <c r="D183" s="96">
        <v>90000</v>
      </c>
      <c r="E183" s="96">
        <v>0</v>
      </c>
    </row>
    <row r="184" spans="1:5" s="98" customFormat="1" ht="16.5" customHeight="1" x14ac:dyDescent="0.25">
      <c r="A184" s="95">
        <v>179</v>
      </c>
      <c r="B184" s="89">
        <v>45603</v>
      </c>
      <c r="C184" s="90" t="s">
        <v>872</v>
      </c>
      <c r="D184" s="96">
        <v>48670</v>
      </c>
      <c r="E184" s="96">
        <v>0</v>
      </c>
    </row>
    <row r="185" spans="1:5" s="98" customFormat="1" ht="16.5" customHeight="1" x14ac:dyDescent="0.25">
      <c r="A185" s="95">
        <v>180</v>
      </c>
      <c r="B185" s="89">
        <v>45603</v>
      </c>
      <c r="C185" s="90" t="s">
        <v>873</v>
      </c>
      <c r="D185" s="96">
        <v>22400</v>
      </c>
      <c r="E185" s="96">
        <v>0</v>
      </c>
    </row>
    <row r="186" spans="1:5" s="98" customFormat="1" ht="16.5" customHeight="1" x14ac:dyDescent="0.25">
      <c r="A186" s="95">
        <v>181</v>
      </c>
      <c r="B186" s="89">
        <v>45603</v>
      </c>
      <c r="C186" s="90" t="s">
        <v>874</v>
      </c>
      <c r="D186" s="96">
        <v>237500</v>
      </c>
      <c r="E186" s="96">
        <v>0</v>
      </c>
    </row>
    <row r="187" spans="1:5" s="98" customFormat="1" ht="16.5" customHeight="1" x14ac:dyDescent="0.25">
      <c r="A187" s="95">
        <v>182</v>
      </c>
      <c r="B187" s="89">
        <v>45603</v>
      </c>
      <c r="C187" s="90" t="s">
        <v>858</v>
      </c>
      <c r="D187" s="96">
        <v>95900</v>
      </c>
      <c r="E187" s="96">
        <v>0</v>
      </c>
    </row>
    <row r="188" spans="1:5" s="98" customFormat="1" ht="16.5" customHeight="1" x14ac:dyDescent="0.25">
      <c r="A188" s="95">
        <v>183</v>
      </c>
      <c r="B188" s="89">
        <v>45608</v>
      </c>
      <c r="C188" s="90" t="s">
        <v>779</v>
      </c>
      <c r="D188" s="96">
        <v>126000</v>
      </c>
      <c r="E188" s="96">
        <v>0</v>
      </c>
    </row>
    <row r="189" spans="1:5" s="98" customFormat="1" ht="16.5" customHeight="1" x14ac:dyDescent="0.25">
      <c r="A189" s="95">
        <v>184</v>
      </c>
      <c r="B189" s="89">
        <v>45608</v>
      </c>
      <c r="C189" s="90" t="s">
        <v>778</v>
      </c>
      <c r="D189" s="96">
        <v>19500</v>
      </c>
      <c r="E189" s="96">
        <v>0</v>
      </c>
    </row>
    <row r="190" spans="1:5" s="98" customFormat="1" ht="16.5" customHeight="1" x14ac:dyDescent="0.25">
      <c r="A190" s="95">
        <v>185</v>
      </c>
      <c r="B190" s="89">
        <v>45608</v>
      </c>
      <c r="C190" s="90" t="s">
        <v>793</v>
      </c>
      <c r="D190" s="96">
        <v>97500</v>
      </c>
      <c r="E190" s="96">
        <v>0</v>
      </c>
    </row>
    <row r="191" spans="1:5" s="98" customFormat="1" ht="16.5" customHeight="1" x14ac:dyDescent="0.25">
      <c r="A191" s="95">
        <v>186</v>
      </c>
      <c r="B191" s="89">
        <v>45612</v>
      </c>
      <c r="C191" s="90" t="s">
        <v>875</v>
      </c>
      <c r="D191" s="96">
        <v>36000</v>
      </c>
      <c r="E191" s="96">
        <v>0</v>
      </c>
    </row>
    <row r="192" spans="1:5" s="98" customFormat="1" ht="16.5" customHeight="1" x14ac:dyDescent="0.25">
      <c r="A192" s="95">
        <v>187</v>
      </c>
      <c r="B192" s="89">
        <v>45614</v>
      </c>
      <c r="C192" s="90" t="s">
        <v>798</v>
      </c>
      <c r="D192" s="96">
        <v>2212350</v>
      </c>
      <c r="E192" s="96">
        <v>0</v>
      </c>
    </row>
    <row r="193" spans="1:5" s="98" customFormat="1" ht="16.5" customHeight="1" x14ac:dyDescent="0.25">
      <c r="A193" s="95">
        <v>188</v>
      </c>
      <c r="B193" s="89">
        <v>45614</v>
      </c>
      <c r="C193" s="90" t="s">
        <v>876</v>
      </c>
      <c r="D193" s="96">
        <v>810000</v>
      </c>
      <c r="E193" s="96">
        <v>0</v>
      </c>
    </row>
    <row r="194" spans="1:5" s="98" customFormat="1" ht="16.5" customHeight="1" x14ac:dyDescent="0.25">
      <c r="A194" s="95">
        <v>189</v>
      </c>
      <c r="B194" s="89">
        <v>45614</v>
      </c>
      <c r="C194" s="90" t="s">
        <v>877</v>
      </c>
      <c r="D194" s="96">
        <v>1207500</v>
      </c>
      <c r="E194" s="96">
        <v>0</v>
      </c>
    </row>
    <row r="195" spans="1:5" s="98" customFormat="1" ht="16.5" customHeight="1" x14ac:dyDescent="0.25">
      <c r="A195" s="95">
        <v>190</v>
      </c>
      <c r="B195" s="89">
        <v>45616</v>
      </c>
      <c r="C195" s="90" t="s">
        <v>833</v>
      </c>
      <c r="D195" s="96">
        <v>128000</v>
      </c>
      <c r="E195" s="96">
        <v>0</v>
      </c>
    </row>
    <row r="196" spans="1:5" s="98" customFormat="1" ht="16.5" customHeight="1" x14ac:dyDescent="0.25">
      <c r="A196" s="95">
        <v>191</v>
      </c>
      <c r="B196" s="89">
        <v>45617</v>
      </c>
      <c r="C196" s="90" t="s">
        <v>878</v>
      </c>
      <c r="D196" s="96">
        <v>90000</v>
      </c>
      <c r="E196" s="96">
        <v>0</v>
      </c>
    </row>
    <row r="197" spans="1:5" s="98" customFormat="1" ht="16.5" customHeight="1" x14ac:dyDescent="0.25">
      <c r="A197" s="95">
        <v>192</v>
      </c>
      <c r="B197" s="89">
        <v>45617</v>
      </c>
      <c r="C197" s="90" t="s">
        <v>879</v>
      </c>
      <c r="D197" s="96">
        <v>136500</v>
      </c>
      <c r="E197" s="96">
        <v>0</v>
      </c>
    </row>
    <row r="198" spans="1:5" s="98" customFormat="1" ht="16.5" customHeight="1" x14ac:dyDescent="0.25">
      <c r="A198" s="95">
        <v>193</v>
      </c>
      <c r="B198" s="89">
        <v>45617</v>
      </c>
      <c r="C198" s="90" t="s">
        <v>880</v>
      </c>
      <c r="D198" s="96">
        <v>37976</v>
      </c>
      <c r="E198" s="96">
        <v>0</v>
      </c>
    </row>
    <row r="199" spans="1:5" s="98" customFormat="1" ht="16.5" customHeight="1" x14ac:dyDescent="0.25">
      <c r="A199" s="95">
        <v>194</v>
      </c>
      <c r="B199" s="89">
        <v>45618</v>
      </c>
      <c r="C199" s="90" t="s">
        <v>881</v>
      </c>
      <c r="D199" s="96">
        <v>36000</v>
      </c>
      <c r="E199" s="96">
        <v>0</v>
      </c>
    </row>
    <row r="200" spans="1:5" s="98" customFormat="1" ht="16.5" customHeight="1" x14ac:dyDescent="0.25">
      <c r="A200" s="95">
        <v>195</v>
      </c>
      <c r="B200" s="89">
        <v>45622</v>
      </c>
      <c r="C200" s="90" t="s">
        <v>856</v>
      </c>
      <c r="D200" s="96">
        <v>138019</v>
      </c>
      <c r="E200" s="96">
        <v>0</v>
      </c>
    </row>
    <row r="201" spans="1:5" s="98" customFormat="1" ht="16.5" customHeight="1" x14ac:dyDescent="0.25">
      <c r="A201" s="95">
        <v>196</v>
      </c>
      <c r="B201" s="89">
        <v>45626</v>
      </c>
      <c r="C201" s="90" t="s">
        <v>882</v>
      </c>
      <c r="D201" s="96">
        <v>39960</v>
      </c>
      <c r="E201" s="96">
        <v>0</v>
      </c>
    </row>
    <row r="202" spans="1:5" s="98" customFormat="1" ht="16.5" customHeight="1" x14ac:dyDescent="0.25">
      <c r="A202" s="95">
        <v>197</v>
      </c>
      <c r="B202" s="89">
        <v>45626</v>
      </c>
      <c r="C202" s="90" t="s">
        <v>883</v>
      </c>
      <c r="D202" s="96">
        <v>48000</v>
      </c>
      <c r="E202" s="96">
        <v>0</v>
      </c>
    </row>
    <row r="203" spans="1:5" s="98" customFormat="1" ht="16.5" customHeight="1" x14ac:dyDescent="0.25">
      <c r="A203" s="95">
        <v>198</v>
      </c>
      <c r="B203" s="89">
        <v>45626</v>
      </c>
      <c r="C203" s="90" t="s">
        <v>884</v>
      </c>
      <c r="D203" s="96">
        <v>139148</v>
      </c>
      <c r="E203" s="96">
        <v>0</v>
      </c>
    </row>
    <row r="204" spans="1:5" s="98" customFormat="1" ht="16.5" customHeight="1" x14ac:dyDescent="0.25">
      <c r="A204" s="95">
        <v>199</v>
      </c>
      <c r="B204" s="89">
        <v>45628</v>
      </c>
      <c r="C204" s="90" t="s">
        <v>819</v>
      </c>
      <c r="D204" s="96">
        <v>63000</v>
      </c>
      <c r="E204" s="96">
        <v>0</v>
      </c>
    </row>
    <row r="205" spans="1:5" s="98" customFormat="1" ht="16.5" customHeight="1" x14ac:dyDescent="0.25">
      <c r="A205" s="95">
        <v>200</v>
      </c>
      <c r="B205" s="89">
        <v>45628</v>
      </c>
      <c r="C205" s="90" t="s">
        <v>818</v>
      </c>
      <c r="D205" s="96">
        <v>58500</v>
      </c>
      <c r="E205" s="96">
        <v>0</v>
      </c>
    </row>
    <row r="206" spans="1:5" s="98" customFormat="1" ht="16.5" customHeight="1" x14ac:dyDescent="0.25">
      <c r="A206" s="95">
        <v>201</v>
      </c>
      <c r="B206" s="89">
        <v>45628</v>
      </c>
      <c r="C206" s="90" t="s">
        <v>885</v>
      </c>
      <c r="D206" s="96">
        <v>158800</v>
      </c>
      <c r="E206" s="96">
        <v>0</v>
      </c>
    </row>
    <row r="207" spans="1:5" s="98" customFormat="1" ht="16.5" customHeight="1" x14ac:dyDescent="0.25">
      <c r="A207" s="95">
        <v>202</v>
      </c>
      <c r="B207" s="89">
        <v>45628</v>
      </c>
      <c r="C207" s="90" t="s">
        <v>822</v>
      </c>
      <c r="D207" s="96">
        <v>51000</v>
      </c>
      <c r="E207" s="96">
        <v>0</v>
      </c>
    </row>
    <row r="208" spans="1:5" s="98" customFormat="1" ht="16.5" customHeight="1" x14ac:dyDescent="0.25">
      <c r="A208" s="95">
        <v>203</v>
      </c>
      <c r="B208" s="89">
        <v>45629</v>
      </c>
      <c r="C208" s="90" t="s">
        <v>886</v>
      </c>
      <c r="D208" s="96">
        <v>281900</v>
      </c>
      <c r="E208" s="96">
        <v>0</v>
      </c>
    </row>
    <row r="209" spans="1:5" s="98" customFormat="1" ht="16.5" customHeight="1" x14ac:dyDescent="0.25">
      <c r="A209" s="95">
        <v>204</v>
      </c>
      <c r="B209" s="89">
        <v>45631</v>
      </c>
      <c r="C209" s="90" t="s">
        <v>887</v>
      </c>
      <c r="D209" s="96">
        <v>21900</v>
      </c>
      <c r="E209" s="96">
        <v>0</v>
      </c>
    </row>
    <row r="210" spans="1:5" s="98" customFormat="1" ht="16.5" customHeight="1" x14ac:dyDescent="0.25">
      <c r="A210" s="95">
        <v>205</v>
      </c>
      <c r="B210" s="89">
        <v>45633</v>
      </c>
      <c r="C210" s="90" t="s">
        <v>764</v>
      </c>
      <c r="D210" s="96">
        <v>1000000</v>
      </c>
      <c r="E210" s="96">
        <v>0</v>
      </c>
    </row>
    <row r="211" spans="1:5" s="98" customFormat="1" ht="16.5" customHeight="1" x14ac:dyDescent="0.25">
      <c r="A211" s="95">
        <v>206</v>
      </c>
      <c r="B211" s="89">
        <v>45633</v>
      </c>
      <c r="C211" s="90" t="s">
        <v>888</v>
      </c>
      <c r="D211" s="96">
        <v>252000</v>
      </c>
      <c r="E211" s="96">
        <v>0</v>
      </c>
    </row>
    <row r="212" spans="1:5" s="98" customFormat="1" ht="16.5" customHeight="1" x14ac:dyDescent="0.25">
      <c r="A212" s="95">
        <v>207</v>
      </c>
      <c r="B212" s="89">
        <v>45633</v>
      </c>
      <c r="C212" s="90" t="s">
        <v>888</v>
      </c>
      <c r="D212" s="96">
        <v>204000</v>
      </c>
      <c r="E212" s="96">
        <v>0</v>
      </c>
    </row>
    <row r="213" spans="1:5" s="98" customFormat="1" ht="16.5" customHeight="1" x14ac:dyDescent="0.25">
      <c r="A213" s="95">
        <v>208</v>
      </c>
      <c r="B213" s="89">
        <v>45640</v>
      </c>
      <c r="C213" s="90" t="s">
        <v>889</v>
      </c>
      <c r="D213" s="96">
        <v>89000</v>
      </c>
      <c r="E213" s="96">
        <v>0</v>
      </c>
    </row>
    <row r="214" spans="1:5" s="98" customFormat="1" ht="16.5" customHeight="1" x14ac:dyDescent="0.25">
      <c r="A214" s="95">
        <v>209</v>
      </c>
      <c r="B214" s="89">
        <v>45642</v>
      </c>
      <c r="C214" s="90" t="s">
        <v>890</v>
      </c>
      <c r="D214" s="96">
        <v>57250</v>
      </c>
      <c r="E214" s="96">
        <v>0</v>
      </c>
    </row>
    <row r="215" spans="1:5" s="98" customFormat="1" ht="16.5" customHeight="1" x14ac:dyDescent="0.25">
      <c r="A215" s="95">
        <v>210</v>
      </c>
      <c r="B215" s="89">
        <v>45642</v>
      </c>
      <c r="C215" s="90" t="s">
        <v>891</v>
      </c>
      <c r="D215" s="96">
        <v>14400</v>
      </c>
      <c r="E215" s="96">
        <v>0</v>
      </c>
    </row>
    <row r="216" spans="1:5" s="98" customFormat="1" ht="16.5" customHeight="1" x14ac:dyDescent="0.25">
      <c r="A216" s="95">
        <v>211</v>
      </c>
      <c r="B216" s="89">
        <v>45642</v>
      </c>
      <c r="C216" s="90" t="s">
        <v>892</v>
      </c>
      <c r="D216" s="96">
        <v>27050</v>
      </c>
      <c r="E216" s="96">
        <v>0</v>
      </c>
    </row>
    <row r="217" spans="1:5" s="98" customFormat="1" ht="16.5" customHeight="1" x14ac:dyDescent="0.25">
      <c r="A217" s="95">
        <v>212</v>
      </c>
      <c r="B217" s="89">
        <v>45642</v>
      </c>
      <c r="C217" s="90" t="s">
        <v>893</v>
      </c>
      <c r="D217" s="96">
        <v>104760</v>
      </c>
      <c r="E217" s="96">
        <v>0</v>
      </c>
    </row>
    <row r="218" spans="1:5" s="98" customFormat="1" ht="16.5" customHeight="1" x14ac:dyDescent="0.25">
      <c r="A218" s="95">
        <v>213</v>
      </c>
      <c r="B218" s="89">
        <v>45643</v>
      </c>
      <c r="C218" s="90" t="s">
        <v>894</v>
      </c>
      <c r="D218" s="96">
        <v>18000</v>
      </c>
      <c r="E218" s="96">
        <v>0</v>
      </c>
    </row>
    <row r="219" spans="1:5" s="98" customFormat="1" ht="16.5" customHeight="1" x14ac:dyDescent="0.25">
      <c r="A219" s="95">
        <v>214</v>
      </c>
      <c r="B219" s="89">
        <v>45644</v>
      </c>
      <c r="C219" s="90" t="s">
        <v>895</v>
      </c>
      <c r="D219" s="96">
        <v>63000</v>
      </c>
      <c r="E219" s="96">
        <v>0</v>
      </c>
    </row>
    <row r="220" spans="1:5" s="98" customFormat="1" ht="16.5" customHeight="1" x14ac:dyDescent="0.25">
      <c r="A220" s="95">
        <v>215</v>
      </c>
      <c r="B220" s="89">
        <v>45644</v>
      </c>
      <c r="C220" s="90" t="s">
        <v>896</v>
      </c>
      <c r="D220" s="96">
        <v>283575</v>
      </c>
      <c r="E220" s="96">
        <v>0</v>
      </c>
    </row>
    <row r="221" spans="1:5" s="98" customFormat="1" ht="16.5" customHeight="1" x14ac:dyDescent="0.25">
      <c r="A221" s="95">
        <v>216</v>
      </c>
      <c r="B221" s="89">
        <v>45644</v>
      </c>
      <c r="C221" s="90" t="s">
        <v>897</v>
      </c>
      <c r="D221" s="96">
        <v>75000</v>
      </c>
      <c r="E221" s="96">
        <v>0</v>
      </c>
    </row>
    <row r="222" spans="1:5" s="98" customFormat="1" ht="16.5" customHeight="1" x14ac:dyDescent="0.25">
      <c r="A222" s="95">
        <v>217</v>
      </c>
      <c r="B222" s="89">
        <v>45646</v>
      </c>
      <c r="C222" s="90" t="s">
        <v>898</v>
      </c>
      <c r="D222" s="96">
        <v>37731</v>
      </c>
      <c r="E222" s="96">
        <v>0</v>
      </c>
    </row>
    <row r="223" spans="1:5" s="98" customFormat="1" ht="16.5" customHeight="1" x14ac:dyDescent="0.25">
      <c r="A223" s="95">
        <v>218</v>
      </c>
      <c r="B223" s="89">
        <v>45646</v>
      </c>
      <c r="C223" s="90" t="s">
        <v>899</v>
      </c>
      <c r="D223" s="96">
        <v>14780</v>
      </c>
      <c r="E223" s="96">
        <v>0</v>
      </c>
    </row>
    <row r="224" spans="1:5" s="98" customFormat="1" ht="16.5" customHeight="1" x14ac:dyDescent="0.25">
      <c r="A224" s="95">
        <v>219</v>
      </c>
      <c r="B224" s="89">
        <v>45646</v>
      </c>
      <c r="C224" s="90" t="s">
        <v>900</v>
      </c>
      <c r="D224" s="96">
        <v>43119</v>
      </c>
      <c r="E224" s="96">
        <v>0</v>
      </c>
    </row>
    <row r="225" spans="1:5" s="98" customFormat="1" ht="16.5" customHeight="1" x14ac:dyDescent="0.25">
      <c r="A225" s="95">
        <v>220</v>
      </c>
      <c r="B225" s="89">
        <v>45646</v>
      </c>
      <c r="C225" s="90" t="s">
        <v>901</v>
      </c>
      <c r="D225" s="96">
        <v>64677</v>
      </c>
      <c r="E225" s="96">
        <v>0</v>
      </c>
    </row>
    <row r="226" spans="1:5" s="98" customFormat="1" ht="16.5" customHeight="1" x14ac:dyDescent="0.25">
      <c r="A226" s="95">
        <v>221</v>
      </c>
      <c r="B226" s="89">
        <v>45650</v>
      </c>
      <c r="C226" s="90" t="s">
        <v>902</v>
      </c>
      <c r="D226" s="96">
        <v>152488</v>
      </c>
      <c r="E226" s="96">
        <v>0</v>
      </c>
    </row>
    <row r="227" spans="1:5" s="98" customFormat="1" ht="16.5" customHeight="1" x14ac:dyDescent="0.25">
      <c r="A227" s="95">
        <v>222</v>
      </c>
      <c r="B227" s="89">
        <v>45650</v>
      </c>
      <c r="C227" s="90" t="s">
        <v>903</v>
      </c>
      <c r="D227" s="96">
        <v>3597</v>
      </c>
      <c r="E227" s="96">
        <v>0</v>
      </c>
    </row>
    <row r="228" spans="1:5" s="98" customFormat="1" ht="16.5" customHeight="1" x14ac:dyDescent="0.25">
      <c r="A228" s="95">
        <v>223</v>
      </c>
      <c r="B228" s="89">
        <v>45653</v>
      </c>
      <c r="C228" s="90" t="s">
        <v>904</v>
      </c>
      <c r="D228" s="96">
        <v>457700</v>
      </c>
      <c r="E228" s="96">
        <v>0</v>
      </c>
    </row>
    <row r="229" spans="1:5" s="98" customFormat="1" ht="16.5" customHeight="1" x14ac:dyDescent="0.25">
      <c r="A229" s="95">
        <v>224</v>
      </c>
      <c r="B229" s="89">
        <v>45654</v>
      </c>
      <c r="C229" s="90" t="s">
        <v>905</v>
      </c>
      <c r="D229" s="96">
        <v>41700</v>
      </c>
      <c r="E229" s="96">
        <v>0</v>
      </c>
    </row>
    <row r="230" spans="1:5" s="98" customFormat="1" ht="16.5" customHeight="1" x14ac:dyDescent="0.25">
      <c r="A230" s="95">
        <v>225</v>
      </c>
      <c r="B230" s="89">
        <v>45664</v>
      </c>
      <c r="C230" s="90" t="s">
        <v>906</v>
      </c>
      <c r="D230" s="96">
        <v>67500</v>
      </c>
      <c r="E230" s="96">
        <v>0</v>
      </c>
    </row>
    <row r="231" spans="1:5" s="98" customFormat="1" ht="16.5" customHeight="1" x14ac:dyDescent="0.25">
      <c r="A231" s="95">
        <v>226</v>
      </c>
      <c r="B231" s="89">
        <v>45664</v>
      </c>
      <c r="C231" s="90" t="s">
        <v>907</v>
      </c>
      <c r="D231" s="96">
        <v>23750</v>
      </c>
      <c r="E231" s="96">
        <v>0</v>
      </c>
    </row>
    <row r="232" spans="1:5" s="98" customFormat="1" ht="16.5" customHeight="1" x14ac:dyDescent="0.25">
      <c r="A232" s="95">
        <v>227</v>
      </c>
      <c r="B232" s="89">
        <v>45664</v>
      </c>
      <c r="C232" s="90" t="s">
        <v>818</v>
      </c>
      <c r="D232" s="96">
        <v>58500</v>
      </c>
      <c r="E232" s="96">
        <v>0</v>
      </c>
    </row>
    <row r="233" spans="1:5" s="98" customFormat="1" ht="16.5" customHeight="1" x14ac:dyDescent="0.25">
      <c r="A233" s="95">
        <v>228</v>
      </c>
      <c r="B233" s="89">
        <v>45664</v>
      </c>
      <c r="C233" s="90" t="s">
        <v>808</v>
      </c>
      <c r="D233" s="96">
        <v>110000</v>
      </c>
      <c r="E233" s="96">
        <v>0</v>
      </c>
    </row>
    <row r="234" spans="1:5" s="98" customFormat="1" ht="16.5" customHeight="1" x14ac:dyDescent="0.25">
      <c r="A234" s="95">
        <v>229</v>
      </c>
      <c r="B234" s="89">
        <v>45665</v>
      </c>
      <c r="C234" s="90" t="s">
        <v>908</v>
      </c>
      <c r="D234" s="96">
        <v>19900</v>
      </c>
      <c r="E234" s="96">
        <v>0</v>
      </c>
    </row>
    <row r="235" spans="1:5" s="98" customFormat="1" ht="16.5" customHeight="1" x14ac:dyDescent="0.25">
      <c r="A235" s="95">
        <v>230</v>
      </c>
      <c r="B235" s="89">
        <v>45665</v>
      </c>
      <c r="C235" s="90" t="s">
        <v>909</v>
      </c>
      <c r="D235" s="96">
        <v>56700</v>
      </c>
      <c r="E235" s="96">
        <v>0</v>
      </c>
    </row>
    <row r="236" spans="1:5" s="98" customFormat="1" ht="16.5" customHeight="1" x14ac:dyDescent="0.25">
      <c r="A236" s="95">
        <v>231</v>
      </c>
      <c r="B236" s="89">
        <v>45666</v>
      </c>
      <c r="C236" s="90" t="s">
        <v>910</v>
      </c>
      <c r="D236" s="96">
        <v>89788</v>
      </c>
      <c r="E236" s="96">
        <v>0</v>
      </c>
    </row>
    <row r="237" spans="1:5" s="98" customFormat="1" ht="16.5" customHeight="1" x14ac:dyDescent="0.25">
      <c r="A237" s="95">
        <v>232</v>
      </c>
      <c r="B237" s="89">
        <v>45670</v>
      </c>
      <c r="C237" s="90" t="s">
        <v>911</v>
      </c>
      <c r="D237" s="96">
        <v>148717</v>
      </c>
      <c r="E237" s="96">
        <v>0</v>
      </c>
    </row>
    <row r="238" spans="1:5" s="98" customFormat="1" ht="16.5" customHeight="1" x14ac:dyDescent="0.25">
      <c r="A238" s="95">
        <v>233</v>
      </c>
      <c r="B238" s="89">
        <v>45673</v>
      </c>
      <c r="C238" s="90" t="s">
        <v>912</v>
      </c>
      <c r="D238" s="96">
        <v>444000</v>
      </c>
      <c r="E238" s="96">
        <v>0</v>
      </c>
    </row>
    <row r="239" spans="1:5" s="98" customFormat="1" ht="16.5" customHeight="1" x14ac:dyDescent="0.25">
      <c r="A239" s="95">
        <v>234</v>
      </c>
      <c r="B239" s="89">
        <v>45679</v>
      </c>
      <c r="C239" s="90" t="s">
        <v>913</v>
      </c>
      <c r="D239" s="96">
        <v>4805</v>
      </c>
      <c r="E239" s="96">
        <v>0</v>
      </c>
    </row>
    <row r="240" spans="1:5" s="98" customFormat="1" ht="16.5" customHeight="1" x14ac:dyDescent="0.25">
      <c r="A240" s="95">
        <v>235</v>
      </c>
      <c r="B240" s="89">
        <v>45679</v>
      </c>
      <c r="C240" s="90" t="s">
        <v>914</v>
      </c>
      <c r="D240" s="96">
        <v>12249</v>
      </c>
      <c r="E240" s="96">
        <v>0</v>
      </c>
    </row>
    <row r="241" spans="1:5" s="98" customFormat="1" ht="16.5" customHeight="1" x14ac:dyDescent="0.25">
      <c r="A241" s="95">
        <v>236</v>
      </c>
      <c r="B241" s="89">
        <v>45679</v>
      </c>
      <c r="C241" s="90" t="s">
        <v>915</v>
      </c>
      <c r="D241" s="96">
        <v>15600</v>
      </c>
      <c r="E241" s="96">
        <v>0</v>
      </c>
    </row>
    <row r="242" spans="1:5" s="98" customFormat="1" ht="16.5" customHeight="1" x14ac:dyDescent="0.25">
      <c r="A242" s="95">
        <v>237</v>
      </c>
      <c r="B242" s="89">
        <v>45679</v>
      </c>
      <c r="C242" s="90" t="s">
        <v>916</v>
      </c>
      <c r="D242" s="96">
        <v>46343</v>
      </c>
      <c r="E242" s="96">
        <v>0</v>
      </c>
    </row>
    <row r="243" spans="1:5" s="98" customFormat="1" ht="16.5" customHeight="1" x14ac:dyDescent="0.25">
      <c r="A243" s="95">
        <v>238</v>
      </c>
      <c r="B243" s="89">
        <v>45679</v>
      </c>
      <c r="C243" s="90" t="s">
        <v>917</v>
      </c>
      <c r="D243" s="96">
        <v>39199</v>
      </c>
      <c r="E243" s="96">
        <v>0</v>
      </c>
    </row>
    <row r="244" spans="1:5" s="98" customFormat="1" ht="16.5" customHeight="1" x14ac:dyDescent="0.25">
      <c r="A244" s="95">
        <v>239</v>
      </c>
      <c r="B244" s="89">
        <v>45679</v>
      </c>
      <c r="C244" s="90" t="s">
        <v>918</v>
      </c>
      <c r="D244" s="96">
        <v>14579</v>
      </c>
      <c r="E244" s="96">
        <v>0</v>
      </c>
    </row>
    <row r="245" spans="1:5" s="98" customFormat="1" ht="16.5" customHeight="1" x14ac:dyDescent="0.25">
      <c r="A245" s="95">
        <v>240</v>
      </c>
      <c r="B245" s="89">
        <v>45679</v>
      </c>
      <c r="C245" s="90" t="s">
        <v>918</v>
      </c>
      <c r="D245" s="96">
        <v>14287</v>
      </c>
      <c r="E245" s="96">
        <v>0</v>
      </c>
    </row>
    <row r="246" spans="1:5" s="98" customFormat="1" ht="16.5" customHeight="1" x14ac:dyDescent="0.25">
      <c r="A246" s="95">
        <v>241</v>
      </c>
      <c r="B246" s="89">
        <v>45680</v>
      </c>
      <c r="C246" s="90" t="s">
        <v>919</v>
      </c>
      <c r="D246" s="96">
        <v>120000</v>
      </c>
      <c r="E246" s="96">
        <v>0</v>
      </c>
    </row>
    <row r="247" spans="1:5" s="98" customFormat="1" ht="16.5" customHeight="1" x14ac:dyDescent="0.25">
      <c r="A247" s="95">
        <v>242</v>
      </c>
      <c r="B247" s="89">
        <v>45680</v>
      </c>
      <c r="C247" s="90" t="s">
        <v>779</v>
      </c>
      <c r="D247" s="96">
        <v>129000</v>
      </c>
      <c r="E247" s="96">
        <v>0</v>
      </c>
    </row>
    <row r="248" spans="1:5" s="98" customFormat="1" ht="16.5" customHeight="1" x14ac:dyDescent="0.25">
      <c r="A248" s="95">
        <v>243</v>
      </c>
      <c r="B248" s="89">
        <v>45680</v>
      </c>
      <c r="C248" s="90" t="s">
        <v>920</v>
      </c>
      <c r="D248" s="96">
        <v>111000</v>
      </c>
      <c r="E248" s="96">
        <v>0</v>
      </c>
    </row>
    <row r="249" spans="1:5" s="98" customFormat="1" ht="16.5" customHeight="1" x14ac:dyDescent="0.25">
      <c r="A249" s="95">
        <v>244</v>
      </c>
      <c r="B249" s="89">
        <v>45681</v>
      </c>
      <c r="C249" s="90" t="s">
        <v>921</v>
      </c>
      <c r="D249" s="96">
        <v>13000</v>
      </c>
      <c r="E249" s="96">
        <v>0</v>
      </c>
    </row>
    <row r="250" spans="1:5" s="98" customFormat="1" ht="16.5" customHeight="1" x14ac:dyDescent="0.25">
      <c r="A250" s="95">
        <v>245</v>
      </c>
      <c r="B250" s="89">
        <v>45681</v>
      </c>
      <c r="C250" s="90" t="s">
        <v>922</v>
      </c>
      <c r="D250" s="96">
        <v>12000</v>
      </c>
      <c r="E250" s="96">
        <v>0</v>
      </c>
    </row>
    <row r="251" spans="1:5" s="98" customFormat="1" ht="16.5" customHeight="1" x14ac:dyDescent="0.25">
      <c r="A251" s="95">
        <v>246</v>
      </c>
      <c r="B251" s="89">
        <v>45682</v>
      </c>
      <c r="C251" s="90" t="s">
        <v>923</v>
      </c>
      <c r="D251" s="96">
        <v>167000</v>
      </c>
      <c r="E251" s="96">
        <v>0</v>
      </c>
    </row>
    <row r="252" spans="1:5" s="98" customFormat="1" ht="16.5" customHeight="1" x14ac:dyDescent="0.25">
      <c r="A252" s="95">
        <v>247</v>
      </c>
      <c r="B252" s="89">
        <v>45682</v>
      </c>
      <c r="C252" s="90" t="s">
        <v>924</v>
      </c>
      <c r="D252" s="96">
        <v>167000</v>
      </c>
      <c r="E252" s="96">
        <v>0</v>
      </c>
    </row>
    <row r="253" spans="1:5" s="98" customFormat="1" ht="16.5" customHeight="1" x14ac:dyDescent="0.25">
      <c r="A253" s="95">
        <v>248</v>
      </c>
      <c r="B253" s="89">
        <v>45682</v>
      </c>
      <c r="C253" s="90" t="s">
        <v>925</v>
      </c>
      <c r="D253" s="96">
        <v>167000</v>
      </c>
      <c r="E253" s="96">
        <v>0</v>
      </c>
    </row>
    <row r="254" spans="1:5" s="98" customFormat="1" ht="16.5" customHeight="1" x14ac:dyDescent="0.25">
      <c r="A254" s="95">
        <v>249</v>
      </c>
      <c r="B254" s="89">
        <v>45685</v>
      </c>
      <c r="C254" s="90" t="s">
        <v>798</v>
      </c>
      <c r="D254" s="96">
        <v>3985546</v>
      </c>
      <c r="E254" s="96">
        <v>0</v>
      </c>
    </row>
    <row r="255" spans="1:5" s="98" customFormat="1" ht="16.5" customHeight="1" x14ac:dyDescent="0.25">
      <c r="A255" s="95">
        <v>250</v>
      </c>
      <c r="B255" s="89">
        <v>45685</v>
      </c>
      <c r="C255" s="90" t="s">
        <v>926</v>
      </c>
      <c r="D255" s="96">
        <v>22500</v>
      </c>
      <c r="E255" s="96">
        <v>0</v>
      </c>
    </row>
    <row r="256" spans="1:5" s="98" customFormat="1" ht="16.5" customHeight="1" x14ac:dyDescent="0.25">
      <c r="A256" s="95">
        <v>251</v>
      </c>
      <c r="B256" s="89">
        <v>45688</v>
      </c>
      <c r="C256" s="90" t="s">
        <v>927</v>
      </c>
      <c r="D256" s="96">
        <v>38100</v>
      </c>
      <c r="E256" s="96">
        <v>0</v>
      </c>
    </row>
    <row r="257" spans="1:5" s="98" customFormat="1" ht="16.5" customHeight="1" x14ac:dyDescent="0.25">
      <c r="A257" s="95">
        <v>252</v>
      </c>
      <c r="B257" s="89">
        <v>45688</v>
      </c>
      <c r="C257" s="90" t="s">
        <v>928</v>
      </c>
      <c r="D257" s="96">
        <v>152760</v>
      </c>
      <c r="E257" s="96">
        <v>0</v>
      </c>
    </row>
    <row r="258" spans="1:5" s="98" customFormat="1" ht="16.5" customHeight="1" x14ac:dyDescent="0.25">
      <c r="A258" s="95">
        <v>253</v>
      </c>
      <c r="B258" s="89">
        <v>45688</v>
      </c>
      <c r="C258" s="90" t="s">
        <v>929</v>
      </c>
      <c r="D258" s="96">
        <v>25000</v>
      </c>
      <c r="E258" s="96">
        <v>0</v>
      </c>
    </row>
    <row r="259" spans="1:5" s="98" customFormat="1" ht="16.5" customHeight="1" x14ac:dyDescent="0.25">
      <c r="A259" s="95">
        <v>254</v>
      </c>
      <c r="B259" s="89">
        <v>45692</v>
      </c>
      <c r="C259" s="90" t="s">
        <v>930</v>
      </c>
      <c r="D259" s="96">
        <v>190000</v>
      </c>
      <c r="E259" s="96">
        <v>0</v>
      </c>
    </row>
    <row r="260" spans="1:5" s="98" customFormat="1" ht="16.5" customHeight="1" x14ac:dyDescent="0.25">
      <c r="A260" s="95">
        <v>255</v>
      </c>
      <c r="B260" s="89">
        <v>45692</v>
      </c>
      <c r="C260" s="90" t="s">
        <v>931</v>
      </c>
      <c r="D260" s="96">
        <v>128000</v>
      </c>
      <c r="E260" s="96">
        <v>0</v>
      </c>
    </row>
    <row r="261" spans="1:5" s="98" customFormat="1" ht="16.5" customHeight="1" x14ac:dyDescent="0.25">
      <c r="A261" s="95">
        <v>256</v>
      </c>
      <c r="B261" s="89">
        <v>45695</v>
      </c>
      <c r="C261" s="90" t="s">
        <v>932</v>
      </c>
      <c r="D261" s="96">
        <v>136000</v>
      </c>
      <c r="E261" s="96">
        <v>0</v>
      </c>
    </row>
    <row r="262" spans="1:5" s="98" customFormat="1" ht="16.5" customHeight="1" x14ac:dyDescent="0.25">
      <c r="A262" s="95">
        <v>257</v>
      </c>
      <c r="B262" s="89">
        <v>45699</v>
      </c>
      <c r="C262" s="90" t="s">
        <v>933</v>
      </c>
      <c r="D262" s="96">
        <v>35000</v>
      </c>
      <c r="E262" s="96">
        <v>0</v>
      </c>
    </row>
    <row r="263" spans="1:5" s="98" customFormat="1" ht="16.5" customHeight="1" x14ac:dyDescent="0.25">
      <c r="A263" s="95">
        <v>258</v>
      </c>
      <c r="B263" s="89">
        <v>45703</v>
      </c>
      <c r="C263" s="90" t="s">
        <v>934</v>
      </c>
      <c r="D263" s="96">
        <v>25000</v>
      </c>
      <c r="E263" s="96">
        <v>0</v>
      </c>
    </row>
    <row r="264" spans="1:5" s="98" customFormat="1" ht="16.5" customHeight="1" x14ac:dyDescent="0.25">
      <c r="A264" s="95">
        <v>259</v>
      </c>
      <c r="B264" s="89">
        <v>45703</v>
      </c>
      <c r="C264" s="90" t="s">
        <v>861</v>
      </c>
      <c r="D264" s="96">
        <v>39000</v>
      </c>
      <c r="E264" s="96">
        <v>0</v>
      </c>
    </row>
    <row r="265" spans="1:5" s="98" customFormat="1" ht="16.5" customHeight="1" x14ac:dyDescent="0.25">
      <c r="A265" s="95">
        <v>260</v>
      </c>
      <c r="B265" s="89">
        <v>45703</v>
      </c>
      <c r="C265" s="90" t="s">
        <v>779</v>
      </c>
      <c r="D265" s="96">
        <v>132000</v>
      </c>
      <c r="E265" s="96">
        <v>0</v>
      </c>
    </row>
    <row r="266" spans="1:5" s="98" customFormat="1" ht="16.5" customHeight="1" x14ac:dyDescent="0.25">
      <c r="A266" s="95">
        <v>261</v>
      </c>
      <c r="B266" s="89">
        <v>45703</v>
      </c>
      <c r="C266" s="90" t="s">
        <v>935</v>
      </c>
      <c r="D266" s="96">
        <v>65997</v>
      </c>
      <c r="E266" s="96">
        <v>0</v>
      </c>
    </row>
    <row r="267" spans="1:5" s="98" customFormat="1" ht="16.5" customHeight="1" x14ac:dyDescent="0.25">
      <c r="A267" s="95">
        <v>262</v>
      </c>
      <c r="B267" s="89">
        <v>45703</v>
      </c>
      <c r="C267" s="90" t="s">
        <v>936</v>
      </c>
      <c r="D267" s="96">
        <v>39500</v>
      </c>
      <c r="E267" s="96">
        <v>0</v>
      </c>
    </row>
    <row r="268" spans="1:5" s="98" customFormat="1" ht="16.5" customHeight="1" x14ac:dyDescent="0.25">
      <c r="A268" s="95">
        <v>263</v>
      </c>
      <c r="B268" s="89">
        <v>45710</v>
      </c>
      <c r="C268" s="90" t="s">
        <v>937</v>
      </c>
      <c r="D268" s="96">
        <v>50000</v>
      </c>
      <c r="E268" s="96">
        <v>0</v>
      </c>
    </row>
    <row r="269" spans="1:5" s="98" customFormat="1" ht="16.5" customHeight="1" x14ac:dyDescent="0.25">
      <c r="A269" s="95">
        <v>264</v>
      </c>
      <c r="B269" s="89">
        <v>45712</v>
      </c>
      <c r="C269" s="90" t="s">
        <v>938</v>
      </c>
      <c r="D269" s="96">
        <v>2072698</v>
      </c>
      <c r="E269" s="96">
        <v>0</v>
      </c>
    </row>
    <row r="270" spans="1:5" s="98" customFormat="1" ht="16.5" customHeight="1" x14ac:dyDescent="0.25">
      <c r="A270" s="95">
        <v>265</v>
      </c>
      <c r="B270" s="89">
        <v>45712</v>
      </c>
      <c r="C270" s="90" t="s">
        <v>938</v>
      </c>
      <c r="D270" s="96">
        <v>1817202</v>
      </c>
      <c r="E270" s="96">
        <v>0</v>
      </c>
    </row>
    <row r="271" spans="1:5" s="98" customFormat="1" ht="16.5" customHeight="1" x14ac:dyDescent="0.25">
      <c r="A271" s="95">
        <v>266</v>
      </c>
      <c r="B271" s="89">
        <v>45715</v>
      </c>
      <c r="C271" s="90" t="s">
        <v>939</v>
      </c>
      <c r="D271" s="96">
        <v>34500</v>
      </c>
      <c r="E271" s="96">
        <v>0</v>
      </c>
    </row>
    <row r="272" spans="1:5" s="98" customFormat="1" ht="16.5" customHeight="1" x14ac:dyDescent="0.25">
      <c r="A272" s="95">
        <v>267</v>
      </c>
      <c r="B272" s="89">
        <v>45715</v>
      </c>
      <c r="C272" s="90" t="s">
        <v>940</v>
      </c>
      <c r="D272" s="96">
        <v>118000</v>
      </c>
      <c r="E272" s="96">
        <v>0</v>
      </c>
    </row>
    <row r="273" spans="1:5" s="98" customFormat="1" ht="16.5" customHeight="1" x14ac:dyDescent="0.25">
      <c r="A273" s="95">
        <v>268</v>
      </c>
      <c r="B273" s="89">
        <v>45715</v>
      </c>
      <c r="C273" s="90" t="s">
        <v>941</v>
      </c>
      <c r="D273" s="96">
        <v>128000</v>
      </c>
      <c r="E273" s="96">
        <v>0</v>
      </c>
    </row>
    <row r="274" spans="1:5" s="98" customFormat="1" ht="16.5" customHeight="1" x14ac:dyDescent="0.25">
      <c r="A274" s="95">
        <v>269</v>
      </c>
      <c r="B274" s="89">
        <v>45716</v>
      </c>
      <c r="C274" s="90" t="s">
        <v>942</v>
      </c>
      <c r="D274" s="96">
        <v>7897</v>
      </c>
      <c r="E274" s="96">
        <v>0</v>
      </c>
    </row>
    <row r="275" spans="1:5" s="98" customFormat="1" ht="16.5" customHeight="1" x14ac:dyDescent="0.25">
      <c r="A275" s="95">
        <v>270</v>
      </c>
      <c r="B275" s="89">
        <v>45716</v>
      </c>
      <c r="C275" s="90" t="s">
        <v>943</v>
      </c>
      <c r="D275" s="96">
        <v>1800</v>
      </c>
      <c r="E275" s="96">
        <v>0</v>
      </c>
    </row>
    <row r="276" spans="1:5" s="98" customFormat="1" ht="16.5" customHeight="1" x14ac:dyDescent="0.25">
      <c r="A276" s="95">
        <v>271</v>
      </c>
      <c r="B276" s="89">
        <v>45716</v>
      </c>
      <c r="C276" s="90" t="s">
        <v>943</v>
      </c>
      <c r="D276" s="96">
        <v>1800</v>
      </c>
      <c r="E276" s="96">
        <v>0</v>
      </c>
    </row>
    <row r="277" spans="1:5" s="98" customFormat="1" ht="16.5" customHeight="1" x14ac:dyDescent="0.25">
      <c r="A277" s="95">
        <v>272</v>
      </c>
      <c r="B277" s="89">
        <v>45716</v>
      </c>
      <c r="C277" s="90" t="s">
        <v>943</v>
      </c>
      <c r="D277" s="96">
        <v>1800</v>
      </c>
      <c r="E277" s="96">
        <v>0</v>
      </c>
    </row>
    <row r="278" spans="1:5" s="98" customFormat="1" ht="16.5" customHeight="1" x14ac:dyDescent="0.25">
      <c r="A278" s="95">
        <v>273</v>
      </c>
      <c r="B278" s="89">
        <v>45716</v>
      </c>
      <c r="C278" s="90" t="s">
        <v>944</v>
      </c>
      <c r="D278" s="96">
        <v>240000</v>
      </c>
      <c r="E278" s="96">
        <v>0</v>
      </c>
    </row>
    <row r="279" spans="1:5" s="98" customFormat="1" ht="16.5" customHeight="1" x14ac:dyDescent="0.25">
      <c r="A279" s="95">
        <v>274</v>
      </c>
      <c r="B279" s="89">
        <v>45717</v>
      </c>
      <c r="C279" s="90" t="s">
        <v>945</v>
      </c>
      <c r="D279" s="96">
        <v>65286</v>
      </c>
      <c r="E279" s="96">
        <v>0</v>
      </c>
    </row>
    <row r="280" spans="1:5" s="98" customFormat="1" ht="16.5" customHeight="1" x14ac:dyDescent="0.25">
      <c r="A280" s="95">
        <v>275</v>
      </c>
      <c r="B280" s="89">
        <v>45717</v>
      </c>
      <c r="C280" s="90" t="s">
        <v>946</v>
      </c>
      <c r="D280" s="96">
        <v>203800</v>
      </c>
      <c r="E280" s="96">
        <v>0</v>
      </c>
    </row>
    <row r="281" spans="1:5" s="98" customFormat="1" ht="16.5" customHeight="1" x14ac:dyDescent="0.25">
      <c r="A281" s="95">
        <v>276</v>
      </c>
      <c r="B281" s="89">
        <v>45719</v>
      </c>
      <c r="C281" s="90" t="s">
        <v>947</v>
      </c>
      <c r="D281" s="96">
        <v>27700</v>
      </c>
      <c r="E281" s="96">
        <v>0</v>
      </c>
    </row>
    <row r="282" spans="1:5" s="98" customFormat="1" ht="16.5" customHeight="1" x14ac:dyDescent="0.25">
      <c r="A282" s="95">
        <v>277</v>
      </c>
      <c r="B282" s="89">
        <v>45719</v>
      </c>
      <c r="C282" s="90" t="s">
        <v>948</v>
      </c>
      <c r="D282" s="96">
        <v>45900</v>
      </c>
      <c r="E282" s="96">
        <v>0</v>
      </c>
    </row>
    <row r="283" spans="1:5" s="98" customFormat="1" ht="16.5" customHeight="1" x14ac:dyDescent="0.25">
      <c r="A283" s="95">
        <v>278</v>
      </c>
      <c r="B283" s="89">
        <v>45720</v>
      </c>
      <c r="C283" s="90" t="s">
        <v>949</v>
      </c>
      <c r="D283" s="96">
        <v>23275</v>
      </c>
      <c r="E283" s="96">
        <v>0</v>
      </c>
    </row>
    <row r="284" spans="1:5" s="98" customFormat="1" ht="16.5" customHeight="1" x14ac:dyDescent="0.25">
      <c r="A284" s="95">
        <v>279</v>
      </c>
      <c r="B284" s="89">
        <v>45720</v>
      </c>
      <c r="C284" s="90" t="s">
        <v>950</v>
      </c>
      <c r="D284" s="96">
        <v>15000</v>
      </c>
      <c r="E284" s="96">
        <v>0</v>
      </c>
    </row>
    <row r="285" spans="1:5" s="98" customFormat="1" ht="16.5" customHeight="1" x14ac:dyDescent="0.25">
      <c r="A285" s="95">
        <v>280</v>
      </c>
      <c r="B285" s="89">
        <v>45721</v>
      </c>
      <c r="C285" s="90" t="s">
        <v>951</v>
      </c>
      <c r="D285" s="96">
        <v>1100000</v>
      </c>
      <c r="E285" s="96">
        <v>0</v>
      </c>
    </row>
    <row r="286" spans="1:5" s="98" customFormat="1" ht="16.5" customHeight="1" x14ac:dyDescent="0.25">
      <c r="A286" s="95">
        <v>281</v>
      </c>
      <c r="B286" s="89">
        <v>45722</v>
      </c>
      <c r="C286" s="90" t="s">
        <v>764</v>
      </c>
      <c r="D286" s="96">
        <v>1000000</v>
      </c>
      <c r="E286" s="96">
        <v>0</v>
      </c>
    </row>
    <row r="287" spans="1:5" s="98" customFormat="1" ht="16.5" customHeight="1" x14ac:dyDescent="0.25">
      <c r="A287" s="95">
        <v>282</v>
      </c>
      <c r="B287" s="89">
        <v>45722</v>
      </c>
      <c r="C287" s="90" t="s">
        <v>952</v>
      </c>
      <c r="D287" s="96">
        <v>34691</v>
      </c>
      <c r="E287" s="96">
        <v>0</v>
      </c>
    </row>
    <row r="288" spans="1:5" s="98" customFormat="1" ht="16.5" customHeight="1" x14ac:dyDescent="0.25">
      <c r="A288" s="95">
        <v>283</v>
      </c>
      <c r="B288" s="89">
        <v>45722</v>
      </c>
      <c r="C288" s="90" t="s">
        <v>953</v>
      </c>
      <c r="D288" s="96">
        <v>9115</v>
      </c>
      <c r="E288" s="96">
        <v>0</v>
      </c>
    </row>
    <row r="289" spans="1:5" s="98" customFormat="1" ht="16.5" customHeight="1" x14ac:dyDescent="0.25">
      <c r="A289" s="95">
        <v>284</v>
      </c>
      <c r="B289" s="89">
        <v>45722</v>
      </c>
      <c r="C289" s="90" t="s">
        <v>954</v>
      </c>
      <c r="D289" s="96">
        <v>106810</v>
      </c>
      <c r="E289" s="96">
        <v>0</v>
      </c>
    </row>
    <row r="290" spans="1:5" s="98" customFormat="1" ht="16.5" customHeight="1" x14ac:dyDescent="0.25">
      <c r="A290" s="95">
        <v>285</v>
      </c>
      <c r="B290" s="89">
        <v>45729</v>
      </c>
      <c r="C290" s="90" t="s">
        <v>955</v>
      </c>
      <c r="D290" s="96">
        <v>160000</v>
      </c>
      <c r="E290" s="96">
        <v>0</v>
      </c>
    </row>
    <row r="291" spans="1:5" s="98" customFormat="1" ht="16.5" customHeight="1" x14ac:dyDescent="0.25">
      <c r="A291" s="95">
        <v>286</v>
      </c>
      <c r="B291" s="89">
        <v>45729</v>
      </c>
      <c r="C291" s="90" t="s">
        <v>956</v>
      </c>
      <c r="D291" s="96">
        <v>11750</v>
      </c>
      <c r="E291" s="96">
        <v>0</v>
      </c>
    </row>
    <row r="292" spans="1:5" s="98" customFormat="1" ht="16.5" customHeight="1" x14ac:dyDescent="0.25">
      <c r="A292" s="95">
        <v>287</v>
      </c>
      <c r="B292" s="89">
        <v>45730</v>
      </c>
      <c r="C292" s="90" t="s">
        <v>957</v>
      </c>
      <c r="D292" s="96">
        <v>200000</v>
      </c>
      <c r="E292" s="96">
        <v>0</v>
      </c>
    </row>
    <row r="293" spans="1:5" s="98" customFormat="1" ht="16.5" customHeight="1" x14ac:dyDescent="0.25">
      <c r="A293" s="95">
        <v>288</v>
      </c>
      <c r="B293" s="89">
        <v>45730</v>
      </c>
      <c r="C293" s="90" t="s">
        <v>955</v>
      </c>
      <c r="D293" s="96">
        <v>0</v>
      </c>
      <c r="E293" s="96">
        <v>160000</v>
      </c>
    </row>
    <row r="294" spans="1:5" s="98" customFormat="1" ht="16.5" customHeight="1" x14ac:dyDescent="0.25">
      <c r="A294" s="95">
        <v>289</v>
      </c>
      <c r="B294" s="89">
        <v>45730</v>
      </c>
      <c r="C294" s="90" t="s">
        <v>955</v>
      </c>
      <c r="D294" s="96">
        <v>156800</v>
      </c>
      <c r="E294" s="96">
        <v>0</v>
      </c>
    </row>
    <row r="295" spans="1:5" s="98" customFormat="1" ht="16.5" customHeight="1" x14ac:dyDescent="0.25">
      <c r="A295" s="95">
        <v>290</v>
      </c>
      <c r="B295" s="89">
        <v>45730</v>
      </c>
      <c r="C295" s="90" t="s">
        <v>958</v>
      </c>
      <c r="D295" s="96">
        <v>190920</v>
      </c>
      <c r="E295" s="96">
        <v>0</v>
      </c>
    </row>
    <row r="296" spans="1:5" s="98" customFormat="1" ht="16.5" customHeight="1" x14ac:dyDescent="0.25">
      <c r="A296" s="95">
        <v>291</v>
      </c>
      <c r="B296" s="89">
        <v>45730</v>
      </c>
      <c r="C296" s="90" t="s">
        <v>959</v>
      </c>
      <c r="D296" s="96">
        <v>65997</v>
      </c>
      <c r="E296" s="96">
        <v>0</v>
      </c>
    </row>
    <row r="297" spans="1:5" s="98" customFormat="1" ht="16.5" customHeight="1" x14ac:dyDescent="0.25">
      <c r="A297" s="95">
        <v>292</v>
      </c>
      <c r="B297" s="89">
        <v>45731</v>
      </c>
      <c r="C297" s="90" t="s">
        <v>800</v>
      </c>
      <c r="D297" s="96">
        <v>78000</v>
      </c>
      <c r="E297" s="96">
        <v>0</v>
      </c>
    </row>
    <row r="298" spans="1:5" s="98" customFormat="1" ht="16.5" customHeight="1" x14ac:dyDescent="0.25">
      <c r="A298" s="95">
        <v>293</v>
      </c>
      <c r="B298" s="89">
        <v>45733</v>
      </c>
      <c r="C298" s="90" t="s">
        <v>960</v>
      </c>
      <c r="D298" s="96">
        <v>15900</v>
      </c>
      <c r="E298" s="96">
        <v>0</v>
      </c>
    </row>
    <row r="299" spans="1:5" s="98" customFormat="1" ht="16.5" customHeight="1" x14ac:dyDescent="0.25">
      <c r="A299" s="95">
        <v>294</v>
      </c>
      <c r="B299" s="89">
        <v>45733</v>
      </c>
      <c r="C299" s="90" t="s">
        <v>961</v>
      </c>
      <c r="D299" s="96">
        <v>20900</v>
      </c>
      <c r="E299" s="96">
        <v>0</v>
      </c>
    </row>
    <row r="300" spans="1:5" s="98" customFormat="1" ht="16.5" customHeight="1" x14ac:dyDescent="0.25">
      <c r="A300" s="95">
        <v>295</v>
      </c>
      <c r="B300" s="89">
        <v>45735</v>
      </c>
      <c r="C300" s="90" t="s">
        <v>962</v>
      </c>
      <c r="D300" s="96">
        <v>76800</v>
      </c>
      <c r="E300" s="96">
        <v>0</v>
      </c>
    </row>
    <row r="301" spans="1:5" s="98" customFormat="1" ht="16.5" customHeight="1" x14ac:dyDescent="0.25">
      <c r="A301" s="95">
        <v>296</v>
      </c>
      <c r="B301" s="89">
        <v>45735</v>
      </c>
      <c r="C301" s="90" t="s">
        <v>798</v>
      </c>
      <c r="D301" s="96">
        <v>2322750</v>
      </c>
      <c r="E301" s="96">
        <v>0</v>
      </c>
    </row>
    <row r="302" spans="1:5" s="98" customFormat="1" ht="16.5" customHeight="1" x14ac:dyDescent="0.25">
      <c r="A302" s="95">
        <v>297</v>
      </c>
      <c r="B302" s="89">
        <v>45736</v>
      </c>
      <c r="C302" s="90" t="s">
        <v>963</v>
      </c>
      <c r="D302" s="96">
        <v>28650</v>
      </c>
      <c r="E302" s="96">
        <v>0</v>
      </c>
    </row>
    <row r="303" spans="1:5" s="98" customFormat="1" ht="16.5" customHeight="1" x14ac:dyDescent="0.25">
      <c r="A303" s="95">
        <v>298</v>
      </c>
      <c r="B303" s="89">
        <v>45736</v>
      </c>
      <c r="C303" s="90" t="s">
        <v>964</v>
      </c>
      <c r="D303" s="96">
        <v>29500</v>
      </c>
      <c r="E303" s="96">
        <v>0</v>
      </c>
    </row>
    <row r="304" spans="1:5" s="98" customFormat="1" ht="16.5" customHeight="1" x14ac:dyDescent="0.25">
      <c r="A304" s="95">
        <v>299</v>
      </c>
      <c r="B304" s="89">
        <v>45736</v>
      </c>
      <c r="C304" s="90" t="s">
        <v>965</v>
      </c>
      <c r="D304" s="96">
        <v>948750</v>
      </c>
      <c r="E304" s="96">
        <v>0</v>
      </c>
    </row>
    <row r="305" spans="1:19" s="98" customFormat="1" ht="16.5" customHeight="1" x14ac:dyDescent="0.25">
      <c r="A305" s="95">
        <v>300</v>
      </c>
      <c r="B305" s="89">
        <v>45737</v>
      </c>
      <c r="C305" s="90" t="s">
        <v>966</v>
      </c>
      <c r="D305" s="96">
        <v>35460</v>
      </c>
      <c r="E305" s="96">
        <v>0</v>
      </c>
    </row>
    <row r="306" spans="1:19" s="98" customFormat="1" ht="16.5" customHeight="1" x14ac:dyDescent="0.25">
      <c r="A306" s="95">
        <v>301</v>
      </c>
      <c r="B306" s="89">
        <v>45737</v>
      </c>
      <c r="C306" s="90" t="s">
        <v>967</v>
      </c>
      <c r="D306" s="96">
        <v>353700</v>
      </c>
      <c r="E306" s="96">
        <v>0</v>
      </c>
    </row>
    <row r="307" spans="1:19" s="98" customFormat="1" ht="16.5" customHeight="1" x14ac:dyDescent="0.25">
      <c r="A307" s="95">
        <v>302</v>
      </c>
      <c r="B307" s="89">
        <v>45737</v>
      </c>
      <c r="C307" s="90" t="s">
        <v>968</v>
      </c>
      <c r="D307" s="96">
        <v>104000</v>
      </c>
      <c r="E307" s="96">
        <v>0</v>
      </c>
    </row>
    <row r="308" spans="1:19" s="98" customFormat="1" ht="16.5" customHeight="1" x14ac:dyDescent="0.25">
      <c r="A308" s="95">
        <v>303</v>
      </c>
      <c r="B308" s="89">
        <v>45737</v>
      </c>
      <c r="C308" s="90" t="s">
        <v>969</v>
      </c>
      <c r="D308" s="96">
        <v>263250</v>
      </c>
      <c r="E308" s="96">
        <v>0</v>
      </c>
    </row>
    <row r="309" spans="1:19" s="98" customFormat="1" ht="16.5" customHeight="1" x14ac:dyDescent="0.25">
      <c r="A309" s="95">
        <v>304</v>
      </c>
      <c r="B309" s="89">
        <v>45737</v>
      </c>
      <c r="C309" s="90" t="s">
        <v>970</v>
      </c>
      <c r="D309" s="96">
        <v>273680</v>
      </c>
      <c r="E309" s="96">
        <v>0</v>
      </c>
    </row>
    <row r="310" spans="1:19" s="98" customFormat="1" ht="16.5" customHeight="1" x14ac:dyDescent="0.25">
      <c r="A310" s="95">
        <v>305</v>
      </c>
      <c r="B310" s="89">
        <v>45741</v>
      </c>
      <c r="C310" s="90" t="s">
        <v>971</v>
      </c>
      <c r="D310" s="96">
        <v>106435</v>
      </c>
      <c r="E310" s="96">
        <v>0</v>
      </c>
    </row>
    <row r="311" spans="1:19" s="90" customFormat="1" ht="16.5" customHeight="1" x14ac:dyDescent="0.25">
      <c r="A311" s="95">
        <v>306</v>
      </c>
      <c r="B311" s="89">
        <v>45742</v>
      </c>
      <c r="C311" s="90" t="s">
        <v>972</v>
      </c>
      <c r="D311" s="96">
        <v>40000</v>
      </c>
      <c r="E311" s="96">
        <v>0</v>
      </c>
      <c r="F311" s="96"/>
      <c r="G311" s="103"/>
      <c r="O311" s="99"/>
      <c r="P311" s="100"/>
      <c r="Q311" s="100"/>
      <c r="R311" s="100"/>
      <c r="S311" s="100"/>
    </row>
    <row r="312" spans="1:19" ht="16.5" customHeight="1" x14ac:dyDescent="0.25">
      <c r="A312" s="95">
        <v>307</v>
      </c>
      <c r="B312" s="89">
        <v>45744</v>
      </c>
      <c r="C312" s="90" t="s">
        <v>973</v>
      </c>
      <c r="D312" s="96">
        <v>15000</v>
      </c>
      <c r="E312" s="96">
        <v>0</v>
      </c>
    </row>
    <row r="313" spans="1:19" ht="16.5" customHeight="1" x14ac:dyDescent="0.25">
      <c r="A313" s="95">
        <v>308</v>
      </c>
      <c r="B313" s="89">
        <v>45744</v>
      </c>
      <c r="C313" s="90" t="s">
        <v>974</v>
      </c>
      <c r="D313" s="96">
        <v>7000</v>
      </c>
      <c r="E313" s="96">
        <v>0</v>
      </c>
    </row>
    <row r="314" spans="1:19" ht="16.5" customHeight="1" x14ac:dyDescent="0.25">
      <c r="A314" s="95">
        <v>309</v>
      </c>
      <c r="B314" s="89">
        <v>45744</v>
      </c>
      <c r="C314" s="90" t="s">
        <v>975</v>
      </c>
      <c r="D314" s="96">
        <v>13248</v>
      </c>
      <c r="E314" s="96">
        <v>0</v>
      </c>
    </row>
    <row r="315" spans="1:19" ht="16.5" customHeight="1" x14ac:dyDescent="0.25">
      <c r="A315" s="95">
        <v>310</v>
      </c>
      <c r="B315" s="89">
        <v>45744</v>
      </c>
      <c r="C315" s="90" t="s">
        <v>976</v>
      </c>
      <c r="D315" s="96">
        <v>241500</v>
      </c>
      <c r="E315" s="96">
        <v>0</v>
      </c>
    </row>
    <row r="316" spans="1:19" ht="16.5" customHeight="1" x14ac:dyDescent="0.25">
      <c r="A316" s="95">
        <v>311</v>
      </c>
      <c r="B316" s="89">
        <v>45744</v>
      </c>
      <c r="C316" s="90" t="s">
        <v>977</v>
      </c>
      <c r="D316" s="96">
        <v>160080</v>
      </c>
      <c r="E316" s="96">
        <v>0</v>
      </c>
    </row>
    <row r="317" spans="1:19" ht="16.5" customHeight="1" x14ac:dyDescent="0.25">
      <c r="A317" s="95">
        <v>312</v>
      </c>
      <c r="B317" s="89">
        <v>45754</v>
      </c>
      <c r="C317" s="90" t="s">
        <v>978</v>
      </c>
      <c r="D317" s="96">
        <v>24000</v>
      </c>
      <c r="E317" s="96">
        <v>0</v>
      </c>
    </row>
    <row r="318" spans="1:19" ht="16.5" customHeight="1" x14ac:dyDescent="0.25">
      <c r="A318" s="95">
        <v>313</v>
      </c>
      <c r="B318" s="89">
        <v>45755</v>
      </c>
      <c r="C318" s="90" t="s">
        <v>979</v>
      </c>
      <c r="D318" s="96">
        <v>94000</v>
      </c>
      <c r="E318" s="96">
        <v>0</v>
      </c>
    </row>
    <row r="319" spans="1:19" ht="16.5" customHeight="1" x14ac:dyDescent="0.25">
      <c r="A319" s="95">
        <v>314</v>
      </c>
      <c r="B319" s="89">
        <v>45761</v>
      </c>
      <c r="C319" s="90" t="s">
        <v>980</v>
      </c>
      <c r="D319" s="96">
        <v>9000</v>
      </c>
      <c r="E319" s="96">
        <v>0</v>
      </c>
    </row>
    <row r="320" spans="1:19" ht="16.5" customHeight="1" x14ac:dyDescent="0.25">
      <c r="A320" s="95">
        <v>315</v>
      </c>
      <c r="B320" s="89">
        <v>45761</v>
      </c>
      <c r="C320" s="90" t="s">
        <v>981</v>
      </c>
      <c r="D320" s="96">
        <v>180420</v>
      </c>
      <c r="E320" s="96">
        <v>0</v>
      </c>
    </row>
    <row r="321" spans="1:5" ht="16.5" customHeight="1" x14ac:dyDescent="0.25">
      <c r="A321" s="95">
        <v>316</v>
      </c>
      <c r="B321" s="89">
        <v>45761</v>
      </c>
      <c r="C321" s="90" t="s">
        <v>982</v>
      </c>
      <c r="D321" s="96">
        <v>28130</v>
      </c>
      <c r="E321" s="96">
        <v>0</v>
      </c>
    </row>
    <row r="322" spans="1:5" ht="16.5" customHeight="1" x14ac:dyDescent="0.25">
      <c r="A322" s="95">
        <v>317</v>
      </c>
      <c r="B322" s="89">
        <v>45761</v>
      </c>
      <c r="C322" s="90" t="s">
        <v>983</v>
      </c>
      <c r="D322" s="96">
        <v>23668</v>
      </c>
      <c r="E322" s="96">
        <v>0</v>
      </c>
    </row>
    <row r="323" spans="1:5" ht="16.5" customHeight="1" x14ac:dyDescent="0.25">
      <c r="A323" s="95">
        <v>318</v>
      </c>
      <c r="B323" s="89">
        <v>45761</v>
      </c>
      <c r="C323" s="90" t="s">
        <v>984</v>
      </c>
      <c r="D323" s="96">
        <v>13495</v>
      </c>
      <c r="E323" s="96">
        <v>0</v>
      </c>
    </row>
    <row r="324" spans="1:5" ht="16.5" customHeight="1" x14ac:dyDescent="0.25">
      <c r="A324" s="95">
        <v>319</v>
      </c>
      <c r="B324" s="89">
        <v>45762</v>
      </c>
      <c r="C324" s="90" t="s">
        <v>985</v>
      </c>
      <c r="D324" s="96">
        <v>28650</v>
      </c>
      <c r="E324" s="96">
        <v>0</v>
      </c>
    </row>
    <row r="325" spans="1:5" ht="16.5" customHeight="1" x14ac:dyDescent="0.25">
      <c r="A325" s="95">
        <v>320</v>
      </c>
      <c r="B325" s="89">
        <v>45762</v>
      </c>
      <c r="C325" s="90" t="s">
        <v>986</v>
      </c>
      <c r="D325" s="96">
        <v>95000</v>
      </c>
      <c r="E325" s="96">
        <v>0</v>
      </c>
    </row>
    <row r="326" spans="1:5" ht="16.5" customHeight="1" x14ac:dyDescent="0.25">
      <c r="A326" s="95">
        <v>321</v>
      </c>
      <c r="B326" s="89">
        <v>45762</v>
      </c>
      <c r="C326" s="90" t="s">
        <v>818</v>
      </c>
      <c r="D326" s="96">
        <v>58500</v>
      </c>
      <c r="E326" s="96">
        <v>0</v>
      </c>
    </row>
    <row r="327" spans="1:5" ht="16.5" customHeight="1" x14ac:dyDescent="0.25">
      <c r="A327" s="95">
        <v>322</v>
      </c>
      <c r="B327" s="89">
        <v>45762</v>
      </c>
      <c r="C327" s="90" t="s">
        <v>987</v>
      </c>
      <c r="D327" s="96">
        <v>305000</v>
      </c>
      <c r="E327" s="96">
        <v>0</v>
      </c>
    </row>
    <row r="328" spans="1:5" ht="16.5" customHeight="1" x14ac:dyDescent="0.25">
      <c r="A328" s="95">
        <v>323</v>
      </c>
      <c r="B328" s="89">
        <v>45763</v>
      </c>
      <c r="C328" s="90" t="s">
        <v>988</v>
      </c>
      <c r="D328" s="96">
        <v>18000</v>
      </c>
      <c r="E328" s="96">
        <v>0</v>
      </c>
    </row>
    <row r="329" spans="1:5" ht="16.5" customHeight="1" x14ac:dyDescent="0.25">
      <c r="A329" s="95">
        <v>324</v>
      </c>
      <c r="B329" s="89">
        <v>45764</v>
      </c>
      <c r="C329" s="90" t="s">
        <v>989</v>
      </c>
      <c r="D329" s="96">
        <v>26980</v>
      </c>
      <c r="E329" s="96">
        <v>0</v>
      </c>
    </row>
    <row r="330" spans="1:5" ht="16.5" customHeight="1" x14ac:dyDescent="0.25">
      <c r="A330" s="95">
        <v>325</v>
      </c>
      <c r="B330" s="89">
        <v>45764</v>
      </c>
      <c r="C330" s="90" t="s">
        <v>990</v>
      </c>
      <c r="D330" s="96">
        <v>59755</v>
      </c>
      <c r="E330" s="96">
        <v>0</v>
      </c>
    </row>
    <row r="331" spans="1:5" ht="16.5" customHeight="1" x14ac:dyDescent="0.25">
      <c r="A331" s="95">
        <v>326</v>
      </c>
      <c r="B331" s="89">
        <v>45764</v>
      </c>
      <c r="C331" s="90" t="s">
        <v>991</v>
      </c>
      <c r="D331" s="96">
        <v>6745</v>
      </c>
      <c r="E331" s="96">
        <v>0</v>
      </c>
    </row>
    <row r="332" spans="1:5" ht="16.5" customHeight="1" x14ac:dyDescent="0.25">
      <c r="A332" s="95">
        <v>327</v>
      </c>
      <c r="B332" s="89">
        <v>45770</v>
      </c>
      <c r="C332" s="90" t="s">
        <v>992</v>
      </c>
      <c r="D332" s="96">
        <v>51000</v>
      </c>
      <c r="E332" s="96">
        <v>0</v>
      </c>
    </row>
    <row r="333" spans="1:5" ht="16.5" customHeight="1" x14ac:dyDescent="0.25">
      <c r="A333" s="95">
        <v>328</v>
      </c>
      <c r="B333" s="89">
        <v>45770</v>
      </c>
      <c r="C333" s="90" t="s">
        <v>993</v>
      </c>
      <c r="D333" s="96">
        <v>447360</v>
      </c>
      <c r="E333" s="96">
        <v>0</v>
      </c>
    </row>
    <row r="334" spans="1:5" ht="16.5" customHeight="1" x14ac:dyDescent="0.25">
      <c r="A334" s="95">
        <v>329</v>
      </c>
      <c r="B334" s="89">
        <v>45771</v>
      </c>
      <c r="C334" s="90" t="s">
        <v>994</v>
      </c>
      <c r="D334" s="96">
        <v>18000</v>
      </c>
      <c r="E334" s="96">
        <v>0</v>
      </c>
    </row>
    <row r="335" spans="1:5" ht="16.5" customHeight="1" x14ac:dyDescent="0.25">
      <c r="A335" s="95">
        <v>330</v>
      </c>
      <c r="B335" s="89">
        <v>45773</v>
      </c>
      <c r="C335" s="90" t="s">
        <v>995</v>
      </c>
      <c r="D335" s="96">
        <v>60720</v>
      </c>
      <c r="E335" s="96">
        <v>0</v>
      </c>
    </row>
    <row r="336" spans="1:5" ht="16.5" customHeight="1" x14ac:dyDescent="0.25">
      <c r="A336" s="95">
        <v>331</v>
      </c>
      <c r="B336" s="89">
        <v>45773</v>
      </c>
      <c r="C336" s="90" t="s">
        <v>996</v>
      </c>
      <c r="D336" s="96">
        <v>476560</v>
      </c>
      <c r="E336" s="96">
        <v>0</v>
      </c>
    </row>
    <row r="337" spans="1:5" ht="16.5" customHeight="1" x14ac:dyDescent="0.25">
      <c r="A337" s="95">
        <v>332</v>
      </c>
      <c r="B337" s="89">
        <v>45773</v>
      </c>
      <c r="C337" s="90" t="s">
        <v>997</v>
      </c>
      <c r="D337" s="96">
        <v>119600</v>
      </c>
      <c r="E337" s="96">
        <v>0</v>
      </c>
    </row>
    <row r="338" spans="1:5" ht="16.5" customHeight="1" x14ac:dyDescent="0.25">
      <c r="A338" s="95">
        <v>333</v>
      </c>
      <c r="B338" s="89">
        <v>45773</v>
      </c>
      <c r="C338" s="90" t="s">
        <v>998</v>
      </c>
      <c r="D338" s="96">
        <v>94400</v>
      </c>
      <c r="E338" s="96">
        <v>0</v>
      </c>
    </row>
    <row r="339" spans="1:5" ht="16.5" customHeight="1" x14ac:dyDescent="0.25">
      <c r="A339" s="95">
        <v>334</v>
      </c>
      <c r="B339" s="89">
        <v>45776</v>
      </c>
      <c r="C339" s="90" t="s">
        <v>999</v>
      </c>
      <c r="D339" s="96">
        <v>25480</v>
      </c>
      <c r="E339" s="96">
        <v>0</v>
      </c>
    </row>
    <row r="340" spans="1:5" ht="16.5" customHeight="1" x14ac:dyDescent="0.25">
      <c r="A340" s="95">
        <v>335</v>
      </c>
      <c r="B340" s="89">
        <v>45777</v>
      </c>
      <c r="C340" s="90" t="s">
        <v>1000</v>
      </c>
      <c r="D340" s="96">
        <v>227050</v>
      </c>
      <c r="E340" s="96">
        <v>0</v>
      </c>
    </row>
    <row r="341" spans="1:5" ht="16.5" customHeight="1" x14ac:dyDescent="0.25">
      <c r="A341" s="95">
        <v>336</v>
      </c>
      <c r="B341" s="89">
        <v>45777</v>
      </c>
      <c r="C341" s="90" t="s">
        <v>1001</v>
      </c>
      <c r="D341" s="96">
        <v>28470</v>
      </c>
      <c r="E341" s="96">
        <v>0</v>
      </c>
    </row>
    <row r="342" spans="1:5" ht="16.5" customHeight="1" x14ac:dyDescent="0.25">
      <c r="A342" s="95">
        <v>337</v>
      </c>
      <c r="B342" s="89">
        <v>45777</v>
      </c>
      <c r="C342" s="90" t="s">
        <v>1002</v>
      </c>
      <c r="D342" s="96">
        <v>70400</v>
      </c>
      <c r="E342" s="96">
        <v>0</v>
      </c>
    </row>
    <row r="343" spans="1:5" ht="16.5" customHeight="1" x14ac:dyDescent="0.25">
      <c r="A343" s="95">
        <v>338</v>
      </c>
      <c r="B343" s="89">
        <v>45777</v>
      </c>
      <c r="C343" s="90" t="s">
        <v>1003</v>
      </c>
      <c r="D343" s="96">
        <v>65400</v>
      </c>
      <c r="E343" s="96">
        <v>0</v>
      </c>
    </row>
    <row r="344" spans="1:5" ht="16.5" customHeight="1" x14ac:dyDescent="0.25">
      <c r="A344" s="95">
        <v>339</v>
      </c>
      <c r="B344" s="89">
        <v>45777</v>
      </c>
      <c r="C344" s="90" t="s">
        <v>861</v>
      </c>
      <c r="D344" s="96">
        <v>39000</v>
      </c>
      <c r="E344" s="96">
        <v>0</v>
      </c>
    </row>
    <row r="345" spans="1:5" ht="16.5" customHeight="1" x14ac:dyDescent="0.25">
      <c r="A345" s="95">
        <v>340</v>
      </c>
      <c r="B345" s="89">
        <v>45777</v>
      </c>
      <c r="C345" s="90" t="s">
        <v>1004</v>
      </c>
      <c r="D345" s="96">
        <v>400000</v>
      </c>
      <c r="E345" s="96">
        <v>0</v>
      </c>
    </row>
    <row r="346" spans="1:5" ht="16.5" customHeight="1" x14ac:dyDescent="0.25">
      <c r="A346" s="95">
        <v>341</v>
      </c>
      <c r="B346" s="89">
        <v>45782</v>
      </c>
      <c r="C346" s="90" t="s">
        <v>1005</v>
      </c>
      <c r="D346" s="96">
        <v>36000</v>
      </c>
      <c r="E346" s="96">
        <v>0</v>
      </c>
    </row>
    <row r="347" spans="1:5" ht="16.5" customHeight="1" x14ac:dyDescent="0.25">
      <c r="A347" s="95">
        <v>342</v>
      </c>
      <c r="B347" s="89">
        <v>45782</v>
      </c>
      <c r="C347" s="90" t="s">
        <v>1006</v>
      </c>
      <c r="D347" s="96">
        <v>34200</v>
      </c>
      <c r="E347" s="96">
        <v>0</v>
      </c>
    </row>
    <row r="348" spans="1:5" ht="16.5" customHeight="1" x14ac:dyDescent="0.25">
      <c r="A348" s="95">
        <v>343</v>
      </c>
      <c r="B348" s="89">
        <v>45784</v>
      </c>
      <c r="C348" s="90" t="s">
        <v>1007</v>
      </c>
      <c r="D348" s="96">
        <v>8577</v>
      </c>
      <c r="E348" s="96">
        <v>0</v>
      </c>
    </row>
    <row r="349" spans="1:5" ht="16.5" customHeight="1" x14ac:dyDescent="0.25">
      <c r="A349" s="95">
        <v>344</v>
      </c>
      <c r="B349" s="89">
        <v>45784</v>
      </c>
      <c r="C349" s="90" t="s">
        <v>1008</v>
      </c>
      <c r="D349" s="96">
        <v>51677</v>
      </c>
      <c r="E349" s="96">
        <v>0</v>
      </c>
    </row>
    <row r="350" spans="1:5" ht="16.5" customHeight="1" x14ac:dyDescent="0.25">
      <c r="A350" s="95">
        <v>345</v>
      </c>
      <c r="B350" s="89">
        <v>45786</v>
      </c>
      <c r="C350" s="90" t="s">
        <v>1009</v>
      </c>
      <c r="D350" s="96">
        <v>0</v>
      </c>
      <c r="E350" s="96">
        <v>18238</v>
      </c>
    </row>
    <row r="351" spans="1:5" ht="16.5" customHeight="1" x14ac:dyDescent="0.25">
      <c r="A351" s="95">
        <v>346</v>
      </c>
      <c r="B351" s="89">
        <v>45787</v>
      </c>
      <c r="C351" s="90" t="s">
        <v>1010</v>
      </c>
      <c r="D351" s="96">
        <v>607200</v>
      </c>
      <c r="E351" s="96">
        <v>0</v>
      </c>
    </row>
    <row r="352" spans="1:5" ht="16.5" customHeight="1" x14ac:dyDescent="0.25">
      <c r="A352" s="95">
        <v>347</v>
      </c>
      <c r="B352" s="89">
        <v>45790</v>
      </c>
      <c r="C352" s="90" t="s">
        <v>1011</v>
      </c>
      <c r="D352" s="96">
        <v>131000</v>
      </c>
      <c r="E352" s="96">
        <v>0</v>
      </c>
    </row>
    <row r="353" spans="1:5" ht="16.5" customHeight="1" x14ac:dyDescent="0.25">
      <c r="A353" s="95">
        <v>348</v>
      </c>
      <c r="B353" s="89">
        <v>45793</v>
      </c>
      <c r="C353" s="90" t="s">
        <v>1012</v>
      </c>
      <c r="D353" s="96">
        <v>125000</v>
      </c>
      <c r="E353" s="96">
        <v>0</v>
      </c>
    </row>
    <row r="354" spans="1:5" ht="16.5" customHeight="1" x14ac:dyDescent="0.25">
      <c r="A354" s="95">
        <v>349</v>
      </c>
      <c r="B354" s="89">
        <v>45793</v>
      </c>
      <c r="C354" s="90" t="s">
        <v>1013</v>
      </c>
      <c r="D354" s="96">
        <v>10500</v>
      </c>
      <c r="E354" s="96">
        <v>0</v>
      </c>
    </row>
    <row r="355" spans="1:5" ht="16.5" customHeight="1" x14ac:dyDescent="0.25">
      <c r="A355" s="95">
        <v>350</v>
      </c>
      <c r="B355" s="89">
        <v>45796</v>
      </c>
      <c r="C355" s="90" t="s">
        <v>1014</v>
      </c>
      <c r="D355" s="96">
        <v>30000</v>
      </c>
      <c r="E355" s="96">
        <v>0</v>
      </c>
    </row>
    <row r="356" spans="1:5" ht="16.5" customHeight="1" x14ac:dyDescent="0.25">
      <c r="A356" s="95">
        <v>351</v>
      </c>
      <c r="B356" s="89">
        <v>45796</v>
      </c>
      <c r="C356" s="90" t="s">
        <v>1015</v>
      </c>
      <c r="D356" s="96">
        <v>17000</v>
      </c>
      <c r="E356" s="96">
        <v>0</v>
      </c>
    </row>
    <row r="357" spans="1:5" ht="16.5" customHeight="1" x14ac:dyDescent="0.25">
      <c r="A357" s="95">
        <v>352</v>
      </c>
      <c r="B357" s="89">
        <v>45798</v>
      </c>
      <c r="C357" s="90" t="s">
        <v>1016</v>
      </c>
      <c r="D357" s="96">
        <v>196250</v>
      </c>
      <c r="E357" s="96">
        <v>0</v>
      </c>
    </row>
    <row r="358" spans="1:5" ht="16.5" customHeight="1" x14ac:dyDescent="0.25">
      <c r="A358" s="95">
        <v>353</v>
      </c>
      <c r="B358" s="89">
        <v>45798</v>
      </c>
      <c r="C358" s="90" t="s">
        <v>1017</v>
      </c>
      <c r="D358" s="96">
        <v>168358</v>
      </c>
      <c r="E358" s="96">
        <v>0</v>
      </c>
    </row>
    <row r="359" spans="1:5" ht="16.5" customHeight="1" x14ac:dyDescent="0.25">
      <c r="A359" s="95">
        <v>354</v>
      </c>
      <c r="B359" s="89">
        <v>45798</v>
      </c>
      <c r="C359" s="90" t="s">
        <v>1018</v>
      </c>
      <c r="D359" s="96">
        <v>346747</v>
      </c>
      <c r="E359" s="96">
        <v>0</v>
      </c>
    </row>
    <row r="360" spans="1:5" ht="16.5" customHeight="1" x14ac:dyDescent="0.25">
      <c r="A360" s="95">
        <v>355</v>
      </c>
      <c r="B360" s="89">
        <v>45798</v>
      </c>
      <c r="C360" s="90" t="s">
        <v>1019</v>
      </c>
      <c r="D360" s="96">
        <v>13910</v>
      </c>
      <c r="E360" s="96">
        <v>0</v>
      </c>
    </row>
    <row r="361" spans="1:5" ht="16.5" customHeight="1" x14ac:dyDescent="0.25">
      <c r="A361" s="95">
        <v>356</v>
      </c>
      <c r="B361" s="89">
        <v>45798</v>
      </c>
      <c r="C361" s="90" t="s">
        <v>1020</v>
      </c>
      <c r="D361" s="96">
        <v>50138</v>
      </c>
      <c r="E361" s="96">
        <v>0</v>
      </c>
    </row>
    <row r="362" spans="1:5" ht="16.5" customHeight="1" x14ac:dyDescent="0.25">
      <c r="A362" s="95">
        <v>357</v>
      </c>
      <c r="B362" s="89">
        <v>45798</v>
      </c>
      <c r="C362" s="90" t="s">
        <v>1021</v>
      </c>
      <c r="D362" s="96">
        <v>7605</v>
      </c>
      <c r="E362" s="96">
        <v>0</v>
      </c>
    </row>
    <row r="363" spans="1:5" ht="16.5" customHeight="1" x14ac:dyDescent="0.25">
      <c r="A363" s="95">
        <v>358</v>
      </c>
      <c r="B363" s="89">
        <v>45798</v>
      </c>
      <c r="C363" s="90" t="s">
        <v>1022</v>
      </c>
      <c r="D363" s="96">
        <v>24000</v>
      </c>
      <c r="E363" s="96">
        <v>0</v>
      </c>
    </row>
    <row r="364" spans="1:5" ht="16.5" customHeight="1" x14ac:dyDescent="0.25">
      <c r="A364" s="95">
        <v>359</v>
      </c>
      <c r="B364" s="89">
        <v>45798</v>
      </c>
      <c r="C364" s="90" t="s">
        <v>1023</v>
      </c>
      <c r="D364" s="96">
        <v>63479</v>
      </c>
      <c r="E364" s="96">
        <v>0</v>
      </c>
    </row>
    <row r="365" spans="1:5" ht="16.5" customHeight="1" x14ac:dyDescent="0.25">
      <c r="A365" s="95">
        <v>360</v>
      </c>
      <c r="B365" s="89">
        <v>45799</v>
      </c>
      <c r="C365" s="90" t="s">
        <v>1024</v>
      </c>
      <c r="D365" s="96">
        <v>7500</v>
      </c>
      <c r="E365" s="96">
        <v>0</v>
      </c>
    </row>
    <row r="366" spans="1:5" ht="16.5" customHeight="1" x14ac:dyDescent="0.25">
      <c r="A366" s="95">
        <v>361</v>
      </c>
      <c r="B366" s="89">
        <v>45799</v>
      </c>
      <c r="C366" s="90" t="s">
        <v>1024</v>
      </c>
      <c r="D366" s="96">
        <v>0</v>
      </c>
      <c r="E366" s="96">
        <v>8500</v>
      </c>
    </row>
    <row r="367" spans="1:5" ht="16.5" customHeight="1" x14ac:dyDescent="0.25">
      <c r="A367" s="95">
        <v>362</v>
      </c>
      <c r="B367" s="89">
        <v>45800</v>
      </c>
      <c r="C367" s="90" t="s">
        <v>1025</v>
      </c>
      <c r="D367" s="96">
        <v>2802810.32</v>
      </c>
      <c r="E367" s="96">
        <v>0</v>
      </c>
    </row>
    <row r="368" spans="1:5" ht="16.5" customHeight="1" x14ac:dyDescent="0.25">
      <c r="A368" s="95">
        <v>363</v>
      </c>
      <c r="B368" s="89">
        <v>45800</v>
      </c>
      <c r="C368" s="90" t="s">
        <v>1026</v>
      </c>
      <c r="D368" s="96">
        <v>3186289.07</v>
      </c>
      <c r="E368" s="96">
        <v>0</v>
      </c>
    </row>
    <row r="369" spans="1:5" ht="16.5" customHeight="1" x14ac:dyDescent="0.25">
      <c r="A369" s="95">
        <v>364</v>
      </c>
      <c r="B369" s="89">
        <v>45800</v>
      </c>
      <c r="C369" s="90" t="s">
        <v>1027</v>
      </c>
      <c r="D369" s="96">
        <v>20700</v>
      </c>
      <c r="E369" s="96">
        <v>0</v>
      </c>
    </row>
    <row r="370" spans="1:5" ht="16.5" customHeight="1" x14ac:dyDescent="0.25">
      <c r="A370" s="95">
        <v>365</v>
      </c>
      <c r="B370" s="89">
        <v>45803</v>
      </c>
      <c r="C370" s="90" t="s">
        <v>764</v>
      </c>
      <c r="D370" s="96">
        <v>1000000</v>
      </c>
      <c r="E370" s="96">
        <v>0</v>
      </c>
    </row>
    <row r="371" spans="1:5" ht="16.5" customHeight="1" x14ac:dyDescent="0.25">
      <c r="A371" s="95">
        <v>366</v>
      </c>
      <c r="B371" s="89">
        <v>45803</v>
      </c>
      <c r="C371" s="90" t="s">
        <v>1024</v>
      </c>
      <c r="D371" s="96">
        <v>7920</v>
      </c>
      <c r="E371" s="96">
        <v>0</v>
      </c>
    </row>
    <row r="372" spans="1:5" ht="16.5" customHeight="1" x14ac:dyDescent="0.25">
      <c r="A372" s="95">
        <v>367</v>
      </c>
      <c r="B372" s="89">
        <v>45803</v>
      </c>
      <c r="C372" s="90" t="s">
        <v>1024</v>
      </c>
      <c r="D372" s="96">
        <v>0</v>
      </c>
      <c r="E372" s="96">
        <v>7500</v>
      </c>
    </row>
    <row r="373" spans="1:5" ht="16.5" customHeight="1" x14ac:dyDescent="0.25">
      <c r="A373" s="95">
        <v>368</v>
      </c>
      <c r="B373" s="89">
        <v>45807</v>
      </c>
      <c r="C373" s="90" t="s">
        <v>1028</v>
      </c>
      <c r="D373" s="96">
        <v>34775</v>
      </c>
      <c r="E373" s="96">
        <v>0</v>
      </c>
    </row>
    <row r="374" spans="1:5" ht="16.5" customHeight="1" x14ac:dyDescent="0.25">
      <c r="A374" s="95">
        <v>369</v>
      </c>
      <c r="B374" s="89">
        <v>45807</v>
      </c>
      <c r="C374" s="90" t="s">
        <v>1029</v>
      </c>
      <c r="D374" s="96">
        <v>11306</v>
      </c>
      <c r="E374" s="96">
        <v>0</v>
      </c>
    </row>
    <row r="375" spans="1:5" ht="16.5" customHeight="1" x14ac:dyDescent="0.25">
      <c r="A375" s="95">
        <v>370</v>
      </c>
      <c r="B375" s="89">
        <v>45807</v>
      </c>
      <c r="C375" s="90" t="s">
        <v>1030</v>
      </c>
      <c r="D375" s="96">
        <v>23352</v>
      </c>
      <c r="E375" s="96">
        <v>0</v>
      </c>
    </row>
    <row r="376" spans="1:5" ht="16.5" customHeight="1" x14ac:dyDescent="0.25">
      <c r="A376" s="95">
        <v>371</v>
      </c>
      <c r="B376" s="89">
        <v>45808</v>
      </c>
      <c r="C376" s="90" t="s">
        <v>1031</v>
      </c>
      <c r="D376" s="96">
        <v>25000</v>
      </c>
      <c r="E376" s="96">
        <v>0</v>
      </c>
    </row>
    <row r="377" spans="1:5" ht="16.5" customHeight="1" x14ac:dyDescent="0.25">
      <c r="A377" s="95">
        <v>372</v>
      </c>
      <c r="B377" s="89">
        <v>45812</v>
      </c>
      <c r="C377" s="90" t="s">
        <v>1032</v>
      </c>
      <c r="D377" s="96">
        <v>266070</v>
      </c>
      <c r="E377" s="96">
        <v>0</v>
      </c>
    </row>
    <row r="378" spans="1:5" ht="16.5" customHeight="1" x14ac:dyDescent="0.25">
      <c r="A378" s="95">
        <v>373</v>
      </c>
      <c r="B378" s="89">
        <v>45812</v>
      </c>
      <c r="C378" s="90" t="s">
        <v>1033</v>
      </c>
      <c r="D378" s="96">
        <v>194285</v>
      </c>
      <c r="E378" s="96">
        <v>0</v>
      </c>
    </row>
    <row r="379" spans="1:5" ht="16.5" customHeight="1" x14ac:dyDescent="0.25">
      <c r="A379" s="95">
        <v>374</v>
      </c>
      <c r="B379" s="89">
        <v>45812</v>
      </c>
      <c r="C379" s="90" t="s">
        <v>1034</v>
      </c>
      <c r="D379" s="96">
        <v>16170</v>
      </c>
      <c r="E379" s="96">
        <v>0</v>
      </c>
    </row>
    <row r="380" spans="1:5" ht="16.5" customHeight="1" x14ac:dyDescent="0.25">
      <c r="A380" s="95">
        <v>375</v>
      </c>
      <c r="B380" s="89">
        <v>45812</v>
      </c>
      <c r="C380" s="90" t="s">
        <v>1035</v>
      </c>
      <c r="D380" s="96">
        <v>39000</v>
      </c>
      <c r="E380" s="96">
        <v>0</v>
      </c>
    </row>
    <row r="381" spans="1:5" ht="16.5" customHeight="1" x14ac:dyDescent="0.25">
      <c r="A381" s="95">
        <v>376</v>
      </c>
      <c r="B381" s="89">
        <v>45812</v>
      </c>
      <c r="C381" s="90" t="s">
        <v>793</v>
      </c>
      <c r="D381" s="96">
        <v>95000</v>
      </c>
      <c r="E381" s="96">
        <v>0</v>
      </c>
    </row>
    <row r="382" spans="1:5" ht="16.5" customHeight="1" x14ac:dyDescent="0.25">
      <c r="A382" s="95">
        <v>377</v>
      </c>
      <c r="B382" s="89">
        <v>45813</v>
      </c>
      <c r="C382" s="90" t="s">
        <v>1036</v>
      </c>
      <c r="D382" s="96">
        <v>126000</v>
      </c>
      <c r="E382" s="96">
        <v>0</v>
      </c>
    </row>
    <row r="383" spans="1:5" ht="16.5" customHeight="1" x14ac:dyDescent="0.25">
      <c r="A383" s="95">
        <v>378</v>
      </c>
      <c r="B383" s="89">
        <v>45813</v>
      </c>
      <c r="C383" s="90" t="s">
        <v>1037</v>
      </c>
      <c r="D383" s="96">
        <v>20000</v>
      </c>
      <c r="E383" s="96">
        <v>0</v>
      </c>
    </row>
    <row r="384" spans="1:5" ht="16.5" customHeight="1" x14ac:dyDescent="0.25">
      <c r="A384" s="95">
        <v>379</v>
      </c>
      <c r="B384" s="89">
        <v>45813</v>
      </c>
      <c r="C384" s="90" t="s">
        <v>1038</v>
      </c>
      <c r="D384" s="96">
        <v>20000</v>
      </c>
      <c r="E384" s="96">
        <v>0</v>
      </c>
    </row>
    <row r="385" spans="1:5" ht="16.5" customHeight="1" x14ac:dyDescent="0.25">
      <c r="A385" s="95">
        <v>380</v>
      </c>
      <c r="B385" s="89">
        <v>45813</v>
      </c>
      <c r="C385" s="90" t="s">
        <v>1039</v>
      </c>
      <c r="D385" s="96">
        <v>246900</v>
      </c>
      <c r="E385" s="96">
        <v>0</v>
      </c>
    </row>
    <row r="386" spans="1:5" ht="16.5" customHeight="1" x14ac:dyDescent="0.25">
      <c r="A386" s="95">
        <v>381</v>
      </c>
      <c r="B386" s="89">
        <v>45813</v>
      </c>
      <c r="C386" s="90" t="s">
        <v>1040</v>
      </c>
      <c r="D386" s="96">
        <v>100000</v>
      </c>
      <c r="E386" s="96">
        <v>0</v>
      </c>
    </row>
    <row r="387" spans="1:5" ht="16.5" customHeight="1" x14ac:dyDescent="0.25">
      <c r="A387" s="95">
        <v>382</v>
      </c>
      <c r="B387" s="89">
        <v>45813</v>
      </c>
      <c r="C387" s="90" t="s">
        <v>1040</v>
      </c>
      <c r="D387" s="96">
        <v>31000</v>
      </c>
      <c r="E387" s="96">
        <v>0</v>
      </c>
    </row>
    <row r="388" spans="1:5" ht="16.5" customHeight="1" x14ac:dyDescent="0.25">
      <c r="A388" s="95">
        <v>383</v>
      </c>
      <c r="B388" s="89">
        <v>45813</v>
      </c>
      <c r="C388" s="90" t="s">
        <v>1040</v>
      </c>
      <c r="D388" s="96">
        <v>15000</v>
      </c>
      <c r="E388" s="96">
        <v>0</v>
      </c>
    </row>
    <row r="389" spans="1:5" ht="16.5" customHeight="1" x14ac:dyDescent="0.25">
      <c r="A389" s="95">
        <v>384</v>
      </c>
      <c r="B389" s="89">
        <v>45813</v>
      </c>
      <c r="C389" s="90" t="s">
        <v>1040</v>
      </c>
      <c r="D389" s="96">
        <v>3500</v>
      </c>
      <c r="E389" s="96">
        <v>0</v>
      </c>
    </row>
    <row r="390" spans="1:5" ht="16.5" customHeight="1" x14ac:dyDescent="0.25">
      <c r="A390" s="95">
        <v>385</v>
      </c>
      <c r="B390" s="89">
        <v>45815</v>
      </c>
      <c r="C390" s="90" t="s">
        <v>1041</v>
      </c>
      <c r="D390" s="96">
        <v>2400</v>
      </c>
      <c r="E390" s="96">
        <v>0</v>
      </c>
    </row>
    <row r="391" spans="1:5" ht="16.5" customHeight="1" x14ac:dyDescent="0.25">
      <c r="A391" s="95">
        <v>386</v>
      </c>
      <c r="B391" s="89">
        <v>45815</v>
      </c>
      <c r="C391" s="90" t="s">
        <v>1042</v>
      </c>
      <c r="D391" s="96">
        <v>25680</v>
      </c>
      <c r="E391" s="96">
        <v>0</v>
      </c>
    </row>
    <row r="392" spans="1:5" ht="16.5" customHeight="1" x14ac:dyDescent="0.25">
      <c r="A392" s="95">
        <v>387</v>
      </c>
      <c r="B392" s="89">
        <v>45815</v>
      </c>
      <c r="C392" s="90" t="s">
        <v>1043</v>
      </c>
      <c r="D392" s="96">
        <v>1735</v>
      </c>
      <c r="E392" s="96">
        <v>0</v>
      </c>
    </row>
    <row r="393" spans="1:5" ht="16.5" customHeight="1" x14ac:dyDescent="0.25">
      <c r="A393" s="95">
        <v>388</v>
      </c>
      <c r="B393" s="89">
        <v>45818</v>
      </c>
      <c r="C393" s="90" t="s">
        <v>1044</v>
      </c>
      <c r="D393" s="96">
        <v>26998</v>
      </c>
      <c r="E393" s="96">
        <v>0</v>
      </c>
    </row>
    <row r="394" spans="1:5" ht="16.5" customHeight="1" x14ac:dyDescent="0.25">
      <c r="A394" s="95">
        <v>389</v>
      </c>
      <c r="B394" s="89">
        <v>45818</v>
      </c>
      <c r="C394" s="90" t="s">
        <v>1045</v>
      </c>
      <c r="D394" s="96">
        <v>83299</v>
      </c>
      <c r="E394" s="96">
        <v>0</v>
      </c>
    </row>
    <row r="395" spans="1:5" ht="16.5" customHeight="1" x14ac:dyDescent="0.25">
      <c r="A395" s="95">
        <v>390</v>
      </c>
      <c r="B395" s="89">
        <v>45818</v>
      </c>
      <c r="C395" s="90" t="s">
        <v>1046</v>
      </c>
      <c r="D395" s="96">
        <v>51253</v>
      </c>
      <c r="E395" s="96">
        <v>0</v>
      </c>
    </row>
    <row r="396" spans="1:5" ht="16.5" customHeight="1" x14ac:dyDescent="0.25">
      <c r="A396" s="95">
        <v>391</v>
      </c>
      <c r="B396" s="89">
        <v>45818</v>
      </c>
      <c r="C396" s="90" t="s">
        <v>1047</v>
      </c>
      <c r="D396" s="96">
        <v>23521</v>
      </c>
      <c r="E396" s="96">
        <v>0</v>
      </c>
    </row>
    <row r="397" spans="1:5" ht="16.5" customHeight="1" x14ac:dyDescent="0.25">
      <c r="A397" s="95">
        <v>392</v>
      </c>
      <c r="B397" s="89">
        <v>45820</v>
      </c>
      <c r="C397" s="90" t="s">
        <v>1048</v>
      </c>
      <c r="D397" s="96">
        <v>17000</v>
      </c>
      <c r="E397" s="96">
        <v>0</v>
      </c>
    </row>
    <row r="398" spans="1:5" ht="16.5" customHeight="1" x14ac:dyDescent="0.25">
      <c r="A398" s="95">
        <v>393</v>
      </c>
      <c r="B398" s="89">
        <v>45821</v>
      </c>
      <c r="C398" s="90" t="s">
        <v>1049</v>
      </c>
      <c r="D398" s="96">
        <v>380691</v>
      </c>
      <c r="E398" s="96">
        <v>0</v>
      </c>
    </row>
    <row r="399" spans="1:5" ht="16.5" customHeight="1" x14ac:dyDescent="0.25">
      <c r="A399" s="95">
        <v>394</v>
      </c>
      <c r="B399" s="89">
        <v>45821</v>
      </c>
      <c r="C399" s="90" t="s">
        <v>1050</v>
      </c>
      <c r="D399" s="96">
        <v>151200</v>
      </c>
      <c r="E399" s="96">
        <v>0</v>
      </c>
    </row>
    <row r="400" spans="1:5" ht="16.5" customHeight="1" x14ac:dyDescent="0.25">
      <c r="A400" s="95">
        <v>395</v>
      </c>
      <c r="B400" s="89">
        <v>45821</v>
      </c>
      <c r="C400" s="90" t="s">
        <v>1051</v>
      </c>
      <c r="D400" s="96">
        <v>22490</v>
      </c>
      <c r="E400" s="96">
        <v>0</v>
      </c>
    </row>
    <row r="401" spans="1:5" ht="16.5" customHeight="1" x14ac:dyDescent="0.25">
      <c r="A401" s="95">
        <v>396</v>
      </c>
      <c r="B401" s="89">
        <v>45825</v>
      </c>
      <c r="C401" s="90" t="s">
        <v>1052</v>
      </c>
      <c r="D401" s="96">
        <v>0</v>
      </c>
      <c r="E401" s="96">
        <v>42375</v>
      </c>
    </row>
    <row r="402" spans="1:5" ht="16.5" customHeight="1" x14ac:dyDescent="0.25">
      <c r="A402" s="95">
        <v>397</v>
      </c>
      <c r="B402" s="89">
        <v>45825</v>
      </c>
      <c r="C402" s="90" t="s">
        <v>1053</v>
      </c>
      <c r="D402" s="96">
        <v>36000</v>
      </c>
      <c r="E402" s="96">
        <v>0</v>
      </c>
    </row>
    <row r="403" spans="1:5" ht="16.5" customHeight="1" x14ac:dyDescent="0.25">
      <c r="A403" s="95">
        <v>398</v>
      </c>
      <c r="B403" s="89">
        <v>45827</v>
      </c>
      <c r="C403" s="90" t="s">
        <v>1054</v>
      </c>
      <c r="D403" s="96">
        <v>132300</v>
      </c>
      <c r="E403" s="96">
        <v>0</v>
      </c>
    </row>
    <row r="404" spans="1:5" ht="16.5" customHeight="1" x14ac:dyDescent="0.25">
      <c r="A404" s="95">
        <v>399</v>
      </c>
      <c r="B404" s="89">
        <v>45827</v>
      </c>
      <c r="C404" s="90" t="s">
        <v>1055</v>
      </c>
      <c r="D404" s="96">
        <v>21000</v>
      </c>
      <c r="E404" s="96">
        <v>0</v>
      </c>
    </row>
    <row r="405" spans="1:5" ht="16.5" customHeight="1" x14ac:dyDescent="0.25">
      <c r="A405" s="95">
        <v>400</v>
      </c>
      <c r="B405" s="89">
        <v>45827</v>
      </c>
      <c r="C405" s="90" t="s">
        <v>1056</v>
      </c>
      <c r="D405" s="96">
        <v>9000</v>
      </c>
      <c r="E405" s="96">
        <v>0</v>
      </c>
    </row>
    <row r="406" spans="1:5" ht="16.5" customHeight="1" x14ac:dyDescent="0.25">
      <c r="A406" s="95">
        <v>401</v>
      </c>
      <c r="B406" s="89">
        <v>45828</v>
      </c>
      <c r="C406" s="90" t="s">
        <v>1057</v>
      </c>
      <c r="D406" s="96">
        <v>139650</v>
      </c>
      <c r="E406" s="96">
        <v>0</v>
      </c>
    </row>
    <row r="407" spans="1:5" ht="16.5" customHeight="1" x14ac:dyDescent="0.25">
      <c r="A407" s="95">
        <v>402</v>
      </c>
      <c r="B407" s="89">
        <v>45829</v>
      </c>
      <c r="C407" s="90" t="s">
        <v>1058</v>
      </c>
      <c r="D407" s="96">
        <v>163800</v>
      </c>
      <c r="E407" s="96">
        <v>0</v>
      </c>
    </row>
    <row r="408" spans="1:5" ht="16.5" customHeight="1" x14ac:dyDescent="0.25">
      <c r="A408" s="95">
        <v>403</v>
      </c>
      <c r="B408" s="89">
        <v>45829</v>
      </c>
      <c r="C408" s="90" t="s">
        <v>1059</v>
      </c>
      <c r="D408" s="96">
        <v>339299</v>
      </c>
      <c r="E408" s="96">
        <v>0</v>
      </c>
    </row>
    <row r="409" spans="1:5" ht="16.5" customHeight="1" x14ac:dyDescent="0.25">
      <c r="A409" s="95">
        <v>404</v>
      </c>
      <c r="B409" s="89">
        <v>45834</v>
      </c>
      <c r="C409" s="90" t="s">
        <v>1060</v>
      </c>
      <c r="D409" s="96">
        <v>1950</v>
      </c>
      <c r="E409" s="96">
        <v>0</v>
      </c>
    </row>
    <row r="410" spans="1:5" ht="16.5" customHeight="1" x14ac:dyDescent="0.25">
      <c r="A410" s="95">
        <v>405</v>
      </c>
      <c r="B410" s="89">
        <v>45834</v>
      </c>
      <c r="C410" s="90" t="s">
        <v>1061</v>
      </c>
      <c r="D410" s="96">
        <v>11000</v>
      </c>
      <c r="E410" s="96">
        <v>0</v>
      </c>
    </row>
    <row r="411" spans="1:5" ht="16.5" customHeight="1" x14ac:dyDescent="0.25">
      <c r="A411" s="95">
        <v>406</v>
      </c>
      <c r="B411" s="89">
        <v>45834</v>
      </c>
      <c r="C411" s="90" t="s">
        <v>1062</v>
      </c>
      <c r="D411" s="96">
        <v>25680</v>
      </c>
      <c r="E411" s="96">
        <v>0</v>
      </c>
    </row>
    <row r="412" spans="1:5" ht="16.5" customHeight="1" x14ac:dyDescent="0.25">
      <c r="A412" s="95">
        <v>407</v>
      </c>
      <c r="B412" s="89">
        <v>45840</v>
      </c>
      <c r="C412" s="90" t="s">
        <v>1063</v>
      </c>
      <c r="D412" s="96">
        <v>955798</v>
      </c>
      <c r="E412" s="96">
        <v>0</v>
      </c>
    </row>
    <row r="413" spans="1:5" ht="16.5" customHeight="1" x14ac:dyDescent="0.25">
      <c r="A413" s="95">
        <v>408</v>
      </c>
      <c r="B413" s="89">
        <v>45841</v>
      </c>
      <c r="C413" s="90" t="s">
        <v>1064</v>
      </c>
      <c r="D413" s="96">
        <v>55000</v>
      </c>
      <c r="E413" s="96">
        <v>0</v>
      </c>
    </row>
    <row r="414" spans="1:5" ht="16.5" customHeight="1" x14ac:dyDescent="0.25">
      <c r="A414" s="95">
        <v>409</v>
      </c>
      <c r="B414" s="89">
        <v>45841</v>
      </c>
      <c r="C414" s="90" t="s">
        <v>1065</v>
      </c>
      <c r="D414" s="96">
        <v>33120</v>
      </c>
      <c r="E414" s="96">
        <v>0</v>
      </c>
    </row>
    <row r="415" spans="1:5" ht="16.5" customHeight="1" x14ac:dyDescent="0.25">
      <c r="A415" s="95">
        <v>410</v>
      </c>
      <c r="B415" s="89">
        <v>45841</v>
      </c>
      <c r="C415" s="90" t="s">
        <v>1066</v>
      </c>
      <c r="D415" s="96">
        <v>33800</v>
      </c>
      <c r="E415" s="96">
        <v>0</v>
      </c>
    </row>
    <row r="416" spans="1:5" ht="16.5" customHeight="1" x14ac:dyDescent="0.25">
      <c r="A416" s="95">
        <v>411</v>
      </c>
      <c r="B416" s="89">
        <v>45841</v>
      </c>
      <c r="C416" s="90" t="s">
        <v>1067</v>
      </c>
      <c r="D416" s="96">
        <v>128521</v>
      </c>
      <c r="E416" s="96">
        <v>0</v>
      </c>
    </row>
    <row r="417" spans="1:5" ht="16.5" customHeight="1" x14ac:dyDescent="0.25">
      <c r="A417" s="95">
        <v>412</v>
      </c>
      <c r="B417" s="89">
        <v>45841</v>
      </c>
      <c r="C417" s="90" t="s">
        <v>1068</v>
      </c>
      <c r="D417" s="96">
        <v>5700</v>
      </c>
      <c r="E417" s="96">
        <v>0</v>
      </c>
    </row>
    <row r="418" spans="1:5" ht="16.5" customHeight="1" x14ac:dyDescent="0.25">
      <c r="A418" s="95">
        <v>413</v>
      </c>
      <c r="B418" s="89">
        <v>45841</v>
      </c>
      <c r="C418" s="90" t="s">
        <v>1069</v>
      </c>
      <c r="D418" s="96">
        <v>200100</v>
      </c>
      <c r="E418" s="96">
        <v>0</v>
      </c>
    </row>
    <row r="419" spans="1:5" ht="16.5" customHeight="1" x14ac:dyDescent="0.25">
      <c r="A419" s="95">
        <v>414</v>
      </c>
      <c r="B419" s="89">
        <v>45841</v>
      </c>
      <c r="C419" s="90" t="s">
        <v>1070</v>
      </c>
      <c r="D419" s="96">
        <v>110400</v>
      </c>
      <c r="E419" s="96">
        <v>0</v>
      </c>
    </row>
    <row r="420" spans="1:5" ht="16.5" customHeight="1" x14ac:dyDescent="0.25">
      <c r="A420" s="95">
        <v>415</v>
      </c>
      <c r="B420" s="89">
        <v>45841</v>
      </c>
      <c r="C420" s="90" t="s">
        <v>1071</v>
      </c>
      <c r="D420" s="96">
        <v>64680</v>
      </c>
      <c r="E420" s="96">
        <v>0</v>
      </c>
    </row>
    <row r="421" spans="1:5" ht="16.5" customHeight="1" x14ac:dyDescent="0.25">
      <c r="A421" s="95">
        <v>416</v>
      </c>
      <c r="B421" s="89">
        <v>45841</v>
      </c>
      <c r="C421" s="90" t="s">
        <v>1072</v>
      </c>
      <c r="D421" s="96">
        <v>132207</v>
      </c>
      <c r="E421" s="96">
        <v>0</v>
      </c>
    </row>
    <row r="422" spans="1:5" ht="16.5" customHeight="1" x14ac:dyDescent="0.25">
      <c r="A422" s="95">
        <v>417</v>
      </c>
      <c r="B422" s="89">
        <v>45842</v>
      </c>
      <c r="C422" s="90" t="s">
        <v>818</v>
      </c>
      <c r="D422" s="96">
        <v>58500</v>
      </c>
      <c r="E422" s="96">
        <v>0</v>
      </c>
    </row>
    <row r="423" spans="1:5" ht="16.5" customHeight="1" x14ac:dyDescent="0.25">
      <c r="A423" s="95">
        <v>418</v>
      </c>
      <c r="B423" s="89">
        <v>45843</v>
      </c>
      <c r="C423" s="90" t="s">
        <v>1073</v>
      </c>
      <c r="D423" s="96">
        <v>150000</v>
      </c>
      <c r="E423" s="96">
        <v>0</v>
      </c>
    </row>
    <row r="424" spans="1:5" ht="16.5" customHeight="1" x14ac:dyDescent="0.25">
      <c r="A424" s="95">
        <v>419</v>
      </c>
      <c r="B424" s="89">
        <v>45845</v>
      </c>
      <c r="C424" s="90" t="s">
        <v>1074</v>
      </c>
      <c r="D424" s="96">
        <v>4845</v>
      </c>
      <c r="E424" s="96">
        <v>0</v>
      </c>
    </row>
    <row r="425" spans="1:5" ht="16.5" customHeight="1" x14ac:dyDescent="0.25">
      <c r="A425" s="95">
        <v>420</v>
      </c>
      <c r="B425" s="89">
        <v>45847</v>
      </c>
      <c r="C425" s="90" t="s">
        <v>764</v>
      </c>
      <c r="D425" s="96">
        <v>1000000</v>
      </c>
      <c r="E425" s="96">
        <v>0</v>
      </c>
    </row>
    <row r="426" spans="1:5" ht="16.5" customHeight="1" x14ac:dyDescent="0.25">
      <c r="A426" s="95">
        <v>421</v>
      </c>
      <c r="B426" s="89">
        <v>45847</v>
      </c>
      <c r="C426" s="90" t="s">
        <v>1075</v>
      </c>
      <c r="D426" s="96">
        <v>29400</v>
      </c>
      <c r="E426" s="96">
        <v>0</v>
      </c>
    </row>
    <row r="427" spans="1:5" ht="16.5" customHeight="1" x14ac:dyDescent="0.25">
      <c r="A427" s="95">
        <v>422</v>
      </c>
      <c r="B427" s="89">
        <v>45847</v>
      </c>
      <c r="C427" s="90" t="s">
        <v>1076</v>
      </c>
      <c r="D427" s="96">
        <v>24000</v>
      </c>
      <c r="E427" s="96">
        <v>0</v>
      </c>
    </row>
    <row r="428" spans="1:5" ht="16.5" customHeight="1" x14ac:dyDescent="0.25">
      <c r="A428" s="95">
        <v>423</v>
      </c>
      <c r="B428" s="89">
        <v>45847</v>
      </c>
      <c r="C428" s="90" t="s">
        <v>1077</v>
      </c>
      <c r="D428" s="96">
        <v>72168</v>
      </c>
      <c r="E428" s="96">
        <v>0</v>
      </c>
    </row>
    <row r="429" spans="1:5" ht="16.5" customHeight="1" x14ac:dyDescent="0.25">
      <c r="A429" s="95">
        <v>424</v>
      </c>
      <c r="B429" s="89">
        <v>45847</v>
      </c>
      <c r="C429" s="90" t="s">
        <v>1078</v>
      </c>
      <c r="D429" s="96">
        <v>210700</v>
      </c>
      <c r="E429" s="96">
        <v>0</v>
      </c>
    </row>
    <row r="430" spans="1:5" ht="16.5" customHeight="1" x14ac:dyDescent="0.25">
      <c r="A430" s="95">
        <v>425</v>
      </c>
      <c r="B430" s="89">
        <v>45847</v>
      </c>
      <c r="C430" s="90" t="s">
        <v>1079</v>
      </c>
      <c r="D430" s="96">
        <v>71295</v>
      </c>
      <c r="E430" s="96">
        <v>0</v>
      </c>
    </row>
    <row r="431" spans="1:5" ht="16.5" customHeight="1" x14ac:dyDescent="0.25">
      <c r="A431" s="95">
        <v>426</v>
      </c>
      <c r="B431" s="89">
        <v>45847</v>
      </c>
      <c r="C431" s="90" t="s">
        <v>1080</v>
      </c>
      <c r="D431" s="96">
        <v>283725</v>
      </c>
      <c r="E431" s="96">
        <v>0</v>
      </c>
    </row>
    <row r="432" spans="1:5" ht="16.5" customHeight="1" x14ac:dyDescent="0.25">
      <c r="A432" s="95">
        <v>427</v>
      </c>
      <c r="B432" s="89">
        <v>45847</v>
      </c>
      <c r="C432" s="90" t="s">
        <v>1081</v>
      </c>
      <c r="D432" s="96">
        <v>43750</v>
      </c>
      <c r="E432" s="96">
        <v>0</v>
      </c>
    </row>
    <row r="433" spans="1:5" ht="16.5" customHeight="1" x14ac:dyDescent="0.25">
      <c r="A433" s="95">
        <v>428</v>
      </c>
      <c r="B433" s="89">
        <v>45850</v>
      </c>
      <c r="C433" s="90" t="s">
        <v>1082</v>
      </c>
      <c r="D433" s="96">
        <v>3500</v>
      </c>
      <c r="E433" s="96">
        <v>0</v>
      </c>
    </row>
    <row r="434" spans="1:5" ht="16.5" customHeight="1" x14ac:dyDescent="0.25">
      <c r="A434" s="95">
        <v>429</v>
      </c>
      <c r="B434" s="89">
        <v>45853</v>
      </c>
      <c r="C434" s="90" t="s">
        <v>808</v>
      </c>
      <c r="D434" s="96">
        <v>210000</v>
      </c>
      <c r="E434" s="96">
        <v>0</v>
      </c>
    </row>
    <row r="435" spans="1:5" ht="16.5" customHeight="1" x14ac:dyDescent="0.25">
      <c r="A435" s="95">
        <v>430</v>
      </c>
      <c r="B435" s="89">
        <v>45855</v>
      </c>
      <c r="C435" s="90" t="s">
        <v>1083</v>
      </c>
      <c r="D435" s="96">
        <v>160000</v>
      </c>
      <c r="E435" s="96">
        <v>0</v>
      </c>
    </row>
    <row r="436" spans="1:5" ht="16.5" customHeight="1" x14ac:dyDescent="0.25">
      <c r="A436" s="95">
        <v>431</v>
      </c>
      <c r="B436" s="89">
        <v>45857</v>
      </c>
      <c r="C436" s="90" t="s">
        <v>1084</v>
      </c>
      <c r="D436" s="96">
        <v>209790</v>
      </c>
      <c r="E436" s="96">
        <v>0</v>
      </c>
    </row>
    <row r="437" spans="1:5" ht="16.5" customHeight="1" x14ac:dyDescent="0.25">
      <c r="A437" s="95">
        <v>432</v>
      </c>
      <c r="B437" s="89">
        <v>45859</v>
      </c>
      <c r="C437" s="90" t="s">
        <v>1085</v>
      </c>
      <c r="D437" s="96">
        <v>295680</v>
      </c>
      <c r="E437" s="96">
        <v>0</v>
      </c>
    </row>
    <row r="438" spans="1:5" ht="16.5" customHeight="1" x14ac:dyDescent="0.25">
      <c r="A438" s="95">
        <v>433</v>
      </c>
      <c r="B438" s="89">
        <v>45859</v>
      </c>
      <c r="C438" s="90" t="s">
        <v>1086</v>
      </c>
      <c r="D438" s="96">
        <v>29367</v>
      </c>
      <c r="E438" s="96">
        <v>0</v>
      </c>
    </row>
    <row r="439" spans="1:5" ht="16.5" customHeight="1" x14ac:dyDescent="0.25">
      <c r="A439" s="95">
        <v>434</v>
      </c>
      <c r="B439" s="89">
        <v>45859</v>
      </c>
      <c r="C439" s="90" t="s">
        <v>1087</v>
      </c>
      <c r="D439" s="96">
        <v>40600</v>
      </c>
      <c r="E439" s="96">
        <v>0</v>
      </c>
    </row>
    <row r="440" spans="1:5" ht="16.5" customHeight="1" x14ac:dyDescent="0.25">
      <c r="A440" s="95">
        <v>435</v>
      </c>
      <c r="B440" s="89">
        <v>45859</v>
      </c>
      <c r="C440" s="90" t="s">
        <v>1088</v>
      </c>
      <c r="D440" s="96">
        <v>8000</v>
      </c>
      <c r="E440" s="96">
        <v>0</v>
      </c>
    </row>
    <row r="441" spans="1:5" ht="16.5" customHeight="1" x14ac:dyDescent="0.25">
      <c r="A441" s="95">
        <v>436</v>
      </c>
      <c r="B441" s="89">
        <v>45861</v>
      </c>
      <c r="C441" s="90" t="s">
        <v>1089</v>
      </c>
      <c r="D441" s="96">
        <v>75000</v>
      </c>
      <c r="E441" s="96">
        <v>0</v>
      </c>
    </row>
    <row r="442" spans="1:5" ht="16.5" customHeight="1" x14ac:dyDescent="0.25">
      <c r="A442" s="95">
        <v>437</v>
      </c>
      <c r="B442" s="89">
        <v>45863</v>
      </c>
      <c r="C442" s="90" t="s">
        <v>1090</v>
      </c>
      <c r="D442" s="96">
        <v>10000</v>
      </c>
      <c r="E442" s="96">
        <v>0</v>
      </c>
    </row>
    <row r="443" spans="1:5" ht="16.5" customHeight="1" x14ac:dyDescent="0.25">
      <c r="A443" s="95">
        <v>438</v>
      </c>
      <c r="B443" s="89">
        <v>45863</v>
      </c>
      <c r="C443" s="90" t="s">
        <v>1091</v>
      </c>
      <c r="D443" s="96">
        <v>29900</v>
      </c>
      <c r="E443" s="96">
        <v>0</v>
      </c>
    </row>
    <row r="444" spans="1:5" ht="16.5" customHeight="1" x14ac:dyDescent="0.25">
      <c r="A444" s="95">
        <v>439</v>
      </c>
      <c r="B444" s="89">
        <v>45864</v>
      </c>
      <c r="C444" s="90" t="s">
        <v>861</v>
      </c>
      <c r="D444" s="96">
        <v>39000</v>
      </c>
      <c r="E444" s="96">
        <v>0</v>
      </c>
    </row>
    <row r="445" spans="1:5" ht="16.5" customHeight="1" x14ac:dyDescent="0.25">
      <c r="A445" s="95">
        <v>440</v>
      </c>
      <c r="B445" s="89">
        <v>45864</v>
      </c>
      <c r="C445" s="90" t="s">
        <v>1004</v>
      </c>
      <c r="D445" s="96">
        <v>400000</v>
      </c>
      <c r="E445" s="96">
        <v>0</v>
      </c>
    </row>
    <row r="446" spans="1:5" ht="16.5" customHeight="1" x14ac:dyDescent="0.25">
      <c r="A446" s="95">
        <v>441</v>
      </c>
      <c r="B446" s="89">
        <v>45867</v>
      </c>
      <c r="C446" s="90" t="s">
        <v>1092</v>
      </c>
      <c r="D446" s="96">
        <v>6500</v>
      </c>
      <c r="E446" s="96">
        <v>0</v>
      </c>
    </row>
    <row r="447" spans="1:5" ht="16.5" customHeight="1" x14ac:dyDescent="0.25">
      <c r="A447" s="95">
        <v>442</v>
      </c>
      <c r="B447" s="89">
        <v>45867</v>
      </c>
      <c r="C447" s="90" t="s">
        <v>1093</v>
      </c>
      <c r="D447" s="96">
        <v>348471</v>
      </c>
      <c r="E447" s="96">
        <v>0</v>
      </c>
    </row>
    <row r="448" spans="1:5" ht="16.5" customHeight="1" x14ac:dyDescent="0.25">
      <c r="A448" s="95">
        <v>443</v>
      </c>
      <c r="B448" s="89">
        <v>45867</v>
      </c>
      <c r="C448" s="90" t="s">
        <v>1094</v>
      </c>
      <c r="D448" s="96">
        <v>41607</v>
      </c>
      <c r="E448" s="96">
        <v>0</v>
      </c>
    </row>
    <row r="449" spans="1:5" ht="16.5" customHeight="1" x14ac:dyDescent="0.25">
      <c r="A449" s="95">
        <v>444</v>
      </c>
      <c r="B449" s="89">
        <v>45868</v>
      </c>
      <c r="C449" s="90" t="s">
        <v>1095</v>
      </c>
      <c r="D449" s="96">
        <v>47616</v>
      </c>
      <c r="E449" s="96">
        <v>0</v>
      </c>
    </row>
    <row r="450" spans="1:5" ht="16.5" customHeight="1" x14ac:dyDescent="0.25">
      <c r="A450" s="95">
        <v>445</v>
      </c>
      <c r="B450" s="89">
        <v>45868</v>
      </c>
      <c r="C450" s="90" t="s">
        <v>1096</v>
      </c>
      <c r="D450" s="96">
        <v>27360</v>
      </c>
      <c r="E450" s="96">
        <v>0</v>
      </c>
    </row>
    <row r="451" spans="1:5" ht="16.5" customHeight="1" x14ac:dyDescent="0.25">
      <c r="A451" s="95">
        <v>446</v>
      </c>
      <c r="B451" s="89">
        <v>45868</v>
      </c>
      <c r="C451" s="90" t="s">
        <v>1097</v>
      </c>
      <c r="D451" s="96">
        <v>7385</v>
      </c>
      <c r="E451" s="96">
        <v>0</v>
      </c>
    </row>
    <row r="452" spans="1:5" ht="16.5" customHeight="1" x14ac:dyDescent="0.25">
      <c r="A452" s="95">
        <v>447</v>
      </c>
      <c r="B452" s="89">
        <v>45873</v>
      </c>
      <c r="C452" s="90" t="s">
        <v>1098</v>
      </c>
      <c r="D452" s="96">
        <v>120000</v>
      </c>
      <c r="E452" s="96">
        <v>0</v>
      </c>
    </row>
    <row r="453" spans="1:5" ht="16.5" customHeight="1" x14ac:dyDescent="0.25">
      <c r="A453" s="95">
        <v>448</v>
      </c>
      <c r="B453" s="89">
        <v>45873</v>
      </c>
      <c r="C453" s="90" t="s">
        <v>1099</v>
      </c>
      <c r="D453" s="96">
        <v>24000</v>
      </c>
      <c r="E453" s="96">
        <v>0</v>
      </c>
    </row>
    <row r="454" spans="1:5" ht="16.5" customHeight="1" x14ac:dyDescent="0.25">
      <c r="A454" s="95">
        <v>449</v>
      </c>
      <c r="B454" s="89">
        <v>45873</v>
      </c>
      <c r="C454" s="90" t="s">
        <v>1100</v>
      </c>
      <c r="D454" s="96">
        <v>220500</v>
      </c>
      <c r="E454" s="96">
        <v>0</v>
      </c>
    </row>
    <row r="455" spans="1:5" ht="16.5" customHeight="1" x14ac:dyDescent="0.25">
      <c r="A455" s="95">
        <v>450</v>
      </c>
      <c r="B455" s="89">
        <v>45873</v>
      </c>
      <c r="C455" s="90" t="s">
        <v>1097</v>
      </c>
      <c r="D455" s="96">
        <v>0</v>
      </c>
      <c r="E455" s="96">
        <v>7385</v>
      </c>
    </row>
    <row r="456" spans="1:5" ht="16.5" customHeight="1" x14ac:dyDescent="0.25">
      <c r="A456" s="95">
        <v>451</v>
      </c>
      <c r="B456" s="89">
        <v>45873</v>
      </c>
      <c r="C456" s="90" t="s">
        <v>1097</v>
      </c>
      <c r="D456" s="96">
        <v>7385</v>
      </c>
      <c r="E456" s="96">
        <v>0</v>
      </c>
    </row>
    <row r="457" spans="1:5" ht="16.5" customHeight="1" x14ac:dyDescent="0.25">
      <c r="A457" s="95">
        <v>452</v>
      </c>
      <c r="B457" s="89">
        <v>45874</v>
      </c>
      <c r="C457" s="90" t="s">
        <v>1101</v>
      </c>
      <c r="D457" s="96">
        <v>13750</v>
      </c>
      <c r="E457" s="96">
        <v>0</v>
      </c>
    </row>
    <row r="458" spans="1:5" ht="16.5" customHeight="1" x14ac:dyDescent="0.25">
      <c r="A458" s="95">
        <v>453</v>
      </c>
      <c r="B458" s="89">
        <v>45875</v>
      </c>
      <c r="C458" s="90" t="s">
        <v>1102</v>
      </c>
      <c r="D458" s="96">
        <v>16000</v>
      </c>
      <c r="E458" s="96">
        <v>0</v>
      </c>
    </row>
    <row r="459" spans="1:5" ht="16.5" customHeight="1" x14ac:dyDescent="0.25">
      <c r="A459" s="95">
        <v>454</v>
      </c>
      <c r="B459" s="89">
        <v>45875</v>
      </c>
      <c r="C459" s="90" t="s">
        <v>1103</v>
      </c>
      <c r="D459" s="96">
        <v>14970</v>
      </c>
      <c r="E459" s="96">
        <v>0</v>
      </c>
    </row>
    <row r="460" spans="1:5" ht="16.5" customHeight="1" x14ac:dyDescent="0.25">
      <c r="A460" s="95">
        <v>455</v>
      </c>
      <c r="B460" s="89">
        <v>45876</v>
      </c>
      <c r="C460" s="90" t="s">
        <v>1104</v>
      </c>
      <c r="D460" s="96">
        <v>12000</v>
      </c>
      <c r="E460" s="96">
        <v>0</v>
      </c>
    </row>
    <row r="461" spans="1:5" ht="16.5" customHeight="1" x14ac:dyDescent="0.25">
      <c r="A461" s="95">
        <v>456</v>
      </c>
      <c r="B461" s="89">
        <v>45878</v>
      </c>
      <c r="C461" s="90" t="s">
        <v>1105</v>
      </c>
      <c r="D461" s="96">
        <v>5100</v>
      </c>
      <c r="E461" s="96">
        <v>0</v>
      </c>
    </row>
    <row r="462" spans="1:5" ht="16.5" customHeight="1" x14ac:dyDescent="0.25">
      <c r="A462" s="95">
        <v>457</v>
      </c>
      <c r="B462" s="89">
        <v>45880</v>
      </c>
      <c r="C462" s="90" t="s">
        <v>1106</v>
      </c>
      <c r="D462" s="96">
        <v>5000</v>
      </c>
      <c r="E462" s="96">
        <v>0</v>
      </c>
    </row>
    <row r="463" spans="1:5" ht="16.5" customHeight="1" x14ac:dyDescent="0.25">
      <c r="A463" s="95">
        <v>458</v>
      </c>
      <c r="B463" s="89">
        <v>45880</v>
      </c>
      <c r="C463" s="90" t="s">
        <v>1107</v>
      </c>
      <c r="D463" s="96">
        <v>450000</v>
      </c>
      <c r="E463" s="96">
        <v>0</v>
      </c>
    </row>
    <row r="464" spans="1:5" ht="16.5" customHeight="1" x14ac:dyDescent="0.25">
      <c r="A464" s="95">
        <v>459</v>
      </c>
      <c r="B464" s="89">
        <v>45881</v>
      </c>
      <c r="C464" s="90" t="s">
        <v>1108</v>
      </c>
      <c r="D464" s="96">
        <v>407970</v>
      </c>
      <c r="E464" s="96">
        <v>0</v>
      </c>
    </row>
    <row r="465" spans="1:5" ht="16.5" customHeight="1" x14ac:dyDescent="0.25">
      <c r="A465" s="95">
        <v>460</v>
      </c>
      <c r="B465" s="89">
        <v>45882</v>
      </c>
      <c r="C465" s="90" t="s">
        <v>1109</v>
      </c>
      <c r="D465" s="96">
        <v>50279</v>
      </c>
      <c r="E465" s="96">
        <v>0</v>
      </c>
    </row>
    <row r="466" spans="1:5" ht="16.5" customHeight="1" x14ac:dyDescent="0.25">
      <c r="A466" s="95">
        <v>461</v>
      </c>
      <c r="B466" s="89">
        <v>45884</v>
      </c>
      <c r="C466" s="90" t="s">
        <v>1110</v>
      </c>
      <c r="D466" s="96">
        <v>27325</v>
      </c>
      <c r="E466" s="96">
        <v>0</v>
      </c>
    </row>
    <row r="467" spans="1:5" ht="16.5" customHeight="1" x14ac:dyDescent="0.25">
      <c r="A467" s="95">
        <v>462</v>
      </c>
      <c r="B467" s="89">
        <v>45884</v>
      </c>
      <c r="C467" s="90" t="s">
        <v>1111</v>
      </c>
      <c r="D467" s="96">
        <v>71700</v>
      </c>
      <c r="E467" s="96">
        <v>0</v>
      </c>
    </row>
    <row r="468" spans="1:5" ht="16.5" customHeight="1" x14ac:dyDescent="0.25">
      <c r="A468" s="95">
        <v>463</v>
      </c>
      <c r="B468" s="89">
        <v>45884</v>
      </c>
      <c r="C468" s="90" t="s">
        <v>1112</v>
      </c>
      <c r="D468" s="96">
        <v>116287</v>
      </c>
      <c r="E468" s="96">
        <v>0</v>
      </c>
    </row>
    <row r="469" spans="1:5" ht="16.5" customHeight="1" x14ac:dyDescent="0.25">
      <c r="A469" s="95">
        <v>464</v>
      </c>
      <c r="B469" s="89">
        <v>45885</v>
      </c>
      <c r="C469" s="90" t="s">
        <v>986</v>
      </c>
      <c r="D469" s="96">
        <v>90000</v>
      </c>
      <c r="E469" s="96">
        <v>0</v>
      </c>
    </row>
    <row r="470" spans="1:5" ht="16.5" customHeight="1" x14ac:dyDescent="0.25">
      <c r="A470" s="95">
        <v>465</v>
      </c>
      <c r="B470" s="89">
        <v>45885</v>
      </c>
      <c r="C470" s="90" t="s">
        <v>1113</v>
      </c>
      <c r="D470" s="96">
        <v>862500</v>
      </c>
      <c r="E470" s="96">
        <v>0</v>
      </c>
    </row>
    <row r="471" spans="1:5" ht="16.5" customHeight="1" x14ac:dyDescent="0.25">
      <c r="A471" s="95">
        <v>466</v>
      </c>
      <c r="B471" s="89">
        <v>45887</v>
      </c>
      <c r="C471" s="90" t="s">
        <v>1114</v>
      </c>
      <c r="D471" s="96">
        <v>22325</v>
      </c>
      <c r="E471" s="96">
        <v>0</v>
      </c>
    </row>
    <row r="472" spans="1:5" ht="16.5" customHeight="1" x14ac:dyDescent="0.25">
      <c r="A472" s="95">
        <v>467</v>
      </c>
      <c r="B472" s="89">
        <v>45888</v>
      </c>
      <c r="C472" s="90" t="s">
        <v>1115</v>
      </c>
      <c r="D472" s="96">
        <v>37500</v>
      </c>
      <c r="E472" s="96">
        <v>0</v>
      </c>
    </row>
    <row r="473" spans="1:5" ht="16.5" customHeight="1" x14ac:dyDescent="0.25">
      <c r="A473" s="95">
        <v>468</v>
      </c>
      <c r="B473" s="89">
        <v>45888</v>
      </c>
      <c r="C473" s="90" t="s">
        <v>1116</v>
      </c>
      <c r="D473" s="96">
        <v>48444</v>
      </c>
      <c r="E473" s="96">
        <v>0</v>
      </c>
    </row>
    <row r="474" spans="1:5" ht="16.5" customHeight="1" x14ac:dyDescent="0.25">
      <c r="A474" s="95">
        <v>469</v>
      </c>
      <c r="B474" s="89">
        <v>45888</v>
      </c>
      <c r="C474" s="90" t="s">
        <v>1109</v>
      </c>
      <c r="D474" s="96">
        <v>0</v>
      </c>
      <c r="E474" s="96">
        <v>50279</v>
      </c>
    </row>
    <row r="475" spans="1:5" ht="16.5" customHeight="1" x14ac:dyDescent="0.25">
      <c r="A475" s="95">
        <v>470</v>
      </c>
      <c r="B475" s="89">
        <v>45888</v>
      </c>
      <c r="C475" s="90" t="s">
        <v>1117</v>
      </c>
      <c r="D475" s="96">
        <v>1311000</v>
      </c>
      <c r="E475" s="96">
        <v>0</v>
      </c>
    </row>
    <row r="476" spans="1:5" ht="16.5" customHeight="1" x14ac:dyDescent="0.25">
      <c r="A476" s="95">
        <v>471</v>
      </c>
      <c r="B476" s="89">
        <v>45888</v>
      </c>
      <c r="C476" s="90" t="s">
        <v>1118</v>
      </c>
      <c r="D476" s="96">
        <v>17500</v>
      </c>
      <c r="E476" s="96">
        <v>0</v>
      </c>
    </row>
    <row r="477" spans="1:5" ht="16.5" customHeight="1" x14ac:dyDescent="0.25">
      <c r="A477" s="95">
        <v>472</v>
      </c>
      <c r="B477" s="89">
        <v>45889</v>
      </c>
      <c r="C477" s="90" t="s">
        <v>1119</v>
      </c>
      <c r="D477" s="96">
        <v>150750</v>
      </c>
      <c r="E477" s="96">
        <v>0</v>
      </c>
    </row>
    <row r="478" spans="1:5" ht="16.5" customHeight="1" x14ac:dyDescent="0.25">
      <c r="A478" s="95">
        <v>473</v>
      </c>
      <c r="B478" s="89">
        <v>45889</v>
      </c>
      <c r="C478" s="90" t="s">
        <v>1111</v>
      </c>
      <c r="D478" s="96">
        <v>0</v>
      </c>
      <c r="E478" s="96">
        <v>71700</v>
      </c>
    </row>
    <row r="479" spans="1:5" ht="16.5" customHeight="1" x14ac:dyDescent="0.25">
      <c r="A479" s="95">
        <v>474</v>
      </c>
      <c r="B479" s="89">
        <v>45889</v>
      </c>
      <c r="C479" s="90" t="s">
        <v>1111</v>
      </c>
      <c r="D479" s="96">
        <v>68115</v>
      </c>
      <c r="E479" s="96">
        <v>0</v>
      </c>
    </row>
    <row r="480" spans="1:5" ht="16.5" customHeight="1" x14ac:dyDescent="0.25">
      <c r="A480" s="95">
        <v>475</v>
      </c>
      <c r="B480" s="89">
        <v>45889</v>
      </c>
      <c r="C480" s="90" t="s">
        <v>1120</v>
      </c>
      <c r="D480" s="96">
        <v>86920</v>
      </c>
      <c r="E480" s="96">
        <v>0</v>
      </c>
    </row>
    <row r="481" spans="1:5" ht="16.5" customHeight="1" x14ac:dyDescent="0.25">
      <c r="A481" s="95">
        <v>476</v>
      </c>
      <c r="B481" s="89">
        <v>45889</v>
      </c>
      <c r="C481" s="90" t="s">
        <v>1121</v>
      </c>
      <c r="D481" s="96">
        <v>18913</v>
      </c>
      <c r="E481" s="96">
        <v>0</v>
      </c>
    </row>
    <row r="482" spans="1:5" ht="16.5" customHeight="1" x14ac:dyDescent="0.25">
      <c r="A482" s="95">
        <v>477</v>
      </c>
      <c r="B482" s="89">
        <v>45890</v>
      </c>
      <c r="C482" s="90" t="s">
        <v>1122</v>
      </c>
      <c r="D482" s="96">
        <v>18800</v>
      </c>
      <c r="E482" s="96">
        <v>0</v>
      </c>
    </row>
    <row r="483" spans="1:5" ht="16.5" customHeight="1" x14ac:dyDescent="0.25">
      <c r="A483" s="95">
        <v>478</v>
      </c>
      <c r="B483" s="89">
        <v>45890</v>
      </c>
      <c r="C483" s="90" t="s">
        <v>1123</v>
      </c>
      <c r="D483" s="96">
        <v>29250</v>
      </c>
      <c r="E483" s="96">
        <v>0</v>
      </c>
    </row>
    <row r="484" spans="1:5" ht="16.5" customHeight="1" x14ac:dyDescent="0.25">
      <c r="A484" s="95">
        <v>479</v>
      </c>
      <c r="B484" s="89">
        <v>45890</v>
      </c>
      <c r="C484" s="90" t="s">
        <v>1124</v>
      </c>
      <c r="D484" s="96">
        <v>44449</v>
      </c>
      <c r="E484" s="96">
        <v>0</v>
      </c>
    </row>
    <row r="485" spans="1:5" ht="16.5" customHeight="1" x14ac:dyDescent="0.25">
      <c r="A485" s="95">
        <v>480</v>
      </c>
      <c r="B485" s="89">
        <v>45891</v>
      </c>
      <c r="C485" s="90" t="s">
        <v>1122</v>
      </c>
      <c r="D485" s="96">
        <v>0</v>
      </c>
      <c r="E485" s="96">
        <v>18800</v>
      </c>
    </row>
    <row r="486" spans="1:5" ht="16.5" customHeight="1" x14ac:dyDescent="0.25">
      <c r="A486" s="95">
        <v>481</v>
      </c>
      <c r="B486" s="89">
        <v>45891</v>
      </c>
      <c r="C486" s="90" t="s">
        <v>1125</v>
      </c>
      <c r="D486" s="96">
        <v>19900</v>
      </c>
      <c r="E486" s="96">
        <v>0</v>
      </c>
    </row>
    <row r="487" spans="1:5" ht="16.5" customHeight="1" x14ac:dyDescent="0.25">
      <c r="A487" s="95">
        <v>482</v>
      </c>
      <c r="B487" s="89">
        <v>45894</v>
      </c>
      <c r="C487" s="90" t="s">
        <v>1126</v>
      </c>
      <c r="D487" s="96">
        <v>5550</v>
      </c>
      <c r="E487" s="96">
        <v>0</v>
      </c>
    </row>
    <row r="488" spans="1:5" ht="16.5" customHeight="1" x14ac:dyDescent="0.25">
      <c r="A488" s="95">
        <v>483</v>
      </c>
      <c r="B488" s="89">
        <v>45894</v>
      </c>
      <c r="C488" s="90" t="s">
        <v>1127</v>
      </c>
      <c r="D488" s="96">
        <v>24000</v>
      </c>
      <c r="E488" s="96">
        <v>0</v>
      </c>
    </row>
    <row r="489" spans="1:5" ht="16.5" customHeight="1" x14ac:dyDescent="0.25">
      <c r="A489" s="95">
        <v>484</v>
      </c>
      <c r="B489" s="89">
        <v>45895</v>
      </c>
      <c r="C489" s="90" t="s">
        <v>1128</v>
      </c>
      <c r="D489" s="96">
        <v>50000</v>
      </c>
      <c r="E489" s="96">
        <v>0</v>
      </c>
    </row>
    <row r="490" spans="1:5" ht="16.5" customHeight="1" x14ac:dyDescent="0.25">
      <c r="A490" s="95">
        <v>485</v>
      </c>
      <c r="B490" s="89">
        <v>45895</v>
      </c>
      <c r="C490" s="90" t="s">
        <v>1129</v>
      </c>
      <c r="D490" s="96">
        <v>66150</v>
      </c>
      <c r="E490" s="96">
        <v>0</v>
      </c>
    </row>
    <row r="491" spans="1:5" ht="16.5" customHeight="1" x14ac:dyDescent="0.25">
      <c r="A491" s="95">
        <v>486</v>
      </c>
      <c r="B491" s="89">
        <v>45895</v>
      </c>
      <c r="C491" s="90" t="s">
        <v>1130</v>
      </c>
      <c r="D491" s="96">
        <v>48267</v>
      </c>
      <c r="E491" s="96">
        <v>0</v>
      </c>
    </row>
    <row r="492" spans="1:5" ht="16.5" customHeight="1" x14ac:dyDescent="0.25">
      <c r="A492" s="95">
        <v>487</v>
      </c>
      <c r="B492" s="89">
        <v>45897</v>
      </c>
      <c r="C492" s="90" t="s">
        <v>818</v>
      </c>
      <c r="D492" s="96">
        <v>58500</v>
      </c>
      <c r="E492" s="96">
        <v>0</v>
      </c>
    </row>
    <row r="493" spans="1:5" ht="16.5" customHeight="1" x14ac:dyDescent="0.25">
      <c r="A493" s="95">
        <v>488</v>
      </c>
      <c r="B493" s="89">
        <v>45897</v>
      </c>
      <c r="C493" s="90" t="s">
        <v>1131</v>
      </c>
      <c r="D493" s="96">
        <v>210000</v>
      </c>
      <c r="E493" s="96">
        <v>0</v>
      </c>
    </row>
    <row r="494" spans="1:5" ht="16.5" customHeight="1" x14ac:dyDescent="0.25">
      <c r="A494" s="95">
        <v>489</v>
      </c>
      <c r="B494" s="89">
        <v>45902</v>
      </c>
      <c r="C494" s="90" t="s">
        <v>1132</v>
      </c>
      <c r="D494" s="96">
        <v>8950</v>
      </c>
      <c r="E494" s="96">
        <v>0</v>
      </c>
    </row>
    <row r="495" spans="1:5" ht="16.5" customHeight="1" x14ac:dyDescent="0.25">
      <c r="A495" s="95">
        <v>490</v>
      </c>
      <c r="B495" s="89">
        <v>45902</v>
      </c>
      <c r="C495" s="90" t="s">
        <v>1133</v>
      </c>
      <c r="D495" s="96">
        <v>4475</v>
      </c>
      <c r="E495" s="96">
        <v>0</v>
      </c>
    </row>
    <row r="496" spans="1:5" ht="16.5" customHeight="1" x14ac:dyDescent="0.25">
      <c r="A496" s="95">
        <v>491</v>
      </c>
      <c r="B496" s="89">
        <v>45910</v>
      </c>
      <c r="C496" s="90" t="s">
        <v>764</v>
      </c>
      <c r="D496" s="96">
        <v>1000000</v>
      </c>
      <c r="E496" s="96">
        <v>0</v>
      </c>
    </row>
    <row r="497" spans="1:5" ht="16.5" customHeight="1" x14ac:dyDescent="0.25">
      <c r="A497" s="95">
        <v>492</v>
      </c>
      <c r="B497" s="89">
        <v>45910</v>
      </c>
      <c r="C497" s="90" t="s">
        <v>1134</v>
      </c>
      <c r="D497" s="96">
        <v>20700</v>
      </c>
      <c r="E497" s="96">
        <v>0</v>
      </c>
    </row>
    <row r="498" spans="1:5" ht="16.5" customHeight="1" x14ac:dyDescent="0.25">
      <c r="A498" s="95">
        <v>493</v>
      </c>
      <c r="B498" s="89">
        <v>45910</v>
      </c>
      <c r="C498" s="90" t="s">
        <v>1135</v>
      </c>
      <c r="D498" s="96">
        <v>362500</v>
      </c>
      <c r="E498" s="96">
        <v>0</v>
      </c>
    </row>
    <row r="499" spans="1:5" ht="16.5" customHeight="1" x14ac:dyDescent="0.25">
      <c r="A499" s="95">
        <v>494</v>
      </c>
      <c r="B499" s="89">
        <v>45911</v>
      </c>
      <c r="C499" s="90" t="s">
        <v>1136</v>
      </c>
      <c r="D499" s="96">
        <v>161915</v>
      </c>
      <c r="E499" s="96">
        <v>0</v>
      </c>
    </row>
    <row r="500" spans="1:5" ht="16.5" customHeight="1" x14ac:dyDescent="0.25">
      <c r="A500" s="95">
        <v>495</v>
      </c>
      <c r="B500" s="89">
        <v>45911</v>
      </c>
      <c r="C500" s="90" t="s">
        <v>1137</v>
      </c>
      <c r="D500" s="96">
        <v>27306</v>
      </c>
      <c r="E500" s="96">
        <v>0</v>
      </c>
    </row>
    <row r="501" spans="1:5" ht="16.5" customHeight="1" x14ac:dyDescent="0.25">
      <c r="A501" s="95">
        <v>496</v>
      </c>
      <c r="B501" s="89">
        <v>45911</v>
      </c>
      <c r="C501" s="90" t="s">
        <v>1138</v>
      </c>
      <c r="D501" s="96">
        <v>234730</v>
      </c>
      <c r="E501" s="96">
        <v>0</v>
      </c>
    </row>
    <row r="502" spans="1:5" ht="16.5" customHeight="1" x14ac:dyDescent="0.25">
      <c r="A502" s="95">
        <v>497</v>
      </c>
      <c r="B502" s="89">
        <v>45911</v>
      </c>
      <c r="C502" s="90" t="s">
        <v>1139</v>
      </c>
      <c r="D502" s="96">
        <v>158443</v>
      </c>
      <c r="E502" s="96">
        <v>0</v>
      </c>
    </row>
    <row r="503" spans="1:5" ht="16.5" customHeight="1" x14ac:dyDescent="0.25">
      <c r="A503" s="95">
        <v>498</v>
      </c>
      <c r="B503" s="89">
        <v>45912</v>
      </c>
      <c r="C503" s="90" t="s">
        <v>1140</v>
      </c>
      <c r="D503" s="96">
        <v>24115</v>
      </c>
      <c r="E503" s="96">
        <v>0</v>
      </c>
    </row>
    <row r="504" spans="1:5" ht="16.5" customHeight="1" x14ac:dyDescent="0.25">
      <c r="A504" s="95">
        <v>499</v>
      </c>
      <c r="B504" s="89">
        <v>45912</v>
      </c>
      <c r="C504" s="90" t="s">
        <v>1141</v>
      </c>
      <c r="D504" s="96">
        <v>401871</v>
      </c>
      <c r="E504" s="96">
        <v>0</v>
      </c>
    </row>
    <row r="505" spans="1:5" ht="16.5" customHeight="1" x14ac:dyDescent="0.25">
      <c r="A505" s="95">
        <v>500</v>
      </c>
      <c r="B505" s="89">
        <v>45912</v>
      </c>
      <c r="C505" s="90" t="s">
        <v>1142</v>
      </c>
      <c r="D505" s="96">
        <v>49176</v>
      </c>
      <c r="E505" s="96">
        <v>0</v>
      </c>
    </row>
    <row r="506" spans="1:5" ht="16.5" customHeight="1" x14ac:dyDescent="0.25">
      <c r="A506" s="95">
        <v>501</v>
      </c>
      <c r="B506" s="89">
        <v>45912</v>
      </c>
      <c r="C506" s="90" t="s">
        <v>1143</v>
      </c>
      <c r="D506" s="96">
        <v>416201</v>
      </c>
      <c r="E506" s="96">
        <v>0</v>
      </c>
    </row>
    <row r="507" spans="1:5" ht="16.5" customHeight="1" x14ac:dyDescent="0.25">
      <c r="A507" s="95">
        <v>502</v>
      </c>
      <c r="B507" s="89">
        <v>45912</v>
      </c>
      <c r="C507" s="90" t="s">
        <v>1144</v>
      </c>
      <c r="D507" s="96">
        <v>130500</v>
      </c>
      <c r="E507" s="96">
        <v>0</v>
      </c>
    </row>
    <row r="508" spans="1:5" ht="16.5" customHeight="1" x14ac:dyDescent="0.25">
      <c r="A508" s="95">
        <v>503</v>
      </c>
      <c r="B508" s="89">
        <v>45917</v>
      </c>
      <c r="C508" s="90" t="s">
        <v>1131</v>
      </c>
      <c r="D508" s="96">
        <v>210000</v>
      </c>
      <c r="E508" s="96">
        <v>0</v>
      </c>
    </row>
    <row r="509" spans="1:5" ht="16.5" customHeight="1" x14ac:dyDescent="0.25">
      <c r="A509" s="95">
        <v>504</v>
      </c>
      <c r="B509" s="89">
        <v>45917</v>
      </c>
      <c r="C509" s="90" t="s">
        <v>1145</v>
      </c>
      <c r="D509" s="96">
        <v>190000</v>
      </c>
      <c r="E509" s="96">
        <v>0</v>
      </c>
    </row>
    <row r="510" spans="1:5" ht="16.5" customHeight="1" x14ac:dyDescent="0.25">
      <c r="A510" s="95">
        <v>505</v>
      </c>
      <c r="B510" s="89">
        <v>45917</v>
      </c>
      <c r="C510" s="90" t="s">
        <v>861</v>
      </c>
      <c r="D510" s="96">
        <v>39000</v>
      </c>
      <c r="E510" s="96">
        <v>0</v>
      </c>
    </row>
    <row r="511" spans="1:5" ht="16.5" customHeight="1" x14ac:dyDescent="0.25">
      <c r="A511" s="95">
        <v>506</v>
      </c>
      <c r="B511" s="89">
        <v>45922</v>
      </c>
      <c r="C511" s="90" t="s">
        <v>1146</v>
      </c>
      <c r="D511" s="96">
        <v>418057</v>
      </c>
      <c r="E511" s="96">
        <v>0</v>
      </c>
    </row>
    <row r="512" spans="1:5" ht="16.5" customHeight="1" x14ac:dyDescent="0.25">
      <c r="A512" s="95">
        <v>507</v>
      </c>
      <c r="B512" s="89">
        <v>45922</v>
      </c>
      <c r="C512" s="90" t="s">
        <v>1147</v>
      </c>
      <c r="D512" s="96">
        <v>40180</v>
      </c>
      <c r="E512" s="96">
        <v>0</v>
      </c>
    </row>
    <row r="513" spans="1:5" ht="16.5" customHeight="1" x14ac:dyDescent="0.25">
      <c r="A513" s="95">
        <v>508</v>
      </c>
      <c r="B513" s="89">
        <v>45922</v>
      </c>
      <c r="C513" s="90" t="s">
        <v>1148</v>
      </c>
      <c r="D513" s="96">
        <v>65800</v>
      </c>
      <c r="E513" s="96">
        <v>0</v>
      </c>
    </row>
    <row r="514" spans="1:5" ht="16.5" customHeight="1" x14ac:dyDescent="0.25">
      <c r="A514" s="95">
        <v>509</v>
      </c>
      <c r="B514" s="89">
        <v>45924</v>
      </c>
      <c r="C514" s="90" t="s">
        <v>1149</v>
      </c>
      <c r="D514" s="96">
        <v>13500</v>
      </c>
      <c r="E514" s="96">
        <v>0</v>
      </c>
    </row>
    <row r="515" spans="1:5" ht="16.5" customHeight="1" x14ac:dyDescent="0.25">
      <c r="A515" s="95">
        <v>510</v>
      </c>
      <c r="B515" s="89">
        <v>45924</v>
      </c>
      <c r="C515" s="90" t="s">
        <v>1150</v>
      </c>
      <c r="D515" s="96">
        <v>1477</v>
      </c>
      <c r="E515" s="96">
        <v>0</v>
      </c>
    </row>
    <row r="516" spans="1:5" ht="16.5" customHeight="1" x14ac:dyDescent="0.25">
      <c r="A516" s="95">
        <v>511</v>
      </c>
      <c r="B516" s="89">
        <v>45924</v>
      </c>
      <c r="C516" s="90" t="s">
        <v>1151</v>
      </c>
      <c r="D516" s="96">
        <v>11866</v>
      </c>
      <c r="E516" s="96">
        <v>0</v>
      </c>
    </row>
    <row r="517" spans="1:5" ht="16.5" customHeight="1" x14ac:dyDescent="0.25">
      <c r="A517" s="95">
        <v>512</v>
      </c>
      <c r="B517" s="89">
        <v>45929</v>
      </c>
      <c r="C517" s="90" t="s">
        <v>1152</v>
      </c>
      <c r="D517" s="96">
        <v>16500</v>
      </c>
      <c r="E517" s="96">
        <v>0</v>
      </c>
    </row>
    <row r="518" spans="1:5" ht="16.5" customHeight="1" x14ac:dyDescent="0.25">
      <c r="A518" s="95">
        <v>513</v>
      </c>
      <c r="B518" s="89">
        <v>45930</v>
      </c>
      <c r="C518" s="90" t="s">
        <v>1153</v>
      </c>
      <c r="D518" s="96">
        <v>14000</v>
      </c>
      <c r="E518" s="96">
        <v>0</v>
      </c>
    </row>
    <row r="519" spans="1:5" ht="16.5" customHeight="1" x14ac:dyDescent="0.25">
      <c r="A519" s="95">
        <v>514</v>
      </c>
      <c r="B519" s="89">
        <v>45930</v>
      </c>
      <c r="C519" s="90" t="s">
        <v>1154</v>
      </c>
      <c r="D519" s="96">
        <v>19596</v>
      </c>
      <c r="E519" s="96">
        <v>0</v>
      </c>
    </row>
    <row r="520" spans="1:5" ht="16.5" customHeight="1" x14ac:dyDescent="0.25">
      <c r="A520" s="95">
        <v>515</v>
      </c>
      <c r="B520" s="89">
        <v>45931</v>
      </c>
      <c r="C520" s="90" t="s">
        <v>1155</v>
      </c>
      <c r="D520" s="96">
        <v>137000</v>
      </c>
      <c r="E520" s="96">
        <v>0</v>
      </c>
    </row>
    <row r="521" spans="1:5" ht="16.5" customHeight="1" x14ac:dyDescent="0.25">
      <c r="A521" s="95">
        <v>516</v>
      </c>
      <c r="B521" s="89">
        <v>45932</v>
      </c>
      <c r="C521" s="90" t="s">
        <v>1156</v>
      </c>
      <c r="D521" s="96">
        <v>24999</v>
      </c>
      <c r="E521" s="96">
        <v>0</v>
      </c>
    </row>
    <row r="522" spans="1:5" ht="16.5" customHeight="1" x14ac:dyDescent="0.25">
      <c r="A522" s="95">
        <v>517</v>
      </c>
      <c r="B522" s="89">
        <v>45933</v>
      </c>
      <c r="C522" s="90" t="s">
        <v>1157</v>
      </c>
      <c r="D522" s="96">
        <v>9700</v>
      </c>
      <c r="E522" s="96">
        <v>0</v>
      </c>
    </row>
    <row r="523" spans="1:5" ht="16.5" customHeight="1" x14ac:dyDescent="0.25">
      <c r="A523" s="95">
        <v>518</v>
      </c>
      <c r="B523" s="89">
        <v>45933</v>
      </c>
      <c r="C523" s="90" t="s">
        <v>1153</v>
      </c>
      <c r="D523" s="96">
        <v>0</v>
      </c>
      <c r="E523" s="96">
        <v>14000</v>
      </c>
    </row>
    <row r="524" spans="1:5" ht="16.5" customHeight="1" x14ac:dyDescent="0.25">
      <c r="A524" s="95">
        <v>519</v>
      </c>
      <c r="B524" s="89">
        <v>45933</v>
      </c>
      <c r="C524" s="90" t="s">
        <v>1158</v>
      </c>
      <c r="D524" s="96">
        <v>13000</v>
      </c>
      <c r="E524" s="96">
        <v>0</v>
      </c>
    </row>
    <row r="525" spans="1:5" ht="16.5" customHeight="1" x14ac:dyDescent="0.25">
      <c r="A525" s="95">
        <v>520</v>
      </c>
      <c r="B525" s="89">
        <v>45933</v>
      </c>
      <c r="C525" s="90" t="s">
        <v>1159</v>
      </c>
      <c r="D525" s="96">
        <v>3500</v>
      </c>
      <c r="E525" s="96">
        <v>0</v>
      </c>
    </row>
    <row r="526" spans="1:5" ht="16.5" customHeight="1" x14ac:dyDescent="0.25">
      <c r="A526" s="95">
        <v>521</v>
      </c>
      <c r="B526" s="89">
        <v>45933</v>
      </c>
      <c r="C526" s="90" t="s">
        <v>1160</v>
      </c>
      <c r="D526" s="96">
        <v>23100</v>
      </c>
      <c r="E526" s="96">
        <v>0</v>
      </c>
    </row>
    <row r="527" spans="1:5" ht="16.5" customHeight="1" x14ac:dyDescent="0.25">
      <c r="A527" s="95">
        <v>522</v>
      </c>
      <c r="B527" s="89">
        <v>45933</v>
      </c>
      <c r="C527" s="90" t="s">
        <v>1161</v>
      </c>
      <c r="D527" s="96">
        <v>39780</v>
      </c>
      <c r="E527" s="96">
        <v>0</v>
      </c>
    </row>
    <row r="528" spans="1:5" ht="16.5" customHeight="1" x14ac:dyDescent="0.25">
      <c r="A528" s="95">
        <v>523</v>
      </c>
      <c r="B528" s="89">
        <v>45936</v>
      </c>
      <c r="C528" s="90" t="s">
        <v>1162</v>
      </c>
      <c r="D528" s="96">
        <v>28500</v>
      </c>
      <c r="E528" s="96">
        <v>0</v>
      </c>
    </row>
    <row r="529" spans="1:5" ht="16.5" customHeight="1" x14ac:dyDescent="0.25">
      <c r="A529" s="95">
        <v>524</v>
      </c>
      <c r="B529" s="89">
        <v>45937</v>
      </c>
      <c r="C529" s="90" t="s">
        <v>1162</v>
      </c>
      <c r="D529" s="96">
        <v>0</v>
      </c>
      <c r="E529" s="96">
        <v>28500</v>
      </c>
    </row>
    <row r="530" spans="1:5" ht="16.5" customHeight="1" x14ac:dyDescent="0.25">
      <c r="A530" s="95">
        <v>525</v>
      </c>
      <c r="B530" s="89">
        <v>45937</v>
      </c>
      <c r="C530" s="90" t="s">
        <v>1163</v>
      </c>
      <c r="D530" s="96">
        <v>73300</v>
      </c>
      <c r="E530" s="96">
        <v>0</v>
      </c>
    </row>
    <row r="531" spans="1:5" ht="16.5" customHeight="1" x14ac:dyDescent="0.25">
      <c r="A531" s="95">
        <v>526</v>
      </c>
      <c r="B531" s="89">
        <v>45938</v>
      </c>
      <c r="C531" s="90" t="s">
        <v>1164</v>
      </c>
      <c r="D531" s="96">
        <v>33000</v>
      </c>
      <c r="E531" s="96">
        <v>0</v>
      </c>
    </row>
    <row r="532" spans="1:5" ht="16.5" customHeight="1" x14ac:dyDescent="0.25">
      <c r="A532" s="95">
        <v>527</v>
      </c>
      <c r="B532" s="89">
        <v>45938</v>
      </c>
      <c r="C532" s="90" t="s">
        <v>1165</v>
      </c>
      <c r="D532" s="96">
        <v>58050</v>
      </c>
      <c r="E532" s="96">
        <v>0</v>
      </c>
    </row>
    <row r="533" spans="1:5" ht="16.5" customHeight="1" x14ac:dyDescent="0.25">
      <c r="A533" s="95">
        <v>528</v>
      </c>
      <c r="B533" s="89">
        <v>45939</v>
      </c>
      <c r="C533" s="90" t="s">
        <v>1166</v>
      </c>
      <c r="D533" s="96">
        <v>96960</v>
      </c>
      <c r="E533" s="96">
        <v>0</v>
      </c>
    </row>
    <row r="534" spans="1:5" ht="16.5" customHeight="1" x14ac:dyDescent="0.25">
      <c r="A534" s="95">
        <v>529</v>
      </c>
      <c r="B534" s="89">
        <v>45939</v>
      </c>
      <c r="C534" s="90" t="s">
        <v>1167</v>
      </c>
      <c r="D534" s="96">
        <v>51300</v>
      </c>
      <c r="E534" s="96">
        <v>0</v>
      </c>
    </row>
    <row r="535" spans="1:5" ht="16.5" customHeight="1" x14ac:dyDescent="0.25">
      <c r="A535" s="95">
        <v>530</v>
      </c>
      <c r="B535" s="89">
        <v>45939</v>
      </c>
      <c r="C535" s="90" t="s">
        <v>1168</v>
      </c>
      <c r="D535" s="96">
        <v>53855</v>
      </c>
      <c r="E535" s="96">
        <v>0</v>
      </c>
    </row>
    <row r="536" spans="1:5" ht="16.5" customHeight="1" x14ac:dyDescent="0.25">
      <c r="A536" s="95">
        <v>531</v>
      </c>
      <c r="B536" s="89">
        <v>45939</v>
      </c>
      <c r="C536" s="90" t="s">
        <v>1169</v>
      </c>
      <c r="D536" s="96">
        <v>198813</v>
      </c>
      <c r="E536" s="96">
        <v>0</v>
      </c>
    </row>
    <row r="537" spans="1:5" ht="16.5" customHeight="1" x14ac:dyDescent="0.25">
      <c r="A537" s="95">
        <v>532</v>
      </c>
      <c r="B537" s="89">
        <v>45940</v>
      </c>
      <c r="C537" s="90" t="s">
        <v>1170</v>
      </c>
      <c r="D537" s="96">
        <v>51000</v>
      </c>
      <c r="E537" s="96">
        <v>0</v>
      </c>
    </row>
    <row r="538" spans="1:5" ht="16.5" customHeight="1" x14ac:dyDescent="0.25">
      <c r="A538" s="95">
        <v>533</v>
      </c>
      <c r="B538" s="89">
        <v>45941</v>
      </c>
      <c r="C538" s="90" t="s">
        <v>1049</v>
      </c>
      <c r="D538" s="96">
        <v>384615</v>
      </c>
      <c r="E538" s="96">
        <v>0</v>
      </c>
    </row>
    <row r="539" spans="1:5" ht="16.5" customHeight="1" x14ac:dyDescent="0.25">
      <c r="A539" s="95">
        <v>534</v>
      </c>
      <c r="B539" s="89">
        <v>45941</v>
      </c>
      <c r="C539" s="90" t="s">
        <v>1171</v>
      </c>
      <c r="D539" s="96">
        <v>13168</v>
      </c>
      <c r="E539" s="96">
        <v>0</v>
      </c>
    </row>
    <row r="540" spans="1:5" ht="16.5" customHeight="1" x14ac:dyDescent="0.25">
      <c r="A540" s="95">
        <v>535</v>
      </c>
      <c r="B540" s="89">
        <v>45941</v>
      </c>
      <c r="C540" s="90" t="s">
        <v>1172</v>
      </c>
      <c r="D540" s="96">
        <v>283360</v>
      </c>
      <c r="E540" s="96">
        <v>0</v>
      </c>
    </row>
    <row r="541" spans="1:5" ht="16.5" customHeight="1" x14ac:dyDescent="0.25">
      <c r="A541" s="95">
        <v>536</v>
      </c>
      <c r="B541" s="89">
        <v>45943</v>
      </c>
      <c r="C541" s="90" t="s">
        <v>1173</v>
      </c>
      <c r="D541" s="96">
        <v>11350</v>
      </c>
      <c r="E541" s="96">
        <v>0</v>
      </c>
    </row>
    <row r="542" spans="1:5" ht="16.5" customHeight="1" x14ac:dyDescent="0.25">
      <c r="A542" s="95">
        <v>537</v>
      </c>
      <c r="B542" s="89">
        <v>45943</v>
      </c>
      <c r="C542" s="90" t="s">
        <v>1174</v>
      </c>
      <c r="D542" s="96">
        <v>16320</v>
      </c>
      <c r="E542" s="96">
        <v>0</v>
      </c>
    </row>
    <row r="543" spans="1:5" ht="16.5" customHeight="1" x14ac:dyDescent="0.25">
      <c r="A543" s="95">
        <v>538</v>
      </c>
      <c r="B543" s="89">
        <v>45943</v>
      </c>
      <c r="C543" s="90" t="s">
        <v>1175</v>
      </c>
      <c r="D543" s="96">
        <v>7448</v>
      </c>
      <c r="E543" s="96">
        <v>0</v>
      </c>
    </row>
    <row r="544" spans="1:5" ht="16.5" customHeight="1" x14ac:dyDescent="0.25">
      <c r="A544" s="95">
        <v>539</v>
      </c>
      <c r="B544" s="89">
        <v>45943</v>
      </c>
      <c r="C544" s="90" t="s">
        <v>1176</v>
      </c>
      <c r="D544" s="96">
        <v>27705</v>
      </c>
      <c r="E544" s="96">
        <v>0</v>
      </c>
    </row>
    <row r="545" spans="1:5" ht="16.5" customHeight="1" x14ac:dyDescent="0.25">
      <c r="A545" s="95">
        <v>540</v>
      </c>
      <c r="B545" s="89">
        <v>45945</v>
      </c>
      <c r="C545" s="90" t="s">
        <v>1177</v>
      </c>
      <c r="D545" s="96">
        <v>0</v>
      </c>
      <c r="E545" s="96">
        <v>85546</v>
      </c>
    </row>
    <row r="546" spans="1:5" ht="16.5" customHeight="1" x14ac:dyDescent="0.25">
      <c r="A546" s="95">
        <v>541</v>
      </c>
      <c r="B546" s="89">
        <v>45945</v>
      </c>
      <c r="C546" s="90" t="s">
        <v>1168</v>
      </c>
      <c r="D546" s="96">
        <v>0</v>
      </c>
      <c r="E546" s="96">
        <v>54207</v>
      </c>
    </row>
    <row r="547" spans="1:5" ht="16.5" customHeight="1" x14ac:dyDescent="0.25">
      <c r="A547" s="95">
        <v>542</v>
      </c>
      <c r="B547" s="89">
        <v>45946</v>
      </c>
      <c r="C547" s="90" t="s">
        <v>1178</v>
      </c>
      <c r="D547" s="96">
        <v>19000</v>
      </c>
      <c r="E547" s="96">
        <v>0</v>
      </c>
    </row>
    <row r="548" spans="1:5" ht="16.5" customHeight="1" x14ac:dyDescent="0.25">
      <c r="A548" s="95">
        <v>543</v>
      </c>
      <c r="B548" s="89">
        <v>45946</v>
      </c>
      <c r="C548" s="90" t="s">
        <v>861</v>
      </c>
      <c r="D548" s="96">
        <v>58500</v>
      </c>
      <c r="E548" s="96">
        <v>0</v>
      </c>
    </row>
    <row r="549" spans="1:5" ht="16.5" customHeight="1" x14ac:dyDescent="0.25">
      <c r="A549" s="95">
        <v>544</v>
      </c>
      <c r="B549" s="89">
        <v>45946</v>
      </c>
      <c r="C549" s="90" t="s">
        <v>1179</v>
      </c>
      <c r="D549" s="96">
        <v>105000</v>
      </c>
      <c r="E549" s="96">
        <v>0</v>
      </c>
    </row>
    <row r="550" spans="1:5" ht="16.5" customHeight="1" x14ac:dyDescent="0.25">
      <c r="A550" s="95">
        <v>545</v>
      </c>
      <c r="B550" s="89">
        <v>45947</v>
      </c>
      <c r="C550" s="90" t="s">
        <v>1180</v>
      </c>
      <c r="D550" s="96">
        <v>79283</v>
      </c>
      <c r="E550" s="96">
        <v>0</v>
      </c>
    </row>
    <row r="551" spans="1:5" ht="16.5" customHeight="1" x14ac:dyDescent="0.25">
      <c r="A551" s="95">
        <v>546</v>
      </c>
      <c r="B551" s="89">
        <v>45948</v>
      </c>
      <c r="C551" s="90" t="s">
        <v>1181</v>
      </c>
      <c r="D551" s="96">
        <v>66750</v>
      </c>
      <c r="E551" s="96">
        <v>0</v>
      </c>
    </row>
    <row r="552" spans="1:5" ht="16.5" customHeight="1" x14ac:dyDescent="0.25">
      <c r="A552" s="95">
        <v>547</v>
      </c>
      <c r="B552" s="89">
        <v>45950</v>
      </c>
      <c r="C552" s="90" t="s">
        <v>1182</v>
      </c>
      <c r="D552" s="96">
        <v>375062</v>
      </c>
      <c r="E552" s="96">
        <v>0</v>
      </c>
    </row>
    <row r="553" spans="1:5" ht="16.5" customHeight="1" x14ac:dyDescent="0.25">
      <c r="A553" s="95">
        <v>548</v>
      </c>
      <c r="B553" s="89">
        <v>45950</v>
      </c>
      <c r="C553" s="90" t="s">
        <v>1183</v>
      </c>
      <c r="D553" s="96">
        <v>5130</v>
      </c>
      <c r="E553" s="96">
        <v>0</v>
      </c>
    </row>
    <row r="554" spans="1:5" ht="16.5" customHeight="1" x14ac:dyDescent="0.25">
      <c r="A554" s="95">
        <v>549</v>
      </c>
      <c r="B554" s="89">
        <v>45955</v>
      </c>
      <c r="C554" s="90" t="s">
        <v>1184</v>
      </c>
      <c r="D554" s="96">
        <v>251322</v>
      </c>
      <c r="E554" s="96">
        <v>0</v>
      </c>
    </row>
    <row r="555" spans="1:5" ht="16.5" customHeight="1" x14ac:dyDescent="0.25">
      <c r="A555" s="95">
        <v>550</v>
      </c>
      <c r="B555" s="89">
        <v>45955</v>
      </c>
      <c r="C555" s="90" t="s">
        <v>1185</v>
      </c>
      <c r="D555" s="96">
        <v>6797</v>
      </c>
      <c r="E555" s="96">
        <v>0</v>
      </c>
    </row>
    <row r="556" spans="1:5" ht="16.5" customHeight="1" x14ac:dyDescent="0.25">
      <c r="A556" s="95">
        <v>551</v>
      </c>
      <c r="B556" s="89">
        <v>45955</v>
      </c>
      <c r="C556" s="90" t="s">
        <v>1186</v>
      </c>
      <c r="D556" s="96">
        <v>87039</v>
      </c>
      <c r="E556" s="96">
        <v>0</v>
      </c>
    </row>
    <row r="557" spans="1:5" ht="16.5" customHeight="1" x14ac:dyDescent="0.25">
      <c r="A557" s="95">
        <v>552</v>
      </c>
      <c r="B557" s="89">
        <v>45957</v>
      </c>
      <c r="C557" s="90" t="s">
        <v>1187</v>
      </c>
      <c r="D557" s="96">
        <v>11000</v>
      </c>
      <c r="E557" s="96">
        <v>0</v>
      </c>
    </row>
    <row r="558" spans="1:5" ht="16.5" customHeight="1" x14ac:dyDescent="0.25">
      <c r="A558" s="95">
        <v>553</v>
      </c>
      <c r="B558" s="89">
        <v>45957</v>
      </c>
      <c r="C558" s="90" t="s">
        <v>1188</v>
      </c>
      <c r="D558" s="96">
        <v>506400</v>
      </c>
      <c r="E558" s="96">
        <v>0</v>
      </c>
    </row>
    <row r="559" spans="1:5" ht="16.5" customHeight="1" x14ac:dyDescent="0.25">
      <c r="A559" s="95">
        <v>554</v>
      </c>
      <c r="B559" s="89">
        <v>45958</v>
      </c>
      <c r="C559" s="90" t="s">
        <v>1189</v>
      </c>
      <c r="D559" s="96">
        <v>79000</v>
      </c>
      <c r="E559" s="96">
        <v>0</v>
      </c>
    </row>
    <row r="560" spans="1:5" ht="16.5" customHeight="1" x14ac:dyDescent="0.25">
      <c r="A560" s="95">
        <v>555</v>
      </c>
      <c r="B560" s="89">
        <v>45958</v>
      </c>
      <c r="C560" s="90" t="s">
        <v>1190</v>
      </c>
      <c r="D560" s="96">
        <v>122397</v>
      </c>
      <c r="E560" s="96">
        <v>0</v>
      </c>
    </row>
    <row r="561" spans="1:5" ht="16.5" customHeight="1" x14ac:dyDescent="0.25">
      <c r="A561" s="95">
        <v>556</v>
      </c>
      <c r="B561" s="89">
        <v>45958</v>
      </c>
      <c r="C561" s="90" t="s">
        <v>1191</v>
      </c>
      <c r="D561" s="96">
        <v>147000</v>
      </c>
      <c r="E561" s="96">
        <v>0</v>
      </c>
    </row>
    <row r="562" spans="1:5" ht="16.5" customHeight="1" x14ac:dyDescent="0.25">
      <c r="A562" s="95">
        <v>557</v>
      </c>
      <c r="B562" s="89">
        <v>45958</v>
      </c>
      <c r="C562" s="90" t="s">
        <v>1192</v>
      </c>
      <c r="D562" s="96">
        <v>226800</v>
      </c>
      <c r="E562" s="96">
        <v>0</v>
      </c>
    </row>
    <row r="563" spans="1:5" ht="16.5" customHeight="1" x14ac:dyDescent="0.25">
      <c r="A563" s="95">
        <v>558</v>
      </c>
      <c r="B563" s="89">
        <v>45960</v>
      </c>
      <c r="C563" s="90" t="s">
        <v>1193</v>
      </c>
      <c r="D563" s="96">
        <v>31000</v>
      </c>
      <c r="E563" s="96">
        <v>0</v>
      </c>
    </row>
    <row r="564" spans="1:5" ht="16.5" customHeight="1" x14ac:dyDescent="0.25">
      <c r="A564" s="95">
        <v>559</v>
      </c>
      <c r="B564" s="89">
        <v>45960</v>
      </c>
      <c r="C564" s="90" t="s">
        <v>1194</v>
      </c>
      <c r="D564" s="96">
        <v>290000</v>
      </c>
      <c r="E564" s="96">
        <v>0</v>
      </c>
    </row>
    <row r="565" spans="1:5" ht="16.5" customHeight="1" x14ac:dyDescent="0.25">
      <c r="A565" s="95">
        <v>560</v>
      </c>
      <c r="B565" s="89">
        <v>45961</v>
      </c>
      <c r="C565" s="90" t="s">
        <v>1195</v>
      </c>
      <c r="D565" s="96">
        <v>195000</v>
      </c>
      <c r="E565" s="96">
        <v>0</v>
      </c>
    </row>
    <row r="566" spans="1:5" ht="16.5" customHeight="1" x14ac:dyDescent="0.25">
      <c r="A566" s="95">
        <v>561</v>
      </c>
      <c r="B566" s="89">
        <v>45964</v>
      </c>
      <c r="C566" s="90" t="s">
        <v>1196</v>
      </c>
      <c r="D566" s="96">
        <v>365796</v>
      </c>
      <c r="E566" s="96">
        <v>0</v>
      </c>
    </row>
    <row r="567" spans="1:5" ht="16.5" customHeight="1" x14ac:dyDescent="0.25">
      <c r="A567" s="95">
        <v>562</v>
      </c>
      <c r="B567" s="89">
        <v>45967</v>
      </c>
      <c r="C567" s="90" t="s">
        <v>1197</v>
      </c>
      <c r="D567" s="96">
        <v>24000</v>
      </c>
      <c r="E567" s="96">
        <v>0</v>
      </c>
    </row>
    <row r="568" spans="1:5" ht="16.5" customHeight="1" x14ac:dyDescent="0.25">
      <c r="A568" s="95">
        <v>563</v>
      </c>
      <c r="B568" s="89">
        <v>45971</v>
      </c>
      <c r="C568" s="90" t="s">
        <v>1131</v>
      </c>
      <c r="D568" s="96">
        <v>210000</v>
      </c>
      <c r="E568" s="96">
        <v>0</v>
      </c>
    </row>
    <row r="569" spans="1:5" ht="16.5" customHeight="1" x14ac:dyDescent="0.25">
      <c r="A569" s="95">
        <v>564</v>
      </c>
      <c r="B569" s="89">
        <v>45971</v>
      </c>
      <c r="C569" s="90" t="s">
        <v>1145</v>
      </c>
      <c r="D569" s="96">
        <v>190000</v>
      </c>
      <c r="E569" s="96">
        <v>0</v>
      </c>
    </row>
    <row r="570" spans="1:5" ht="16.5" customHeight="1" x14ac:dyDescent="0.25">
      <c r="A570" s="95">
        <v>565</v>
      </c>
      <c r="B570" s="89">
        <v>45971</v>
      </c>
      <c r="C570" s="90" t="s">
        <v>861</v>
      </c>
      <c r="D570" s="96">
        <v>39000</v>
      </c>
      <c r="E570" s="96">
        <v>0</v>
      </c>
    </row>
    <row r="571" spans="1:5" ht="16.5" customHeight="1" x14ac:dyDescent="0.25">
      <c r="A571" s="95">
        <v>566</v>
      </c>
      <c r="B571" s="89">
        <v>45972</v>
      </c>
      <c r="C571" s="90" t="s">
        <v>1198</v>
      </c>
      <c r="D571" s="96">
        <v>5997</v>
      </c>
      <c r="E571" s="96">
        <v>0</v>
      </c>
    </row>
    <row r="572" spans="1:5" ht="16.5" customHeight="1" x14ac:dyDescent="0.25">
      <c r="A572" s="95">
        <v>567</v>
      </c>
      <c r="B572" s="89">
        <v>45973</v>
      </c>
      <c r="C572" s="90" t="s">
        <v>1199</v>
      </c>
      <c r="D572" s="96">
        <v>1000000</v>
      </c>
      <c r="E572" s="96">
        <v>0</v>
      </c>
    </row>
    <row r="573" spans="1:5" ht="16.5" customHeight="1" x14ac:dyDescent="0.25">
      <c r="A573" s="95">
        <v>568</v>
      </c>
      <c r="B573" s="89">
        <v>45975</v>
      </c>
      <c r="C573" s="90" t="s">
        <v>1200</v>
      </c>
      <c r="D573" s="96">
        <v>5000</v>
      </c>
      <c r="E573" s="96">
        <v>0</v>
      </c>
    </row>
    <row r="574" spans="1:5" ht="16.5" customHeight="1" x14ac:dyDescent="0.25">
      <c r="A574" s="95">
        <v>569</v>
      </c>
      <c r="B574" s="89">
        <v>45975</v>
      </c>
      <c r="C574" s="90" t="s">
        <v>1201</v>
      </c>
      <c r="D574" s="96">
        <v>138000</v>
      </c>
      <c r="E574" s="96">
        <v>0</v>
      </c>
    </row>
    <row r="575" spans="1:5" ht="16.5" customHeight="1" x14ac:dyDescent="0.25">
      <c r="A575" s="95">
        <v>570</v>
      </c>
      <c r="B575" s="89">
        <v>45976</v>
      </c>
      <c r="C575" s="90" t="s">
        <v>1202</v>
      </c>
      <c r="D575" s="96">
        <v>281585</v>
      </c>
      <c r="E575" s="96">
        <v>0</v>
      </c>
    </row>
    <row r="576" spans="1:5" ht="16.5" customHeight="1" x14ac:dyDescent="0.25">
      <c r="A576" s="95">
        <v>571</v>
      </c>
      <c r="B576" s="89">
        <v>45976</v>
      </c>
      <c r="C576" s="90" t="s">
        <v>1203</v>
      </c>
      <c r="D576" s="96">
        <v>541890</v>
      </c>
      <c r="E576" s="96">
        <v>0</v>
      </c>
    </row>
    <row r="577" spans="1:5" ht="16.5" customHeight="1" x14ac:dyDescent="0.25">
      <c r="A577" s="95">
        <v>572</v>
      </c>
      <c r="B577" s="89">
        <v>45976</v>
      </c>
      <c r="C577" s="90" t="s">
        <v>986</v>
      </c>
      <c r="D577" s="96">
        <v>90000</v>
      </c>
      <c r="E577" s="96">
        <v>0</v>
      </c>
    </row>
    <row r="578" spans="1:5" ht="16.5" customHeight="1" x14ac:dyDescent="0.25">
      <c r="A578" s="95">
        <v>573</v>
      </c>
      <c r="B578" s="89">
        <v>45976</v>
      </c>
      <c r="C578" s="90" t="s">
        <v>1204</v>
      </c>
      <c r="D578" s="96">
        <v>167442</v>
      </c>
      <c r="E578" s="96">
        <v>0</v>
      </c>
    </row>
    <row r="579" spans="1:5" ht="16.5" customHeight="1" x14ac:dyDescent="0.25">
      <c r="A579" s="95">
        <v>574</v>
      </c>
      <c r="B579" s="89">
        <v>45976</v>
      </c>
      <c r="C579" s="90" t="s">
        <v>1205</v>
      </c>
      <c r="D579" s="96">
        <v>49231</v>
      </c>
      <c r="E579" s="96">
        <v>0</v>
      </c>
    </row>
    <row r="580" spans="1:5" ht="16.5" customHeight="1" x14ac:dyDescent="0.25">
      <c r="A580" s="95">
        <v>575</v>
      </c>
      <c r="B580" s="89">
        <v>45978</v>
      </c>
      <c r="C580" s="90" t="s">
        <v>1206</v>
      </c>
      <c r="D580" s="96">
        <v>29900</v>
      </c>
      <c r="E580" s="96">
        <v>0</v>
      </c>
    </row>
    <row r="581" spans="1:5" ht="16.5" customHeight="1" x14ac:dyDescent="0.25">
      <c r="A581" s="95">
        <v>576</v>
      </c>
      <c r="B581" s="89">
        <v>45979</v>
      </c>
      <c r="C581" s="90" t="s">
        <v>1207</v>
      </c>
      <c r="D581" s="96">
        <v>5640</v>
      </c>
      <c r="E581" s="96">
        <v>0</v>
      </c>
    </row>
    <row r="582" spans="1:5" ht="16.5" customHeight="1" x14ac:dyDescent="0.25">
      <c r="A582" s="95">
        <v>577</v>
      </c>
      <c r="B582" s="89">
        <v>45979</v>
      </c>
      <c r="C582" s="90" t="s">
        <v>1208</v>
      </c>
      <c r="D582" s="96">
        <v>897000</v>
      </c>
      <c r="E582" s="96">
        <v>0</v>
      </c>
    </row>
    <row r="583" spans="1:5" ht="16.5" customHeight="1" x14ac:dyDescent="0.25">
      <c r="A583" s="95">
        <v>578</v>
      </c>
      <c r="B583" s="89">
        <v>45979</v>
      </c>
      <c r="C583" s="90" t="s">
        <v>1209</v>
      </c>
      <c r="D583" s="96">
        <v>71130</v>
      </c>
      <c r="E583" s="96">
        <v>0</v>
      </c>
    </row>
    <row r="584" spans="1:5" ht="16.5" customHeight="1" x14ac:dyDescent="0.25">
      <c r="A584" s="95">
        <v>579</v>
      </c>
      <c r="B584" s="89">
        <v>45981</v>
      </c>
      <c r="C584" s="90" t="s">
        <v>1210</v>
      </c>
      <c r="D584" s="96">
        <v>5200</v>
      </c>
      <c r="E584" s="96">
        <v>0</v>
      </c>
    </row>
    <row r="585" spans="1:5" ht="16.5" customHeight="1" x14ac:dyDescent="0.25">
      <c r="A585" s="95">
        <v>580</v>
      </c>
      <c r="B585" s="89">
        <v>45982</v>
      </c>
      <c r="C585" s="90" t="s">
        <v>1211</v>
      </c>
      <c r="D585" s="96">
        <v>18417</v>
      </c>
      <c r="E585" s="96">
        <v>0</v>
      </c>
    </row>
    <row r="586" spans="1:5" ht="16.5" customHeight="1" x14ac:dyDescent="0.25">
      <c r="A586" s="95">
        <v>581</v>
      </c>
      <c r="B586" s="89">
        <v>45982</v>
      </c>
      <c r="C586" s="90" t="s">
        <v>1212</v>
      </c>
      <c r="D586" s="96">
        <v>391999</v>
      </c>
      <c r="E586" s="96">
        <v>0</v>
      </c>
    </row>
    <row r="587" spans="1:5" ht="16.5" customHeight="1" x14ac:dyDescent="0.25">
      <c r="A587" s="95">
        <v>582</v>
      </c>
      <c r="B587" s="89">
        <v>45982</v>
      </c>
      <c r="C587" s="90" t="s">
        <v>1213</v>
      </c>
      <c r="D587" s="96">
        <v>28890</v>
      </c>
      <c r="E587" s="96">
        <v>0</v>
      </c>
    </row>
    <row r="588" spans="1:5" ht="16.5" customHeight="1" x14ac:dyDescent="0.25">
      <c r="A588" s="95">
        <v>583</v>
      </c>
      <c r="B588" s="89">
        <v>45982</v>
      </c>
      <c r="C588" s="90" t="s">
        <v>1214</v>
      </c>
      <c r="D588" s="96">
        <v>34984</v>
      </c>
      <c r="E588" s="96">
        <v>0</v>
      </c>
    </row>
    <row r="589" spans="1:5" ht="16.5" customHeight="1" x14ac:dyDescent="0.25">
      <c r="A589" s="95">
        <v>584</v>
      </c>
      <c r="B589" s="89">
        <v>45983</v>
      </c>
      <c r="C589" s="90" t="s">
        <v>1215</v>
      </c>
      <c r="D589" s="96">
        <v>255300</v>
      </c>
      <c r="E589" s="96">
        <v>0</v>
      </c>
    </row>
    <row r="590" spans="1:5" ht="16.5" customHeight="1" x14ac:dyDescent="0.25">
      <c r="A590" s="95">
        <v>585</v>
      </c>
      <c r="B590" s="89">
        <v>45983</v>
      </c>
      <c r="C590" s="90" t="s">
        <v>1216</v>
      </c>
      <c r="D590" s="96">
        <v>400000</v>
      </c>
      <c r="E590" s="96">
        <v>0</v>
      </c>
    </row>
    <row r="591" spans="1:5" ht="16.5" customHeight="1" x14ac:dyDescent="0.25">
      <c r="A591" s="95">
        <v>586</v>
      </c>
      <c r="B591" s="89">
        <v>45983</v>
      </c>
      <c r="C591" s="90" t="s">
        <v>1217</v>
      </c>
      <c r="D591" s="96">
        <v>4057500</v>
      </c>
      <c r="E591" s="96">
        <v>0</v>
      </c>
    </row>
    <row r="592" spans="1:5" ht="16.5" customHeight="1" x14ac:dyDescent="0.25">
      <c r="A592" s="95">
        <v>587</v>
      </c>
      <c r="B592" s="89">
        <v>45983</v>
      </c>
      <c r="C592" s="90" t="s">
        <v>1218</v>
      </c>
      <c r="D592" s="96">
        <v>136160</v>
      </c>
      <c r="E592" s="96">
        <v>0</v>
      </c>
    </row>
    <row r="593" spans="1:5" ht="16.5" customHeight="1" x14ac:dyDescent="0.25">
      <c r="A593" s="95">
        <v>588</v>
      </c>
      <c r="B593" s="89">
        <v>45983</v>
      </c>
      <c r="C593" s="90" t="s">
        <v>1219</v>
      </c>
      <c r="D593" s="96">
        <v>7900</v>
      </c>
      <c r="E593" s="96">
        <v>0</v>
      </c>
    </row>
    <row r="594" spans="1:5" ht="16.5" customHeight="1" x14ac:dyDescent="0.25">
      <c r="A594" s="95">
        <v>589</v>
      </c>
      <c r="B594" s="89">
        <v>45986</v>
      </c>
      <c r="C594" s="90" t="s">
        <v>1220</v>
      </c>
      <c r="D594" s="96">
        <v>124704</v>
      </c>
      <c r="E594" s="96">
        <v>0</v>
      </c>
    </row>
    <row r="595" spans="1:5" ht="16.5" customHeight="1" x14ac:dyDescent="0.25">
      <c r="A595" s="95">
        <v>590</v>
      </c>
      <c r="B595" s="89">
        <v>45986</v>
      </c>
      <c r="C595" s="90" t="s">
        <v>1221</v>
      </c>
      <c r="D595" s="96">
        <v>9576</v>
      </c>
      <c r="E595" s="96">
        <v>0</v>
      </c>
    </row>
    <row r="596" spans="1:5" ht="16.5" customHeight="1" x14ac:dyDescent="0.25">
      <c r="A596" s="95">
        <v>591</v>
      </c>
      <c r="B596" s="89">
        <v>45988</v>
      </c>
      <c r="C596" s="90" t="s">
        <v>1222</v>
      </c>
      <c r="D596" s="96">
        <v>82080</v>
      </c>
      <c r="E596" s="96">
        <v>0</v>
      </c>
    </row>
    <row r="597" spans="1:5" ht="16.5" customHeight="1" x14ac:dyDescent="0.25">
      <c r="A597" s="95">
        <v>592</v>
      </c>
      <c r="B597" s="89">
        <v>45988</v>
      </c>
      <c r="C597" s="90" t="s">
        <v>1223</v>
      </c>
      <c r="D597" s="96">
        <v>6750</v>
      </c>
      <c r="E597" s="96">
        <v>0</v>
      </c>
    </row>
    <row r="598" spans="1:5" ht="16.5" customHeight="1" x14ac:dyDescent="0.25">
      <c r="A598" s="95">
        <v>593</v>
      </c>
      <c r="B598" s="89">
        <v>45988</v>
      </c>
      <c r="C598" s="90" t="s">
        <v>1224</v>
      </c>
      <c r="D598" s="96">
        <v>897300</v>
      </c>
      <c r="E598" s="96">
        <v>0</v>
      </c>
    </row>
    <row r="599" spans="1:5" ht="16.5" customHeight="1" x14ac:dyDescent="0.25">
      <c r="A599" s="95">
        <v>594</v>
      </c>
      <c r="B599" s="89">
        <v>45988</v>
      </c>
      <c r="C599" s="90" t="s">
        <v>1225</v>
      </c>
      <c r="D599" s="96">
        <v>9126</v>
      </c>
      <c r="E599" s="96">
        <v>0</v>
      </c>
    </row>
    <row r="600" spans="1:5" ht="16.5" customHeight="1" x14ac:dyDescent="0.25">
      <c r="A600" s="95">
        <v>595</v>
      </c>
      <c r="B600" s="89">
        <v>45988</v>
      </c>
      <c r="C600" s="90" t="s">
        <v>1208</v>
      </c>
      <c r="D600" s="96">
        <v>0</v>
      </c>
      <c r="E600" s="96">
        <v>897000</v>
      </c>
    </row>
    <row r="601" spans="1:5" ht="16.5" customHeight="1" x14ac:dyDescent="0.25">
      <c r="A601" s="95">
        <v>596</v>
      </c>
      <c r="B601" s="89">
        <v>45989</v>
      </c>
      <c r="C601" s="90" t="s">
        <v>987</v>
      </c>
      <c r="D601" s="96">
        <v>305000</v>
      </c>
      <c r="E601" s="96">
        <v>0</v>
      </c>
    </row>
    <row r="602" spans="1:5" ht="16.5" customHeight="1" x14ac:dyDescent="0.25">
      <c r="A602" s="95">
        <v>597</v>
      </c>
      <c r="B602" s="89">
        <v>45989</v>
      </c>
      <c r="C602" s="90" t="s">
        <v>818</v>
      </c>
      <c r="D602" s="96">
        <v>58500</v>
      </c>
      <c r="E602" s="96">
        <v>0</v>
      </c>
    </row>
    <row r="603" spans="1:5" ht="16.5" customHeight="1" x14ac:dyDescent="0.25">
      <c r="A603" s="95">
        <v>598</v>
      </c>
      <c r="B603" s="89">
        <v>45989</v>
      </c>
      <c r="C603" s="90" t="s">
        <v>1226</v>
      </c>
      <c r="D603" s="96">
        <v>84600</v>
      </c>
      <c r="E603" s="96">
        <v>0</v>
      </c>
    </row>
    <row r="604" spans="1:5" ht="16.5" customHeight="1" x14ac:dyDescent="0.25">
      <c r="A604" s="95">
        <v>599</v>
      </c>
      <c r="B604" s="89">
        <v>45990</v>
      </c>
      <c r="C604" s="90" t="s">
        <v>764</v>
      </c>
      <c r="D604" s="96">
        <v>1000000</v>
      </c>
      <c r="E604" s="96">
        <v>0</v>
      </c>
    </row>
    <row r="605" spans="1:5" ht="16.5" customHeight="1" x14ac:dyDescent="0.25">
      <c r="A605" s="95">
        <v>600</v>
      </c>
      <c r="B605" s="89">
        <v>45993</v>
      </c>
      <c r="C605" s="90" t="s">
        <v>1227</v>
      </c>
      <c r="D605" s="96">
        <v>11123</v>
      </c>
      <c r="E605" s="96">
        <v>0</v>
      </c>
    </row>
    <row r="606" spans="1:5" ht="16.5" customHeight="1" x14ac:dyDescent="0.25">
      <c r="A606" s="95">
        <v>601</v>
      </c>
      <c r="B606" s="89">
        <v>45993</v>
      </c>
      <c r="C606" s="90" t="s">
        <v>1228</v>
      </c>
      <c r="D606" s="96">
        <v>16000</v>
      </c>
      <c r="E606" s="96">
        <v>0</v>
      </c>
    </row>
    <row r="607" spans="1:5" ht="16.5" customHeight="1" x14ac:dyDescent="0.25">
      <c r="A607" s="95">
        <v>602</v>
      </c>
      <c r="B607" s="89">
        <v>45993</v>
      </c>
      <c r="C607" s="90" t="s">
        <v>1229</v>
      </c>
      <c r="D607" s="96">
        <v>8399</v>
      </c>
      <c r="E607" s="96">
        <v>0</v>
      </c>
    </row>
    <row r="608" spans="1:5" ht="16.5" customHeight="1" x14ac:dyDescent="0.25">
      <c r="A608" s="95">
        <v>603</v>
      </c>
      <c r="B608" s="89">
        <v>45994</v>
      </c>
      <c r="C608" s="90" t="s">
        <v>1230</v>
      </c>
      <c r="D608" s="96">
        <v>162500</v>
      </c>
      <c r="E608" s="96">
        <v>0</v>
      </c>
    </row>
    <row r="609" spans="1:5" ht="16.5" customHeight="1" x14ac:dyDescent="0.25">
      <c r="A609" s="95">
        <v>604</v>
      </c>
      <c r="B609" s="89">
        <v>45994</v>
      </c>
      <c r="C609" s="90" t="s">
        <v>1231</v>
      </c>
      <c r="D609" s="96">
        <v>26000</v>
      </c>
      <c r="E609" s="96">
        <v>0</v>
      </c>
    </row>
    <row r="610" spans="1:5" ht="16.5" customHeight="1" x14ac:dyDescent="0.25">
      <c r="A610" s="95">
        <v>605</v>
      </c>
      <c r="B610" s="89">
        <v>45994</v>
      </c>
      <c r="C610" s="90" t="s">
        <v>1232</v>
      </c>
      <c r="D610" s="96">
        <v>29500</v>
      </c>
      <c r="E610" s="96">
        <v>0</v>
      </c>
    </row>
    <row r="611" spans="1:5" ht="16.5" customHeight="1" x14ac:dyDescent="0.25">
      <c r="A611" s="95">
        <v>606</v>
      </c>
      <c r="B611" s="89">
        <v>45994</v>
      </c>
      <c r="C611" s="90" t="s">
        <v>1233</v>
      </c>
      <c r="D611" s="96">
        <v>36000</v>
      </c>
      <c r="E611" s="96">
        <v>0</v>
      </c>
    </row>
    <row r="612" spans="1:5" ht="16.5" customHeight="1" x14ac:dyDescent="0.25">
      <c r="A612" s="95">
        <v>607</v>
      </c>
      <c r="B612" s="89">
        <v>45995</v>
      </c>
      <c r="C612" s="90" t="s">
        <v>1234</v>
      </c>
      <c r="D612" s="96">
        <v>6000</v>
      </c>
      <c r="E612" s="96">
        <v>0</v>
      </c>
    </row>
    <row r="613" spans="1:5" ht="16.5" customHeight="1" x14ac:dyDescent="0.25">
      <c r="A613" s="95">
        <v>608</v>
      </c>
      <c r="B613" s="89">
        <v>45997</v>
      </c>
      <c r="C613" s="90" t="s">
        <v>1235</v>
      </c>
      <c r="D613" s="96">
        <v>60800</v>
      </c>
      <c r="E613" s="96">
        <v>0</v>
      </c>
    </row>
    <row r="614" spans="1:5" ht="16.5" customHeight="1" x14ac:dyDescent="0.25">
      <c r="A614" s="95">
        <v>609</v>
      </c>
      <c r="B614" s="89">
        <v>45997</v>
      </c>
      <c r="C614" s="90" t="s">
        <v>1236</v>
      </c>
      <c r="D614" s="96">
        <v>20000</v>
      </c>
      <c r="E614" s="96">
        <v>0</v>
      </c>
    </row>
    <row r="615" spans="1:5" ht="16.5" customHeight="1" x14ac:dyDescent="0.25">
      <c r="A615" s="95">
        <v>610</v>
      </c>
      <c r="B615" s="89">
        <v>45997</v>
      </c>
      <c r="C615" s="90" t="s">
        <v>1237</v>
      </c>
      <c r="D615" s="96">
        <v>79575</v>
      </c>
      <c r="E615" s="96">
        <v>0</v>
      </c>
    </row>
    <row r="616" spans="1:5" ht="16.5" customHeight="1" x14ac:dyDescent="0.25">
      <c r="A616" s="95">
        <v>611</v>
      </c>
      <c r="B616" s="89">
        <v>46003</v>
      </c>
      <c r="C616" s="90" t="s">
        <v>1238</v>
      </c>
      <c r="D616" s="96">
        <v>870000</v>
      </c>
      <c r="E616" s="96">
        <v>0</v>
      </c>
    </row>
    <row r="617" spans="1:5" ht="16.5" customHeight="1" x14ac:dyDescent="0.25">
      <c r="A617" s="95">
        <v>612</v>
      </c>
      <c r="B617" s="89">
        <v>46004</v>
      </c>
      <c r="C617" s="90" t="s">
        <v>1239</v>
      </c>
      <c r="D617" s="96">
        <v>5877</v>
      </c>
      <c r="E617" s="96">
        <v>0</v>
      </c>
    </row>
    <row r="618" spans="1:5" ht="16.5" customHeight="1" x14ac:dyDescent="0.25">
      <c r="A618" s="95">
        <v>613</v>
      </c>
      <c r="B618" s="89">
        <v>46006</v>
      </c>
      <c r="C618" s="90" t="s">
        <v>1240</v>
      </c>
      <c r="D618" s="96">
        <v>518400</v>
      </c>
      <c r="E618" s="96">
        <v>0</v>
      </c>
    </row>
    <row r="619" spans="1:5" ht="16.5" customHeight="1" x14ac:dyDescent="0.25">
      <c r="A619" s="95">
        <v>614</v>
      </c>
      <c r="B619" s="89">
        <v>46006</v>
      </c>
      <c r="C619" s="90" t="s">
        <v>1241</v>
      </c>
      <c r="D619" s="96">
        <v>39199</v>
      </c>
      <c r="E619" s="96">
        <v>0</v>
      </c>
    </row>
    <row r="620" spans="1:5" ht="16.5" customHeight="1" x14ac:dyDescent="0.25">
      <c r="A620" s="95">
        <v>615</v>
      </c>
      <c r="B620" s="89">
        <v>46006</v>
      </c>
      <c r="C620" s="90" t="s">
        <v>1242</v>
      </c>
      <c r="D620" s="96">
        <v>43983</v>
      </c>
      <c r="E620" s="96">
        <v>0</v>
      </c>
    </row>
    <row r="621" spans="1:5" ht="16.5" customHeight="1" x14ac:dyDescent="0.25">
      <c r="A621" s="95">
        <v>616</v>
      </c>
      <c r="B621" s="89">
        <v>46006</v>
      </c>
      <c r="C621" s="90" t="s">
        <v>1243</v>
      </c>
      <c r="D621" s="96">
        <v>15000</v>
      </c>
      <c r="E621" s="96">
        <v>0</v>
      </c>
    </row>
    <row r="622" spans="1:5" ht="16.5" customHeight="1" x14ac:dyDescent="0.25">
      <c r="A622" s="95">
        <v>617</v>
      </c>
      <c r="B622" s="89">
        <v>46006</v>
      </c>
      <c r="C622" s="90" t="s">
        <v>1244</v>
      </c>
      <c r="D622" s="96">
        <v>130339</v>
      </c>
      <c r="E622" s="96">
        <v>0</v>
      </c>
    </row>
    <row r="623" spans="1:5" ht="16.5" customHeight="1" x14ac:dyDescent="0.25">
      <c r="A623" s="95">
        <v>618</v>
      </c>
      <c r="B623" s="89">
        <v>46006</v>
      </c>
      <c r="C623" s="90" t="s">
        <v>1245</v>
      </c>
      <c r="D623" s="96">
        <v>19600</v>
      </c>
      <c r="E623" s="96">
        <v>0</v>
      </c>
    </row>
    <row r="624" spans="1:5" ht="16.5" customHeight="1" x14ac:dyDescent="0.25">
      <c r="A624" s="95">
        <v>619</v>
      </c>
      <c r="B624" s="89">
        <v>46007</v>
      </c>
      <c r="C624" s="90" t="s">
        <v>1246</v>
      </c>
      <c r="D624" s="96">
        <v>92400</v>
      </c>
      <c r="E624" s="96">
        <v>0</v>
      </c>
    </row>
    <row r="625" spans="1:5" ht="16.5" customHeight="1" x14ac:dyDescent="0.25">
      <c r="A625" s="95">
        <v>620</v>
      </c>
      <c r="B625" s="89">
        <v>46009</v>
      </c>
      <c r="C625" s="90" t="s">
        <v>1247</v>
      </c>
      <c r="D625" s="96">
        <v>6400</v>
      </c>
      <c r="E625" s="96">
        <v>0</v>
      </c>
    </row>
    <row r="626" spans="1:5" ht="16.5" customHeight="1" x14ac:dyDescent="0.25">
      <c r="A626" s="95">
        <v>621</v>
      </c>
      <c r="B626" s="89">
        <v>46010</v>
      </c>
      <c r="C626" s="90" t="s">
        <v>1248</v>
      </c>
      <c r="D626" s="96">
        <v>30000</v>
      </c>
      <c r="E626" s="96">
        <v>0</v>
      </c>
    </row>
    <row r="627" spans="1:5" ht="16.5" customHeight="1" x14ac:dyDescent="0.25">
      <c r="A627" s="95">
        <v>622</v>
      </c>
      <c r="B627" s="89">
        <v>46010</v>
      </c>
      <c r="C627" s="90" t="s">
        <v>1249</v>
      </c>
      <c r="D627" s="96">
        <v>316000</v>
      </c>
      <c r="E627" s="96">
        <v>0</v>
      </c>
    </row>
    <row r="628" spans="1:5" ht="16.5" customHeight="1" x14ac:dyDescent="0.25">
      <c r="A628" s="95">
        <v>623</v>
      </c>
      <c r="B628" s="89">
        <v>46010</v>
      </c>
      <c r="C628" s="90" t="s">
        <v>861</v>
      </c>
      <c r="D628" s="96">
        <v>39000</v>
      </c>
      <c r="E628" s="96">
        <v>0</v>
      </c>
    </row>
    <row r="629" spans="1:5" ht="16.5" customHeight="1" x14ac:dyDescent="0.25">
      <c r="A629" s="95">
        <v>624</v>
      </c>
      <c r="B629" s="89">
        <v>46013</v>
      </c>
      <c r="C629" s="90" t="s">
        <v>1250</v>
      </c>
      <c r="D629" s="96">
        <v>90111</v>
      </c>
      <c r="E629" s="96">
        <v>0</v>
      </c>
    </row>
    <row r="630" spans="1:5" ht="16.5" customHeight="1" x14ac:dyDescent="0.25">
      <c r="A630" s="95">
        <v>625</v>
      </c>
      <c r="B630" s="89">
        <v>46013</v>
      </c>
      <c r="C630" s="90" t="s">
        <v>1251</v>
      </c>
      <c r="D630" s="96">
        <v>154202</v>
      </c>
      <c r="E630" s="96">
        <v>0</v>
      </c>
    </row>
    <row r="631" spans="1:5" ht="16.5" customHeight="1" x14ac:dyDescent="0.25">
      <c r="A631" s="95">
        <v>626</v>
      </c>
      <c r="B631" s="89">
        <v>46013</v>
      </c>
      <c r="C631" s="90" t="s">
        <v>1252</v>
      </c>
      <c r="D631" s="96">
        <v>62063</v>
      </c>
      <c r="E631" s="96">
        <v>0</v>
      </c>
    </row>
    <row r="632" spans="1:5" ht="16.5" customHeight="1" x14ac:dyDescent="0.25">
      <c r="A632" s="95">
        <v>627</v>
      </c>
      <c r="B632" s="89">
        <v>46013</v>
      </c>
      <c r="C632" s="90" t="s">
        <v>1253</v>
      </c>
      <c r="D632" s="96">
        <v>20682</v>
      </c>
      <c r="E632" s="96">
        <v>0</v>
      </c>
    </row>
    <row r="633" spans="1:5" ht="16.5" customHeight="1" x14ac:dyDescent="0.25">
      <c r="A633" s="95">
        <v>628</v>
      </c>
      <c r="B633" s="89">
        <v>46014</v>
      </c>
      <c r="C633" s="90" t="s">
        <v>1254</v>
      </c>
      <c r="D633" s="96">
        <v>90000</v>
      </c>
      <c r="E633" s="96">
        <v>0</v>
      </c>
    </row>
    <row r="634" spans="1:5" ht="16.5" customHeight="1" x14ac:dyDescent="0.25">
      <c r="A634" s="95">
        <v>629</v>
      </c>
      <c r="B634" s="89">
        <v>46014</v>
      </c>
      <c r="C634" s="90" t="s">
        <v>1255</v>
      </c>
      <c r="D634" s="96">
        <v>290000</v>
      </c>
      <c r="E634" s="96">
        <v>0</v>
      </c>
    </row>
    <row r="635" spans="1:5" ht="16.5" customHeight="1" x14ac:dyDescent="0.25">
      <c r="A635" s="95">
        <v>630</v>
      </c>
      <c r="B635" s="89">
        <v>46014</v>
      </c>
      <c r="C635" s="90" t="s">
        <v>1256</v>
      </c>
      <c r="D635" s="96">
        <v>47748</v>
      </c>
      <c r="E635" s="96">
        <v>0</v>
      </c>
    </row>
    <row r="636" spans="1:5" ht="16.5" customHeight="1" x14ac:dyDescent="0.25">
      <c r="A636" s="95">
        <v>631</v>
      </c>
      <c r="B636" s="89">
        <v>46015</v>
      </c>
      <c r="C636" s="90" t="s">
        <v>1257</v>
      </c>
      <c r="D636" s="96">
        <v>93500</v>
      </c>
      <c r="E636" s="96">
        <v>0</v>
      </c>
    </row>
    <row r="637" spans="1:5" ht="16.5" customHeight="1" x14ac:dyDescent="0.25">
      <c r="A637" s="95">
        <v>632</v>
      </c>
      <c r="B637" s="89">
        <v>46015</v>
      </c>
      <c r="C637" s="90" t="s">
        <v>1251</v>
      </c>
      <c r="D637" s="96">
        <v>0</v>
      </c>
      <c r="E637" s="96">
        <v>154202</v>
      </c>
    </row>
    <row r="638" spans="1:5" ht="16.5" customHeight="1" x14ac:dyDescent="0.25">
      <c r="A638" s="95">
        <v>633</v>
      </c>
      <c r="B638" s="89">
        <v>46015</v>
      </c>
      <c r="C638" s="90" t="s">
        <v>1258</v>
      </c>
      <c r="D638" s="96">
        <v>123675</v>
      </c>
      <c r="E638" s="96">
        <v>0</v>
      </c>
    </row>
    <row r="639" spans="1:5" ht="16.5" customHeight="1" x14ac:dyDescent="0.25">
      <c r="A639" s="95">
        <v>634</v>
      </c>
      <c r="B639" s="89">
        <v>46022</v>
      </c>
      <c r="C639" s="90" t="s">
        <v>1259</v>
      </c>
      <c r="D639" s="96">
        <v>83234</v>
      </c>
      <c r="E639" s="96">
        <v>0</v>
      </c>
    </row>
    <row r="640" spans="1:5" ht="16.5" customHeight="1" x14ac:dyDescent="0.25">
      <c r="A640" s="95">
        <v>635</v>
      </c>
      <c r="B640" s="89">
        <v>46022</v>
      </c>
      <c r="C640" s="90" t="s">
        <v>1260</v>
      </c>
      <c r="D640" s="96">
        <v>5000</v>
      </c>
      <c r="E640" s="96">
        <v>0</v>
      </c>
    </row>
    <row r="641" spans="1:5" ht="16.5" customHeight="1" x14ac:dyDescent="0.25">
      <c r="A641" s="95">
        <v>636</v>
      </c>
      <c r="B641" s="89">
        <v>46024</v>
      </c>
      <c r="C641" s="90" t="s">
        <v>1261</v>
      </c>
      <c r="D641" s="96">
        <v>67500</v>
      </c>
      <c r="E641" s="96">
        <v>0</v>
      </c>
    </row>
    <row r="642" spans="1:5" ht="16.5" customHeight="1" x14ac:dyDescent="0.25">
      <c r="A642" s="95">
        <v>637</v>
      </c>
      <c r="B642" s="89">
        <v>46025</v>
      </c>
      <c r="C642" s="90" t="s">
        <v>1262</v>
      </c>
      <c r="D642" s="96">
        <v>59860</v>
      </c>
      <c r="E642" s="96">
        <v>0</v>
      </c>
    </row>
    <row r="643" spans="1:5" ht="16.5" customHeight="1" x14ac:dyDescent="0.25">
      <c r="A643" s="95">
        <v>638</v>
      </c>
      <c r="B643" s="89">
        <v>46025</v>
      </c>
      <c r="C643" s="90" t="s">
        <v>1263</v>
      </c>
      <c r="D643" s="96">
        <v>9306</v>
      </c>
      <c r="E643" s="96">
        <v>0</v>
      </c>
    </row>
    <row r="644" spans="1:5" ht="16.5" customHeight="1" x14ac:dyDescent="0.25">
      <c r="A644" s="95">
        <v>639</v>
      </c>
      <c r="B644" s="89">
        <v>46025</v>
      </c>
      <c r="C644" s="90" t="s">
        <v>1264</v>
      </c>
      <c r="D644" s="96">
        <v>48594</v>
      </c>
      <c r="E644" s="96">
        <v>0</v>
      </c>
    </row>
    <row r="645" spans="1:5" ht="16.5" customHeight="1" x14ac:dyDescent="0.25">
      <c r="A645" s="95">
        <v>640</v>
      </c>
      <c r="B645" s="89">
        <v>46025</v>
      </c>
      <c r="C645" s="90" t="s">
        <v>1265</v>
      </c>
      <c r="D645" s="96">
        <v>47390</v>
      </c>
      <c r="E645" s="96">
        <v>0</v>
      </c>
    </row>
    <row r="646" spans="1:5" ht="16.5" customHeight="1" x14ac:dyDescent="0.25">
      <c r="A646" s="95">
        <v>641</v>
      </c>
      <c r="B646" s="89">
        <v>46028</v>
      </c>
      <c r="C646" s="90" t="s">
        <v>1266</v>
      </c>
      <c r="D646" s="96">
        <v>5115573.97</v>
      </c>
      <c r="E646" s="96">
        <v>0</v>
      </c>
    </row>
    <row r="647" spans="1:5" ht="16.5" customHeight="1" x14ac:dyDescent="0.25">
      <c r="A647" s="95">
        <v>642</v>
      </c>
      <c r="B647" s="89">
        <v>46028</v>
      </c>
      <c r="C647" s="90" t="s">
        <v>1267</v>
      </c>
      <c r="D647" s="96">
        <v>42403</v>
      </c>
      <c r="E647" s="96">
        <v>0</v>
      </c>
    </row>
    <row r="648" spans="1:5" ht="16.5" customHeight="1" x14ac:dyDescent="0.25">
      <c r="A648" s="95">
        <v>643</v>
      </c>
      <c r="B648" s="89">
        <v>46028</v>
      </c>
      <c r="C648" s="90" t="s">
        <v>1268</v>
      </c>
      <c r="D648" s="96">
        <v>46786</v>
      </c>
      <c r="E648" s="96">
        <v>0</v>
      </c>
    </row>
    <row r="649" spans="1:5" ht="16.5" customHeight="1" x14ac:dyDescent="0.25">
      <c r="A649" s="95">
        <v>644</v>
      </c>
      <c r="B649" s="89">
        <v>46029</v>
      </c>
      <c r="C649" s="90" t="s">
        <v>1269</v>
      </c>
      <c r="D649" s="96">
        <v>31731</v>
      </c>
      <c r="E649" s="96">
        <v>0</v>
      </c>
    </row>
    <row r="650" spans="1:5" ht="16.5" customHeight="1" x14ac:dyDescent="0.25">
      <c r="A650" s="95">
        <v>645</v>
      </c>
      <c r="B650" s="89">
        <v>46029</v>
      </c>
      <c r="C650" s="90" t="s">
        <v>1270</v>
      </c>
      <c r="D650" s="96">
        <v>19424</v>
      </c>
      <c r="E650" s="96">
        <v>0</v>
      </c>
    </row>
    <row r="651" spans="1:5" ht="16.5" customHeight="1" x14ac:dyDescent="0.25">
      <c r="A651" s="95">
        <v>646</v>
      </c>
      <c r="B651" s="89">
        <v>46029</v>
      </c>
      <c r="C651" s="90" t="s">
        <v>1271</v>
      </c>
      <c r="D651" s="96">
        <v>19199</v>
      </c>
      <c r="E651" s="96">
        <v>0</v>
      </c>
    </row>
    <row r="652" spans="1:5" ht="16.5" customHeight="1" x14ac:dyDescent="0.25">
      <c r="A652" s="95">
        <v>647</v>
      </c>
      <c r="B652" s="89">
        <v>46029</v>
      </c>
      <c r="C652" s="90" t="s">
        <v>1272</v>
      </c>
      <c r="D652" s="96">
        <v>98700</v>
      </c>
      <c r="E652" s="96">
        <v>0</v>
      </c>
    </row>
    <row r="653" spans="1:5" ht="16.5" customHeight="1" x14ac:dyDescent="0.25">
      <c r="A653" s="95">
        <v>648</v>
      </c>
      <c r="B653" s="89">
        <v>46030</v>
      </c>
      <c r="C653" s="90" t="s">
        <v>1113</v>
      </c>
      <c r="D653" s="96">
        <v>862500</v>
      </c>
      <c r="E653" s="96">
        <v>0</v>
      </c>
    </row>
    <row r="654" spans="1:5" ht="16.5" customHeight="1" x14ac:dyDescent="0.25">
      <c r="A654" s="95">
        <v>649</v>
      </c>
      <c r="B654" s="89">
        <v>46030</v>
      </c>
      <c r="C654" s="90" t="s">
        <v>1273</v>
      </c>
      <c r="D654" s="96">
        <v>0</v>
      </c>
      <c r="E654" s="96">
        <v>46786</v>
      </c>
    </row>
    <row r="655" spans="1:5" ht="16.5" customHeight="1" x14ac:dyDescent="0.25">
      <c r="A655" s="95">
        <v>650</v>
      </c>
      <c r="B655" s="89">
        <v>46031</v>
      </c>
      <c r="C655" s="90" t="s">
        <v>1274</v>
      </c>
      <c r="D655" s="96">
        <v>23000</v>
      </c>
      <c r="E655" s="96">
        <v>0</v>
      </c>
    </row>
    <row r="656" spans="1:5" ht="16.5" customHeight="1" x14ac:dyDescent="0.25">
      <c r="A656" s="95">
        <v>651</v>
      </c>
      <c r="B656" s="89">
        <v>46031</v>
      </c>
      <c r="C656" s="90" t="s">
        <v>1273</v>
      </c>
      <c r="D656" s="96">
        <v>48124</v>
      </c>
      <c r="E656" s="96">
        <v>0</v>
      </c>
    </row>
    <row r="657" spans="1:5" ht="16.5" customHeight="1" x14ac:dyDescent="0.25">
      <c r="A657" s="95">
        <v>652</v>
      </c>
      <c r="B657" s="89">
        <v>46032</v>
      </c>
      <c r="C657" s="90" t="s">
        <v>1275</v>
      </c>
      <c r="D657" s="96">
        <v>55350</v>
      </c>
      <c r="E657" s="96">
        <v>0</v>
      </c>
    </row>
    <row r="658" spans="1:5" ht="16.5" customHeight="1" x14ac:dyDescent="0.25">
      <c r="A658" s="95">
        <v>653</v>
      </c>
      <c r="B658" s="89">
        <v>46035</v>
      </c>
      <c r="C658" s="90" t="s">
        <v>1276</v>
      </c>
      <c r="D658" s="96">
        <v>344000</v>
      </c>
      <c r="E658" s="96">
        <v>0</v>
      </c>
    </row>
    <row r="659" spans="1:5" ht="16.5" customHeight="1" x14ac:dyDescent="0.25">
      <c r="A659" s="95">
        <v>654</v>
      </c>
      <c r="B659" s="89">
        <v>46036</v>
      </c>
      <c r="C659" s="90" t="s">
        <v>1277</v>
      </c>
      <c r="D659" s="96">
        <v>402468</v>
      </c>
      <c r="E659" s="96">
        <v>0</v>
      </c>
    </row>
    <row r="660" spans="1:5" ht="16.5" customHeight="1" x14ac:dyDescent="0.25">
      <c r="A660" s="95">
        <v>655</v>
      </c>
      <c r="B660" s="89">
        <v>46037</v>
      </c>
      <c r="C660" s="90" t="s">
        <v>1278</v>
      </c>
      <c r="D660" s="96">
        <v>90093</v>
      </c>
      <c r="E660" s="96">
        <v>0</v>
      </c>
    </row>
    <row r="661" spans="1:5" ht="16.5" customHeight="1" x14ac:dyDescent="0.25">
      <c r="A661" s="95">
        <v>656</v>
      </c>
      <c r="B661" s="89">
        <v>46037</v>
      </c>
      <c r="C661" s="90" t="s">
        <v>1279</v>
      </c>
      <c r="D661" s="96">
        <v>7709</v>
      </c>
      <c r="E661" s="96">
        <v>0</v>
      </c>
    </row>
    <row r="662" spans="1:5" ht="16.5" customHeight="1" x14ac:dyDescent="0.25">
      <c r="A662" s="95">
        <v>657</v>
      </c>
      <c r="B662" s="89">
        <v>46039</v>
      </c>
      <c r="C662" s="90" t="s">
        <v>1280</v>
      </c>
      <c r="D662" s="96">
        <v>260000</v>
      </c>
      <c r="E662" s="96">
        <v>0</v>
      </c>
    </row>
    <row r="663" spans="1:5" ht="16.5" customHeight="1" x14ac:dyDescent="0.25">
      <c r="A663" s="95">
        <v>658</v>
      </c>
      <c r="B663" s="89">
        <v>46041</v>
      </c>
      <c r="C663" s="90" t="s">
        <v>1281</v>
      </c>
      <c r="D663" s="96">
        <v>40004</v>
      </c>
      <c r="E663" s="96">
        <v>0</v>
      </c>
    </row>
    <row r="664" spans="1:5" ht="16.5" customHeight="1" x14ac:dyDescent="0.25">
      <c r="A664" s="95">
        <v>659</v>
      </c>
      <c r="B664" s="89">
        <v>46042</v>
      </c>
      <c r="C664" s="90" t="s">
        <v>1282</v>
      </c>
      <c r="D664" s="96">
        <v>154262</v>
      </c>
      <c r="E664" s="96">
        <v>0</v>
      </c>
    </row>
    <row r="665" spans="1:5" ht="16.5" customHeight="1" x14ac:dyDescent="0.25">
      <c r="A665" s="95">
        <v>660</v>
      </c>
      <c r="B665" s="89">
        <v>46042</v>
      </c>
      <c r="C665" s="90" t="s">
        <v>1283</v>
      </c>
      <c r="D665" s="96">
        <v>35590</v>
      </c>
      <c r="E665" s="96">
        <v>0</v>
      </c>
    </row>
    <row r="666" spans="1:5" ht="16.5" customHeight="1" x14ac:dyDescent="0.25">
      <c r="A666" s="95">
        <v>661</v>
      </c>
      <c r="B666" s="89">
        <v>46043</v>
      </c>
      <c r="C666" s="90" t="s">
        <v>1284</v>
      </c>
      <c r="D666" s="96">
        <v>8173</v>
      </c>
      <c r="E666" s="96">
        <v>0</v>
      </c>
    </row>
    <row r="667" spans="1:5" ht="16.5" customHeight="1" x14ac:dyDescent="0.25">
      <c r="A667" s="95">
        <v>662</v>
      </c>
      <c r="B667" s="89">
        <v>46043</v>
      </c>
      <c r="C667" s="90" t="s">
        <v>1285</v>
      </c>
      <c r="D667" s="96">
        <v>134063</v>
      </c>
      <c r="E667" s="96">
        <v>0</v>
      </c>
    </row>
    <row r="668" spans="1:5" ht="16.5" customHeight="1" x14ac:dyDescent="0.25">
      <c r="A668" s="95">
        <v>663</v>
      </c>
      <c r="B668" s="89">
        <v>46043</v>
      </c>
      <c r="C668" s="90" t="s">
        <v>1286</v>
      </c>
      <c r="D668" s="96">
        <v>53300</v>
      </c>
      <c r="E668" s="96">
        <v>0</v>
      </c>
    </row>
    <row r="669" spans="1:5" ht="16.5" customHeight="1" x14ac:dyDescent="0.25">
      <c r="A669" s="95">
        <v>664</v>
      </c>
      <c r="B669" s="89">
        <v>46043</v>
      </c>
      <c r="C669" s="90" t="s">
        <v>1287</v>
      </c>
      <c r="D669" s="96">
        <v>17378</v>
      </c>
      <c r="E669" s="96">
        <v>0</v>
      </c>
    </row>
    <row r="670" spans="1:5" ht="16.5" customHeight="1" x14ac:dyDescent="0.25">
      <c r="A670" s="95">
        <v>665</v>
      </c>
      <c r="B670" s="89">
        <v>46043</v>
      </c>
      <c r="C670" s="90" t="s">
        <v>1288</v>
      </c>
      <c r="D670" s="96">
        <v>194475</v>
      </c>
      <c r="E670" s="96">
        <v>0</v>
      </c>
    </row>
    <row r="671" spans="1:5" ht="16.5" customHeight="1" x14ac:dyDescent="0.25">
      <c r="A671" s="95">
        <v>666</v>
      </c>
      <c r="B671" s="89">
        <v>46044</v>
      </c>
      <c r="C671" s="90" t="s">
        <v>1289</v>
      </c>
      <c r="D671" s="96">
        <v>18919</v>
      </c>
      <c r="E671" s="96">
        <v>0</v>
      </c>
    </row>
    <row r="672" spans="1:5" ht="16.5" customHeight="1" x14ac:dyDescent="0.25">
      <c r="A672" s="95">
        <v>667</v>
      </c>
      <c r="B672" s="89">
        <v>46044</v>
      </c>
      <c r="C672" s="90" t="s">
        <v>1290</v>
      </c>
      <c r="D672" s="96">
        <v>21926</v>
      </c>
      <c r="E672" s="96">
        <v>0</v>
      </c>
    </row>
    <row r="673" spans="1:5" ht="16.5" customHeight="1" x14ac:dyDescent="0.25">
      <c r="A673" s="95">
        <v>668</v>
      </c>
      <c r="B673" s="89">
        <v>46044</v>
      </c>
      <c r="C673" s="90" t="s">
        <v>1291</v>
      </c>
      <c r="D673" s="96">
        <v>70086</v>
      </c>
      <c r="E673" s="96">
        <v>0</v>
      </c>
    </row>
    <row r="674" spans="1:5" ht="16.5" customHeight="1" x14ac:dyDescent="0.25">
      <c r="A674" s="95">
        <v>669</v>
      </c>
      <c r="B674" s="89">
        <v>46044</v>
      </c>
      <c r="C674" s="90" t="s">
        <v>1292</v>
      </c>
      <c r="D674" s="96">
        <v>443900</v>
      </c>
      <c r="E674" s="96">
        <v>0</v>
      </c>
    </row>
    <row r="675" spans="1:5" ht="16.5" customHeight="1" x14ac:dyDescent="0.25">
      <c r="A675" s="95">
        <v>670</v>
      </c>
      <c r="B675" s="89">
        <v>46044</v>
      </c>
      <c r="C675" s="90" t="s">
        <v>1293</v>
      </c>
      <c r="D675" s="96">
        <v>376985</v>
      </c>
      <c r="E675" s="96">
        <v>0</v>
      </c>
    </row>
    <row r="676" spans="1:5" ht="16.5" customHeight="1" x14ac:dyDescent="0.25">
      <c r="A676" s="95">
        <v>671</v>
      </c>
      <c r="B676" s="89">
        <v>46044</v>
      </c>
      <c r="C676" s="90" t="s">
        <v>1294</v>
      </c>
      <c r="D676" s="96">
        <v>19900</v>
      </c>
      <c r="E676" s="96">
        <v>0</v>
      </c>
    </row>
    <row r="677" spans="1:5" ht="16.5" customHeight="1" x14ac:dyDescent="0.25">
      <c r="A677" s="95">
        <v>672</v>
      </c>
      <c r="B677" s="89">
        <v>46045</v>
      </c>
      <c r="C677" s="90" t="s">
        <v>1295</v>
      </c>
      <c r="D677" s="96">
        <v>135000</v>
      </c>
      <c r="E677" s="96">
        <v>0</v>
      </c>
    </row>
    <row r="678" spans="1:5" ht="16.5" customHeight="1" x14ac:dyDescent="0.25">
      <c r="A678" s="95">
        <v>673</v>
      </c>
      <c r="B678" s="89">
        <v>46045</v>
      </c>
      <c r="C678" s="90" t="s">
        <v>1296</v>
      </c>
      <c r="D678" s="96">
        <v>195000</v>
      </c>
      <c r="E678" s="96">
        <v>0</v>
      </c>
    </row>
    <row r="679" spans="1:5" ht="16.5" customHeight="1" x14ac:dyDescent="0.25">
      <c r="A679" s="95">
        <v>674</v>
      </c>
      <c r="B679" s="89">
        <v>46045</v>
      </c>
      <c r="C679" s="90" t="s">
        <v>1297</v>
      </c>
      <c r="D679" s="96">
        <v>100250</v>
      </c>
      <c r="E679" s="96">
        <v>0</v>
      </c>
    </row>
    <row r="680" spans="1:5" ht="16.5" customHeight="1" x14ac:dyDescent="0.25">
      <c r="A680" s="95">
        <v>675</v>
      </c>
      <c r="B680" s="89">
        <v>46045</v>
      </c>
      <c r="C680" s="90" t="s">
        <v>1298</v>
      </c>
      <c r="D680" s="96">
        <v>18231</v>
      </c>
      <c r="E680" s="96">
        <v>0</v>
      </c>
    </row>
    <row r="681" spans="1:5" ht="16.5" customHeight="1" x14ac:dyDescent="0.25">
      <c r="A681" s="95">
        <v>676</v>
      </c>
      <c r="B681" s="89">
        <v>46045</v>
      </c>
      <c r="C681" s="90" t="s">
        <v>1299</v>
      </c>
      <c r="D681" s="96">
        <v>47702</v>
      </c>
      <c r="E681" s="96">
        <v>0</v>
      </c>
    </row>
    <row r="682" spans="1:5" ht="16.5" customHeight="1" x14ac:dyDescent="0.25">
      <c r="A682" s="95">
        <v>677</v>
      </c>
      <c r="B682" s="89">
        <v>46046</v>
      </c>
      <c r="C682" s="90" t="s">
        <v>1300</v>
      </c>
      <c r="D682" s="96">
        <v>41291</v>
      </c>
      <c r="E682" s="96">
        <v>0</v>
      </c>
    </row>
    <row r="683" spans="1:5" ht="16.5" customHeight="1" x14ac:dyDescent="0.25">
      <c r="A683" s="95">
        <v>678</v>
      </c>
      <c r="B683" s="89">
        <v>46046</v>
      </c>
      <c r="C683" s="90" t="s">
        <v>1301</v>
      </c>
      <c r="D683" s="96">
        <v>11191</v>
      </c>
      <c r="E683" s="96">
        <v>0</v>
      </c>
    </row>
    <row r="684" spans="1:5" ht="16.5" customHeight="1" x14ac:dyDescent="0.25">
      <c r="A684" s="95">
        <v>679</v>
      </c>
      <c r="B684" s="89">
        <v>46046</v>
      </c>
      <c r="C684" s="90" t="s">
        <v>1302</v>
      </c>
      <c r="D684" s="96">
        <v>29504</v>
      </c>
      <c r="E684" s="96">
        <v>0</v>
      </c>
    </row>
    <row r="685" spans="1:5" ht="16.5" customHeight="1" x14ac:dyDescent="0.25">
      <c r="A685" s="95">
        <v>680</v>
      </c>
      <c r="B685" s="89">
        <v>46046</v>
      </c>
      <c r="C685" s="90" t="s">
        <v>1303</v>
      </c>
      <c r="D685" s="96">
        <v>23197</v>
      </c>
      <c r="E685" s="96">
        <v>0</v>
      </c>
    </row>
    <row r="686" spans="1:5" ht="16.5" customHeight="1" x14ac:dyDescent="0.25">
      <c r="A686" s="95">
        <v>681</v>
      </c>
      <c r="B686" s="89">
        <v>46048</v>
      </c>
      <c r="C686" s="90" t="s">
        <v>1304</v>
      </c>
      <c r="D686" s="96">
        <v>12063</v>
      </c>
      <c r="E686" s="96">
        <v>0</v>
      </c>
    </row>
    <row r="687" spans="1:5" ht="16.5" customHeight="1" x14ac:dyDescent="0.25">
      <c r="A687" s="95">
        <v>682</v>
      </c>
      <c r="B687" s="89">
        <v>46049</v>
      </c>
      <c r="C687" s="90" t="s">
        <v>1305</v>
      </c>
      <c r="D687" s="96">
        <v>131300</v>
      </c>
      <c r="E687" s="96">
        <v>0</v>
      </c>
    </row>
    <row r="688" spans="1:5" ht="16.5" customHeight="1" x14ac:dyDescent="0.25">
      <c r="A688" s="95">
        <v>683</v>
      </c>
      <c r="B688" s="89">
        <v>46049</v>
      </c>
      <c r="C688" s="90" t="s">
        <v>1306</v>
      </c>
      <c r="D688" s="96">
        <v>15000</v>
      </c>
      <c r="E688" s="96">
        <v>0</v>
      </c>
    </row>
    <row r="689" spans="1:5" ht="16.5" customHeight="1" x14ac:dyDescent="0.25">
      <c r="A689" s="95">
        <v>684</v>
      </c>
      <c r="B689" s="89">
        <v>46049</v>
      </c>
      <c r="C689" s="90" t="s">
        <v>1307</v>
      </c>
      <c r="D689" s="96">
        <v>13635</v>
      </c>
      <c r="E689" s="96">
        <v>0</v>
      </c>
    </row>
    <row r="690" spans="1:5" ht="16.5" customHeight="1" x14ac:dyDescent="0.25">
      <c r="A690" s="95">
        <v>685</v>
      </c>
      <c r="B690" s="89">
        <v>46049</v>
      </c>
      <c r="C690" s="90" t="s">
        <v>1308</v>
      </c>
      <c r="D690" s="96">
        <v>35476</v>
      </c>
      <c r="E690" s="96">
        <v>0</v>
      </c>
    </row>
    <row r="691" spans="1:5" ht="16.5" customHeight="1" x14ac:dyDescent="0.25">
      <c r="A691" s="95">
        <v>686</v>
      </c>
      <c r="B691" s="89">
        <v>46049</v>
      </c>
      <c r="C691" s="90" t="s">
        <v>1309</v>
      </c>
      <c r="D691" s="96">
        <v>42650</v>
      </c>
      <c r="E691" s="96">
        <v>0</v>
      </c>
    </row>
    <row r="692" spans="1:5" ht="16.5" customHeight="1" x14ac:dyDescent="0.25">
      <c r="A692" s="95">
        <v>687</v>
      </c>
      <c r="B692" s="89">
        <v>46051</v>
      </c>
      <c r="C692" s="90" t="s">
        <v>1310</v>
      </c>
      <c r="D692" s="96">
        <v>36318</v>
      </c>
      <c r="E692" s="96">
        <v>0</v>
      </c>
    </row>
    <row r="693" spans="1:5" ht="16.5" customHeight="1" x14ac:dyDescent="0.25">
      <c r="A693" s="95">
        <v>688</v>
      </c>
      <c r="B693" s="89">
        <v>46051</v>
      </c>
      <c r="C693" s="90" t="s">
        <v>1311</v>
      </c>
      <c r="D693" s="96">
        <v>53409</v>
      </c>
      <c r="E693" s="96">
        <v>0</v>
      </c>
    </row>
    <row r="694" spans="1:5" ht="16.5" customHeight="1" x14ac:dyDescent="0.25">
      <c r="A694" s="95">
        <v>689</v>
      </c>
      <c r="B694" s="89">
        <v>46051</v>
      </c>
      <c r="C694" s="90" t="s">
        <v>1312</v>
      </c>
      <c r="D694" s="96">
        <v>109588</v>
      </c>
      <c r="E694" s="96">
        <v>0</v>
      </c>
    </row>
    <row r="695" spans="1:5" ht="16.5" customHeight="1" x14ac:dyDescent="0.25">
      <c r="A695" s="95">
        <v>690</v>
      </c>
      <c r="B695" s="89">
        <v>46051</v>
      </c>
      <c r="C695" s="90" t="s">
        <v>1313</v>
      </c>
      <c r="D695" s="96">
        <v>28488</v>
      </c>
      <c r="E695" s="96">
        <v>0</v>
      </c>
    </row>
    <row r="696" spans="1:5" ht="16.5" customHeight="1" x14ac:dyDescent="0.25">
      <c r="A696" s="95">
        <v>691</v>
      </c>
      <c r="B696" s="89">
        <v>46051</v>
      </c>
      <c r="C696" s="90" t="s">
        <v>1314</v>
      </c>
      <c r="D696" s="96">
        <v>135393</v>
      </c>
      <c r="E696" s="96">
        <v>0</v>
      </c>
    </row>
    <row r="697" spans="1:5" ht="16.5" customHeight="1" x14ac:dyDescent="0.25">
      <c r="A697" s="95">
        <v>692</v>
      </c>
      <c r="B697" s="89">
        <v>46051</v>
      </c>
      <c r="C697" s="90" t="s">
        <v>1315</v>
      </c>
      <c r="D697" s="96">
        <v>11547</v>
      </c>
      <c r="E697" s="96">
        <v>0</v>
      </c>
    </row>
    <row r="698" spans="1:5" ht="16.5" customHeight="1" x14ac:dyDescent="0.25">
      <c r="A698" s="95">
        <v>693</v>
      </c>
      <c r="B698" s="89">
        <v>46052</v>
      </c>
      <c r="C698" s="90" t="s">
        <v>1301</v>
      </c>
      <c r="D698" s="96">
        <v>0</v>
      </c>
      <c r="E698" s="96">
        <v>11191</v>
      </c>
    </row>
    <row r="699" spans="1:5" ht="16.5" customHeight="1" x14ac:dyDescent="0.25">
      <c r="A699" s="95">
        <v>694</v>
      </c>
      <c r="B699" s="89">
        <v>46052</v>
      </c>
      <c r="C699" s="90" t="s">
        <v>1316</v>
      </c>
      <c r="D699" s="96">
        <v>63114</v>
      </c>
      <c r="E699" s="96">
        <v>0</v>
      </c>
    </row>
    <row r="700" spans="1:5" ht="16.5" customHeight="1" x14ac:dyDescent="0.25">
      <c r="A700" s="95">
        <v>695</v>
      </c>
      <c r="B700" s="89">
        <v>46053</v>
      </c>
      <c r="C700" s="90" t="s">
        <v>1317</v>
      </c>
      <c r="D700" s="96">
        <v>24783</v>
      </c>
      <c r="E700" s="96">
        <v>0</v>
      </c>
    </row>
    <row r="701" spans="1:5" ht="16.5" customHeight="1" x14ac:dyDescent="0.25">
      <c r="A701" s="95">
        <v>696</v>
      </c>
      <c r="B701" s="89">
        <v>46053</v>
      </c>
      <c r="C701" s="90" t="s">
        <v>1318</v>
      </c>
      <c r="D701" s="96">
        <v>167836</v>
      </c>
      <c r="E701" s="96">
        <v>0</v>
      </c>
    </row>
    <row r="702" spans="1:5" ht="16.5" customHeight="1" x14ac:dyDescent="0.25">
      <c r="A702" s="95">
        <v>697</v>
      </c>
      <c r="B702" s="89">
        <v>46056</v>
      </c>
      <c r="C702" s="90" t="s">
        <v>1319</v>
      </c>
      <c r="D702" s="96">
        <v>0</v>
      </c>
      <c r="E702" s="96">
        <v>13540</v>
      </c>
    </row>
    <row r="703" spans="1:5" ht="16.5" customHeight="1" x14ac:dyDescent="0.25">
      <c r="A703" s="95">
        <v>698</v>
      </c>
      <c r="B703" s="89">
        <v>46057</v>
      </c>
      <c r="C703" s="90" t="s">
        <v>1320</v>
      </c>
      <c r="D703" s="96">
        <v>199349</v>
      </c>
      <c r="E703" s="96">
        <v>0</v>
      </c>
    </row>
    <row r="704" spans="1:5" ht="16.5" customHeight="1" x14ac:dyDescent="0.25">
      <c r="A704" s="95">
        <v>699</v>
      </c>
      <c r="B704" s="89">
        <v>46058</v>
      </c>
      <c r="C704" s="90" t="s">
        <v>1321</v>
      </c>
      <c r="D704" s="96">
        <v>259000</v>
      </c>
      <c r="E704" s="96">
        <v>0</v>
      </c>
    </row>
    <row r="705" spans="1:5" ht="16.5" customHeight="1" x14ac:dyDescent="0.25">
      <c r="A705" s="95">
        <v>700</v>
      </c>
      <c r="B705" s="89">
        <v>46058</v>
      </c>
      <c r="C705" s="90" t="s">
        <v>1322</v>
      </c>
      <c r="D705" s="96">
        <v>30000</v>
      </c>
      <c r="E705" s="96">
        <v>0</v>
      </c>
    </row>
    <row r="706" spans="1:5" ht="16.5" customHeight="1" x14ac:dyDescent="0.25">
      <c r="A706" s="95">
        <v>701</v>
      </c>
      <c r="B706" s="89">
        <v>46058</v>
      </c>
      <c r="C706" s="90" t="s">
        <v>1323</v>
      </c>
      <c r="D706" s="96">
        <v>66992</v>
      </c>
      <c r="E706" s="96">
        <v>0</v>
      </c>
    </row>
    <row r="707" spans="1:5" ht="16.5" customHeight="1" x14ac:dyDescent="0.25">
      <c r="A707" s="95">
        <v>702</v>
      </c>
      <c r="B707" s="89">
        <v>46058</v>
      </c>
      <c r="C707" s="90" t="s">
        <v>1324</v>
      </c>
      <c r="D707" s="96">
        <v>163155</v>
      </c>
      <c r="E707" s="96">
        <v>0</v>
      </c>
    </row>
    <row r="708" spans="1:5" ht="16.5" customHeight="1" x14ac:dyDescent="0.25">
      <c r="A708" s="95">
        <v>703</v>
      </c>
      <c r="B708" s="89">
        <v>46060</v>
      </c>
      <c r="C708" s="90" t="s">
        <v>1325</v>
      </c>
      <c r="D708" s="96">
        <v>26669</v>
      </c>
      <c r="E708" s="96">
        <v>0</v>
      </c>
    </row>
    <row r="709" spans="1:5" ht="16.5" customHeight="1" x14ac:dyDescent="0.25">
      <c r="A709" s="95">
        <v>704</v>
      </c>
      <c r="B709" s="89">
        <v>46060</v>
      </c>
      <c r="C709" s="90" t="s">
        <v>1326</v>
      </c>
      <c r="D709" s="96">
        <v>196850</v>
      </c>
      <c r="E709" s="96">
        <v>0</v>
      </c>
    </row>
    <row r="710" spans="1:5" ht="16.5" customHeight="1" x14ac:dyDescent="0.25">
      <c r="A710" s="95">
        <v>705</v>
      </c>
      <c r="B710" s="89">
        <v>46060</v>
      </c>
      <c r="C710" s="90" t="s">
        <v>1327</v>
      </c>
      <c r="D710" s="96">
        <v>156369</v>
      </c>
      <c r="E710" s="96">
        <v>0</v>
      </c>
    </row>
    <row r="711" spans="1:5" ht="16.5" customHeight="1" x14ac:dyDescent="0.25">
      <c r="A711" s="95">
        <v>706</v>
      </c>
      <c r="B711" s="89">
        <v>46060</v>
      </c>
      <c r="C711" s="90" t="s">
        <v>1328</v>
      </c>
      <c r="D711" s="96">
        <v>21104</v>
      </c>
      <c r="E711" s="96">
        <v>0</v>
      </c>
    </row>
    <row r="712" spans="1:5" ht="16.5" customHeight="1" x14ac:dyDescent="0.25">
      <c r="A712" s="95">
        <v>707</v>
      </c>
      <c r="B712" s="89">
        <v>46064</v>
      </c>
      <c r="C712" s="90" t="s">
        <v>1329</v>
      </c>
      <c r="D712" s="96">
        <v>0</v>
      </c>
      <c r="E712" s="96">
        <v>6742</v>
      </c>
    </row>
    <row r="713" spans="1:5" ht="16.5" customHeight="1" x14ac:dyDescent="0.25">
      <c r="A713" s="95">
        <v>708</v>
      </c>
      <c r="B713" s="89">
        <v>46065</v>
      </c>
      <c r="C713" s="90" t="s">
        <v>1330</v>
      </c>
      <c r="D713" s="96">
        <v>36800000</v>
      </c>
      <c r="E713" s="96">
        <v>0</v>
      </c>
    </row>
    <row r="714" spans="1:5" ht="16.5" customHeight="1" x14ac:dyDescent="0.25">
      <c r="A714" s="95">
        <v>709</v>
      </c>
      <c r="B714" s="89">
        <v>46066</v>
      </c>
      <c r="C714" s="90" t="s">
        <v>1331</v>
      </c>
      <c r="D714" s="96">
        <v>49031</v>
      </c>
      <c r="E714" s="96">
        <v>0</v>
      </c>
    </row>
    <row r="715" spans="1:5" ht="16.5" customHeight="1" x14ac:dyDescent="0.25">
      <c r="A715" s="95">
        <v>710</v>
      </c>
      <c r="B715" s="89">
        <v>46066</v>
      </c>
      <c r="C715" s="90" t="s">
        <v>1329</v>
      </c>
      <c r="D715" s="96">
        <v>9011</v>
      </c>
      <c r="E715" s="96">
        <v>0</v>
      </c>
    </row>
    <row r="716" spans="1:5" ht="16.5" customHeight="1" x14ac:dyDescent="0.25">
      <c r="A716" s="95">
        <v>711</v>
      </c>
      <c r="B716" s="89">
        <v>46069</v>
      </c>
      <c r="C716" s="90" t="s">
        <v>1332</v>
      </c>
      <c r="D716" s="96">
        <v>424316</v>
      </c>
      <c r="E716" s="96">
        <v>0</v>
      </c>
    </row>
    <row r="717" spans="1:5" ht="16.5" customHeight="1" x14ac:dyDescent="0.25">
      <c r="A717" s="95">
        <v>712</v>
      </c>
      <c r="B717" s="89">
        <v>46069</v>
      </c>
      <c r="C717" s="90" t="s">
        <v>1333</v>
      </c>
      <c r="D717" s="96">
        <v>116178</v>
      </c>
      <c r="E717" s="96">
        <v>0</v>
      </c>
    </row>
    <row r="718" spans="1:5" ht="16.5" customHeight="1" x14ac:dyDescent="0.25">
      <c r="A718" s="95">
        <v>713</v>
      </c>
      <c r="B718" s="89">
        <v>46069</v>
      </c>
      <c r="C718" s="90" t="s">
        <v>1334</v>
      </c>
      <c r="D718" s="96">
        <v>152290</v>
      </c>
      <c r="E718" s="96">
        <v>0</v>
      </c>
    </row>
    <row r="719" spans="1:5" ht="16.5" customHeight="1" x14ac:dyDescent="0.25">
      <c r="A719" s="95">
        <v>714</v>
      </c>
      <c r="B719" s="89">
        <v>46069</v>
      </c>
      <c r="C719" s="90" t="s">
        <v>1335</v>
      </c>
      <c r="D719" s="96">
        <v>175266</v>
      </c>
      <c r="E719" s="96">
        <v>0</v>
      </c>
    </row>
    <row r="720" spans="1:5" ht="16.5" customHeight="1" x14ac:dyDescent="0.25">
      <c r="A720" s="95">
        <v>715</v>
      </c>
      <c r="B720" s="89">
        <v>46069</v>
      </c>
      <c r="C720" s="90" t="s">
        <v>1336</v>
      </c>
      <c r="D720" s="96">
        <v>9000</v>
      </c>
      <c r="E720" s="96">
        <v>0</v>
      </c>
    </row>
    <row r="721" spans="1:5" ht="16.5" customHeight="1" x14ac:dyDescent="0.25">
      <c r="A721" s="95">
        <v>716</v>
      </c>
      <c r="B721" s="89">
        <v>46073</v>
      </c>
      <c r="C721" s="90" t="s">
        <v>1337</v>
      </c>
      <c r="D721" s="96">
        <v>66931</v>
      </c>
      <c r="E721" s="96">
        <v>0</v>
      </c>
    </row>
    <row r="722" spans="1:5" ht="16.5" customHeight="1" x14ac:dyDescent="0.25">
      <c r="A722" s="95">
        <v>717</v>
      </c>
      <c r="B722" s="89">
        <v>46073</v>
      </c>
      <c r="C722" s="90" t="s">
        <v>1338</v>
      </c>
      <c r="D722" s="96">
        <v>73890</v>
      </c>
      <c r="E722" s="96">
        <v>0</v>
      </c>
    </row>
    <row r="723" spans="1:5" ht="16.5" customHeight="1" x14ac:dyDescent="0.25">
      <c r="A723" s="95">
        <v>718</v>
      </c>
      <c r="B723" s="89">
        <v>46073</v>
      </c>
      <c r="C723" s="90" t="s">
        <v>1339</v>
      </c>
      <c r="D723" s="96">
        <v>20864</v>
      </c>
      <c r="E723" s="96">
        <v>0</v>
      </c>
    </row>
    <row r="724" spans="1:5" ht="16.5" customHeight="1" x14ac:dyDescent="0.25">
      <c r="A724" s="95">
        <v>719</v>
      </c>
      <c r="B724" s="89">
        <v>46073</v>
      </c>
      <c r="C724" s="90" t="s">
        <v>1340</v>
      </c>
      <c r="D724" s="96">
        <v>53430</v>
      </c>
      <c r="E724" s="96">
        <v>0</v>
      </c>
    </row>
    <row r="725" spans="1:5" ht="16.5" customHeight="1" x14ac:dyDescent="0.25">
      <c r="A725" s="95">
        <v>720</v>
      </c>
      <c r="B725" s="89">
        <v>46073</v>
      </c>
      <c r="C725" s="90" t="s">
        <v>1341</v>
      </c>
      <c r="D725" s="96">
        <v>22023</v>
      </c>
      <c r="E725" s="96">
        <v>0</v>
      </c>
    </row>
    <row r="726" spans="1:5" ht="16.5" customHeight="1" x14ac:dyDescent="0.25">
      <c r="A726" s="95">
        <v>721</v>
      </c>
      <c r="B726" s="89">
        <v>46073</v>
      </c>
      <c r="C726" s="90" t="s">
        <v>1342</v>
      </c>
      <c r="D726" s="96">
        <v>35278</v>
      </c>
      <c r="E726" s="96">
        <v>0</v>
      </c>
    </row>
    <row r="727" spans="1:5" ht="16.5" customHeight="1" x14ac:dyDescent="0.25">
      <c r="A727" s="95">
        <v>722</v>
      </c>
      <c r="B727" s="89">
        <v>46073</v>
      </c>
      <c r="C727" s="90" t="s">
        <v>1343</v>
      </c>
      <c r="D727" s="96">
        <v>251542</v>
      </c>
      <c r="E727" s="96">
        <v>0</v>
      </c>
    </row>
    <row r="728" spans="1:5" ht="16.5" customHeight="1" x14ac:dyDescent="0.25">
      <c r="A728" s="95">
        <v>723</v>
      </c>
      <c r="B728" s="89">
        <v>46073</v>
      </c>
      <c r="C728" s="90" t="s">
        <v>1344</v>
      </c>
      <c r="D728" s="96">
        <v>124000</v>
      </c>
      <c r="E728" s="96">
        <v>0</v>
      </c>
    </row>
    <row r="729" spans="1:5" ht="16.5" customHeight="1" x14ac:dyDescent="0.25">
      <c r="A729" s="95">
        <v>724</v>
      </c>
      <c r="B729" s="89">
        <v>46073</v>
      </c>
      <c r="C729" s="90" t="s">
        <v>1345</v>
      </c>
      <c r="D729" s="96">
        <v>48500</v>
      </c>
      <c r="E729" s="96">
        <v>0</v>
      </c>
    </row>
    <row r="730" spans="1:5" ht="16.5" customHeight="1" x14ac:dyDescent="0.25">
      <c r="A730" s="95">
        <v>725</v>
      </c>
      <c r="B730" s="89">
        <v>46076</v>
      </c>
      <c r="C730" s="90" t="s">
        <v>1346</v>
      </c>
      <c r="D730" s="96">
        <v>0</v>
      </c>
      <c r="E730" s="96">
        <v>16727</v>
      </c>
    </row>
    <row r="731" spans="1:5" ht="16.5" customHeight="1" x14ac:dyDescent="0.25">
      <c r="A731" s="95">
        <v>726</v>
      </c>
      <c r="B731" s="89">
        <v>46077</v>
      </c>
      <c r="C731" s="90" t="s">
        <v>1296</v>
      </c>
      <c r="D731" s="96">
        <v>137500</v>
      </c>
      <c r="E731" s="96">
        <v>0</v>
      </c>
    </row>
    <row r="732" spans="1:5" ht="16.5" customHeight="1" x14ac:dyDescent="0.25">
      <c r="A732" s="95">
        <v>727</v>
      </c>
      <c r="B732" s="89">
        <v>46077</v>
      </c>
      <c r="C732" s="90" t="s">
        <v>1347</v>
      </c>
      <c r="D732" s="96">
        <v>16770</v>
      </c>
      <c r="E732" s="96">
        <v>0</v>
      </c>
    </row>
    <row r="733" spans="1:5" ht="16.5" customHeight="1" x14ac:dyDescent="0.25">
      <c r="A733" s="95">
        <v>728</v>
      </c>
      <c r="B733" s="89">
        <v>46078</v>
      </c>
      <c r="C733" s="90" t="s">
        <v>1348</v>
      </c>
      <c r="D733" s="96">
        <v>13457</v>
      </c>
      <c r="E733" s="96">
        <v>0</v>
      </c>
    </row>
    <row r="734" spans="1:5" ht="16.5" customHeight="1" x14ac:dyDescent="0.25">
      <c r="A734" s="95">
        <v>729</v>
      </c>
      <c r="B734" s="89">
        <v>46080</v>
      </c>
      <c r="C734" s="90" t="s">
        <v>1349</v>
      </c>
      <c r="D734" s="96">
        <v>13024</v>
      </c>
      <c r="E734" s="96">
        <v>0</v>
      </c>
    </row>
    <row r="735" spans="1:5" ht="16.5" customHeight="1" x14ac:dyDescent="0.25">
      <c r="A735" s="95">
        <v>730</v>
      </c>
      <c r="B735" s="89">
        <v>46081</v>
      </c>
      <c r="C735" s="90" t="s">
        <v>764</v>
      </c>
      <c r="D735" s="96">
        <v>500000</v>
      </c>
      <c r="E735" s="96">
        <v>0</v>
      </c>
    </row>
    <row r="736" spans="1:5" ht="16.5" customHeight="1" x14ac:dyDescent="0.25">
      <c r="A736" s="95">
        <v>731</v>
      </c>
      <c r="B736" s="89">
        <v>46081</v>
      </c>
      <c r="C736" s="90" t="s">
        <v>1297</v>
      </c>
      <c r="D736" s="96">
        <v>98707</v>
      </c>
      <c r="E736" s="96">
        <v>0</v>
      </c>
    </row>
    <row r="737" spans="1:5" ht="16.5" customHeight="1" x14ac:dyDescent="0.25">
      <c r="A737" s="95">
        <v>732</v>
      </c>
      <c r="B737" s="89">
        <v>46081</v>
      </c>
      <c r="C737" s="90" t="s">
        <v>1350</v>
      </c>
      <c r="D737" s="96">
        <v>212213</v>
      </c>
      <c r="E737" s="96">
        <v>0</v>
      </c>
    </row>
    <row r="738" spans="1:5" ht="16.5" customHeight="1" x14ac:dyDescent="0.25">
      <c r="A738" s="95">
        <v>733</v>
      </c>
      <c r="B738" s="89">
        <v>46084</v>
      </c>
      <c r="C738" s="90" t="s">
        <v>1351</v>
      </c>
      <c r="D738" s="96">
        <v>23430</v>
      </c>
      <c r="E738" s="96">
        <v>0</v>
      </c>
    </row>
    <row r="739" spans="1:5" ht="16.5" customHeight="1" x14ac:dyDescent="0.25">
      <c r="A739" s="95">
        <v>734</v>
      </c>
      <c r="B739" s="89">
        <v>46084</v>
      </c>
      <c r="C739" s="90" t="s">
        <v>1352</v>
      </c>
      <c r="D739" s="96">
        <v>178615</v>
      </c>
      <c r="E739" s="96">
        <v>0</v>
      </c>
    </row>
    <row r="740" spans="1:5" ht="16.5" customHeight="1" x14ac:dyDescent="0.25">
      <c r="A740" s="95">
        <v>735</v>
      </c>
      <c r="B740" s="89">
        <v>46085</v>
      </c>
      <c r="C740" s="90" t="s">
        <v>1353</v>
      </c>
      <c r="D740" s="96">
        <v>108000</v>
      </c>
      <c r="E740" s="96">
        <v>0</v>
      </c>
    </row>
    <row r="741" spans="1:5" ht="16.5" customHeight="1" x14ac:dyDescent="0.25">
      <c r="A741" s="95">
        <v>736</v>
      </c>
      <c r="B741" s="89">
        <v>46085</v>
      </c>
      <c r="C741" s="90" t="s">
        <v>1354</v>
      </c>
      <c r="D741" s="96">
        <v>64254</v>
      </c>
      <c r="E741" s="96">
        <v>0</v>
      </c>
    </row>
    <row r="742" spans="1:5" ht="16.5" customHeight="1" x14ac:dyDescent="0.25">
      <c r="A742" s="95">
        <v>737</v>
      </c>
      <c r="B742" s="89">
        <v>46085</v>
      </c>
      <c r="C742" s="90" t="s">
        <v>1355</v>
      </c>
      <c r="D742" s="96">
        <v>88321</v>
      </c>
      <c r="E742" s="96">
        <v>0</v>
      </c>
    </row>
    <row r="743" spans="1:5" ht="16.5" customHeight="1" x14ac:dyDescent="0.25">
      <c r="A743" s="95">
        <v>738</v>
      </c>
      <c r="B743" s="89">
        <v>46086</v>
      </c>
      <c r="C743" s="90" t="s">
        <v>1356</v>
      </c>
      <c r="D743" s="96">
        <v>24000</v>
      </c>
      <c r="E743" s="96">
        <v>0</v>
      </c>
    </row>
    <row r="744" spans="1:5" ht="16.5" customHeight="1" x14ac:dyDescent="0.25">
      <c r="A744" s="95">
        <v>739</v>
      </c>
      <c r="B744" s="89">
        <v>46086</v>
      </c>
      <c r="C744" s="90" t="s">
        <v>1357</v>
      </c>
      <c r="D744" s="96">
        <v>180000</v>
      </c>
      <c r="E744" s="96">
        <v>0</v>
      </c>
    </row>
    <row r="745" spans="1:5" ht="16.5" customHeight="1" x14ac:dyDescent="0.25">
      <c r="A745" s="95">
        <v>740</v>
      </c>
      <c r="B745" s="89">
        <v>46086</v>
      </c>
      <c r="C745" s="90" t="s">
        <v>1358</v>
      </c>
      <c r="D745" s="96">
        <v>27804</v>
      </c>
      <c r="E745" s="96">
        <v>0</v>
      </c>
    </row>
    <row r="746" spans="1:5" ht="16.5" customHeight="1" x14ac:dyDescent="0.25">
      <c r="A746" s="95">
        <v>741</v>
      </c>
      <c r="B746" s="89">
        <v>46086</v>
      </c>
      <c r="C746" s="90" t="s">
        <v>1359</v>
      </c>
      <c r="D746" s="96">
        <v>58678</v>
      </c>
      <c r="E746" s="96">
        <v>0</v>
      </c>
    </row>
    <row r="747" spans="1:5" ht="16.5" customHeight="1" x14ac:dyDescent="0.25">
      <c r="A747" s="95">
        <v>742</v>
      </c>
      <c r="B747" s="89">
        <v>46086</v>
      </c>
      <c r="C747" s="90" t="s">
        <v>1360</v>
      </c>
      <c r="D747" s="96">
        <v>27940</v>
      </c>
      <c r="E747" s="96">
        <v>0</v>
      </c>
    </row>
    <row r="748" spans="1:5" ht="16.5" customHeight="1" x14ac:dyDescent="0.25">
      <c r="A748" s="95">
        <v>743</v>
      </c>
      <c r="B748" s="89">
        <v>46091</v>
      </c>
      <c r="C748" s="90" t="s">
        <v>1361</v>
      </c>
      <c r="D748" s="96">
        <v>10759</v>
      </c>
      <c r="E748" s="96">
        <v>0</v>
      </c>
    </row>
    <row r="749" spans="1:5" ht="16.5" customHeight="1" x14ac:dyDescent="0.25">
      <c r="A749" s="95">
        <v>744</v>
      </c>
      <c r="B749" s="89">
        <v>46094</v>
      </c>
      <c r="C749" s="90" t="s">
        <v>1362</v>
      </c>
      <c r="D749" s="96">
        <v>416332</v>
      </c>
      <c r="E749" s="96">
        <v>0</v>
      </c>
    </row>
    <row r="750" spans="1:5" ht="16.5" customHeight="1" x14ac:dyDescent="0.25">
      <c r="A750" s="95">
        <v>745</v>
      </c>
      <c r="B750" s="89">
        <v>46094</v>
      </c>
      <c r="C750" s="90" t="s">
        <v>1363</v>
      </c>
      <c r="D750" s="96">
        <v>0</v>
      </c>
      <c r="E750" s="96">
        <v>8630</v>
      </c>
    </row>
    <row r="751" spans="1:5" ht="16.5" customHeight="1" x14ac:dyDescent="0.25">
      <c r="A751" s="95">
        <v>746</v>
      </c>
      <c r="B751" s="89">
        <v>46094</v>
      </c>
      <c r="C751" s="90" t="s">
        <v>1364</v>
      </c>
      <c r="D751" s="96">
        <v>52690</v>
      </c>
      <c r="E751" s="96">
        <v>0</v>
      </c>
    </row>
    <row r="752" spans="1:5" ht="16.5" customHeight="1" x14ac:dyDescent="0.25">
      <c r="A752" s="95">
        <v>747</v>
      </c>
      <c r="B752" s="89">
        <v>46095</v>
      </c>
      <c r="C752" s="90" t="s">
        <v>1365</v>
      </c>
      <c r="D752" s="96">
        <v>55192</v>
      </c>
      <c r="E752" s="96">
        <v>0</v>
      </c>
    </row>
    <row r="753" spans="1:5" ht="16.5" customHeight="1" x14ac:dyDescent="0.25">
      <c r="A753" s="95">
        <v>748</v>
      </c>
      <c r="B753" s="89">
        <v>46095</v>
      </c>
      <c r="C753" s="90" t="s">
        <v>1366</v>
      </c>
      <c r="D753" s="96">
        <v>7942</v>
      </c>
      <c r="E753" s="96">
        <v>0</v>
      </c>
    </row>
    <row r="754" spans="1:5" ht="16.5" customHeight="1" x14ac:dyDescent="0.25">
      <c r="A754" s="95">
        <v>749</v>
      </c>
      <c r="B754" s="89">
        <v>46095</v>
      </c>
      <c r="C754" s="90" t="s">
        <v>1367</v>
      </c>
      <c r="D754" s="96">
        <v>168829</v>
      </c>
      <c r="E754" s="96">
        <v>0</v>
      </c>
    </row>
    <row r="755" spans="1:5" ht="16.5" customHeight="1" x14ac:dyDescent="0.25">
      <c r="A755" s="95">
        <v>750</v>
      </c>
      <c r="B755" s="89">
        <v>46095</v>
      </c>
      <c r="C755" s="90" t="s">
        <v>1368</v>
      </c>
      <c r="D755" s="96">
        <v>273000</v>
      </c>
      <c r="E755" s="96">
        <v>0</v>
      </c>
    </row>
    <row r="756" spans="1:5" ht="16.5" customHeight="1" x14ac:dyDescent="0.25">
      <c r="A756" s="95">
        <v>751</v>
      </c>
      <c r="B756" s="89">
        <v>46097</v>
      </c>
      <c r="C756" s="90" t="s">
        <v>764</v>
      </c>
      <c r="D756" s="96">
        <v>1000000</v>
      </c>
      <c r="E756" s="96">
        <v>0</v>
      </c>
    </row>
    <row r="757" spans="1:5" ht="16.5" customHeight="1" x14ac:dyDescent="0.25">
      <c r="A757" s="95">
        <v>752</v>
      </c>
      <c r="B757" s="89">
        <v>46097</v>
      </c>
      <c r="C757" s="90" t="s">
        <v>1369</v>
      </c>
      <c r="D757" s="96">
        <v>12413</v>
      </c>
      <c r="E757" s="96">
        <v>0</v>
      </c>
    </row>
    <row r="758" spans="1:5" ht="16.5" customHeight="1" x14ac:dyDescent="0.25">
      <c r="A758" s="95">
        <v>753</v>
      </c>
      <c r="B758" s="89">
        <v>46097</v>
      </c>
      <c r="C758" s="90" t="s">
        <v>1370</v>
      </c>
      <c r="D758" s="96">
        <v>53202</v>
      </c>
      <c r="E758" s="96">
        <v>0</v>
      </c>
    </row>
    <row r="759" spans="1:5" ht="16.5" customHeight="1" x14ac:dyDescent="0.25">
      <c r="A759" s="95">
        <v>754</v>
      </c>
      <c r="B759" s="89">
        <v>46107</v>
      </c>
      <c r="C759" s="90" t="s">
        <v>1371</v>
      </c>
      <c r="D759" s="96">
        <v>3950553</v>
      </c>
      <c r="E759" s="96">
        <v>0</v>
      </c>
    </row>
    <row r="760" spans="1:5" ht="16.5" customHeight="1" x14ac:dyDescent="0.25">
      <c r="A760" s="95">
        <v>755</v>
      </c>
      <c r="B760" s="89">
        <v>46108</v>
      </c>
      <c r="C760" s="90" t="s">
        <v>1372</v>
      </c>
      <c r="D760" s="96">
        <v>45151</v>
      </c>
      <c r="E760" s="96">
        <v>0</v>
      </c>
    </row>
    <row r="761" spans="1:5" ht="16.5" customHeight="1" x14ac:dyDescent="0.25">
      <c r="A761" s="95">
        <v>756</v>
      </c>
      <c r="B761" s="104">
        <v>46118</v>
      </c>
      <c r="C761" s="105" t="s">
        <v>3</v>
      </c>
      <c r="D761" s="106">
        <v>986000</v>
      </c>
    </row>
    <row r="762" spans="1:5" ht="16.5" customHeight="1" x14ac:dyDescent="0.25">
      <c r="A762" s="95">
        <v>757</v>
      </c>
      <c r="B762" s="104">
        <v>46118</v>
      </c>
      <c r="C762" s="105" t="s">
        <v>8</v>
      </c>
      <c r="D762" s="106">
        <v>665290</v>
      </c>
    </row>
    <row r="763" spans="1:5" ht="16.5" customHeight="1" x14ac:dyDescent="0.25">
      <c r="A763" s="95">
        <v>758</v>
      </c>
      <c r="B763" s="104">
        <v>46118</v>
      </c>
      <c r="C763" s="105" t="s">
        <v>12</v>
      </c>
      <c r="D763" s="106">
        <v>915500</v>
      </c>
    </row>
    <row r="764" spans="1:5" ht="16.5" customHeight="1" x14ac:dyDescent="0.25">
      <c r="A764" s="95">
        <v>759</v>
      </c>
      <c r="B764" s="104">
        <v>46116</v>
      </c>
      <c r="C764" s="105" t="s">
        <v>19</v>
      </c>
      <c r="D764" s="106">
        <v>26200</v>
      </c>
    </row>
    <row r="765" spans="1:5" ht="16.5" customHeight="1" x14ac:dyDescent="0.25">
      <c r="A765" s="95">
        <v>760</v>
      </c>
      <c r="B765" s="107">
        <v>46120</v>
      </c>
      <c r="C765" s="108" t="s">
        <v>25</v>
      </c>
      <c r="D765" s="106">
        <v>49223</v>
      </c>
    </row>
    <row r="766" spans="1:5" ht="16.5" customHeight="1" x14ac:dyDescent="0.25">
      <c r="A766" s="95">
        <v>761</v>
      </c>
      <c r="B766" s="109">
        <v>46120</v>
      </c>
      <c r="C766" s="110" t="s">
        <v>25</v>
      </c>
      <c r="D766" s="106">
        <v>20324</v>
      </c>
    </row>
    <row r="767" spans="1:5" ht="16.5" customHeight="1" x14ac:dyDescent="0.25">
      <c r="A767" s="95">
        <v>762</v>
      </c>
      <c r="B767" s="104">
        <v>46119</v>
      </c>
      <c r="C767" s="105" t="s">
        <v>34</v>
      </c>
      <c r="D767" s="106">
        <v>44329</v>
      </c>
    </row>
    <row r="768" spans="1:5" ht="16.5" customHeight="1" x14ac:dyDescent="0.25">
      <c r="A768" s="95">
        <v>763</v>
      </c>
      <c r="B768" s="104">
        <v>46120</v>
      </c>
      <c r="C768" s="105" t="s">
        <v>39</v>
      </c>
      <c r="D768" s="106">
        <v>21448</v>
      </c>
    </row>
    <row r="769" spans="1:4" ht="16.5" customHeight="1" x14ac:dyDescent="0.25">
      <c r="A769" s="95">
        <v>764</v>
      </c>
      <c r="B769" s="104">
        <v>46118</v>
      </c>
      <c r="C769" s="105" t="s">
        <v>44</v>
      </c>
      <c r="D769" s="111">
        <v>58.898000000000003</v>
      </c>
    </row>
    <row r="770" spans="1:4" ht="16.5" customHeight="1" x14ac:dyDescent="0.25">
      <c r="A770" s="95">
        <v>765</v>
      </c>
      <c r="B770" s="104">
        <v>46119</v>
      </c>
      <c r="C770" s="105" t="s">
        <v>44</v>
      </c>
      <c r="D770" s="106">
        <v>117306</v>
      </c>
    </row>
    <row r="771" spans="1:4" ht="16.5" customHeight="1" x14ac:dyDescent="0.25">
      <c r="A771" s="95">
        <v>766</v>
      </c>
      <c r="B771" s="104">
        <v>46119</v>
      </c>
      <c r="C771" s="105" t="s">
        <v>50</v>
      </c>
      <c r="D771" s="111">
        <v>147.75899999999999</v>
      </c>
    </row>
    <row r="772" spans="1:4" ht="16.5" customHeight="1" x14ac:dyDescent="0.25">
      <c r="A772" s="95">
        <v>767</v>
      </c>
      <c r="B772" s="104">
        <v>46119</v>
      </c>
      <c r="C772" s="105" t="s">
        <v>57</v>
      </c>
      <c r="D772" s="106">
        <v>160000</v>
      </c>
    </row>
    <row r="773" spans="1:4" ht="16.5" customHeight="1" x14ac:dyDescent="0.25">
      <c r="A773" s="95">
        <v>768</v>
      </c>
      <c r="B773" s="104">
        <v>46122</v>
      </c>
      <c r="C773" s="105" t="s">
        <v>63</v>
      </c>
      <c r="D773" s="106">
        <v>39000</v>
      </c>
    </row>
    <row r="774" spans="1:4" ht="16.5" customHeight="1" x14ac:dyDescent="0.25">
      <c r="A774" s="95">
        <v>769</v>
      </c>
      <c r="B774" s="104">
        <v>46122</v>
      </c>
      <c r="C774" s="105" t="s">
        <v>68</v>
      </c>
      <c r="D774" s="106">
        <v>92000</v>
      </c>
    </row>
    <row r="775" spans="1:4" ht="16.5" customHeight="1" x14ac:dyDescent="0.25">
      <c r="A775" s="95">
        <v>770</v>
      </c>
      <c r="B775" s="104">
        <v>46120</v>
      </c>
      <c r="C775" s="105" t="s">
        <v>72</v>
      </c>
      <c r="D775" s="106">
        <v>30000</v>
      </c>
    </row>
    <row r="776" spans="1:4" ht="16.5" customHeight="1" x14ac:dyDescent="0.25">
      <c r="A776" s="95">
        <v>771</v>
      </c>
      <c r="B776" s="104">
        <v>46120</v>
      </c>
      <c r="C776" s="105" t="s">
        <v>78</v>
      </c>
      <c r="D776" s="106">
        <v>5000</v>
      </c>
    </row>
    <row r="777" spans="1:4" ht="16.5" customHeight="1" x14ac:dyDescent="0.25">
      <c r="A777" s="95">
        <v>772</v>
      </c>
      <c r="B777" s="104">
        <v>46119</v>
      </c>
      <c r="C777" s="105" t="s">
        <v>82</v>
      </c>
      <c r="D777" s="106">
        <v>300000</v>
      </c>
    </row>
    <row r="778" spans="1:4" ht="16.5" customHeight="1" x14ac:dyDescent="0.25">
      <c r="A778" s="95">
        <v>773</v>
      </c>
      <c r="B778" s="104">
        <v>46119</v>
      </c>
      <c r="C778" s="105" t="s">
        <v>87</v>
      </c>
      <c r="D778" s="106">
        <v>10000</v>
      </c>
    </row>
    <row r="779" spans="1:4" ht="16.5" customHeight="1" x14ac:dyDescent="0.25">
      <c r="A779" s="95">
        <v>774</v>
      </c>
      <c r="B779" s="104">
        <v>46119</v>
      </c>
      <c r="C779" s="105" t="s">
        <v>88</v>
      </c>
      <c r="D779" s="106">
        <v>55000</v>
      </c>
    </row>
    <row r="780" spans="1:4" ht="16.5" customHeight="1" x14ac:dyDescent="0.25">
      <c r="A780" s="95">
        <v>775</v>
      </c>
      <c r="B780" s="104">
        <v>46119</v>
      </c>
      <c r="C780" s="105" t="s">
        <v>90</v>
      </c>
      <c r="D780" s="106">
        <v>450000</v>
      </c>
    </row>
    <row r="781" spans="1:4" ht="16.5" customHeight="1" x14ac:dyDescent="0.25">
      <c r="A781" s="95">
        <v>776</v>
      </c>
      <c r="B781" s="104">
        <v>46120</v>
      </c>
      <c r="C781" s="105" t="s">
        <v>94</v>
      </c>
      <c r="D781" s="106">
        <v>400000</v>
      </c>
    </row>
    <row r="782" spans="1:4" ht="16.5" customHeight="1" x14ac:dyDescent="0.25">
      <c r="A782" s="95">
        <v>777</v>
      </c>
      <c r="B782" s="104">
        <v>46120</v>
      </c>
      <c r="C782" s="112" t="s">
        <v>97</v>
      </c>
      <c r="D782" s="106">
        <v>4200000</v>
      </c>
    </row>
    <row r="783" spans="1:4" ht="16.5" customHeight="1" x14ac:dyDescent="0.25">
      <c r="A783" s="95">
        <v>778</v>
      </c>
      <c r="B783" s="104">
        <v>46120</v>
      </c>
      <c r="C783" s="112" t="s">
        <v>98</v>
      </c>
      <c r="D783" s="106">
        <v>1100000</v>
      </c>
    </row>
    <row r="784" spans="1:4" ht="16.5" customHeight="1" x14ac:dyDescent="0.25">
      <c r="A784" s="95">
        <v>779</v>
      </c>
      <c r="B784" s="104">
        <v>46120</v>
      </c>
      <c r="C784" s="112" t="s">
        <v>99</v>
      </c>
      <c r="D784" s="106">
        <v>1000000</v>
      </c>
    </row>
    <row r="785" spans="1:4" ht="16.5" customHeight="1" x14ac:dyDescent="0.25">
      <c r="A785" s="95">
        <v>780</v>
      </c>
      <c r="B785" s="104">
        <v>46120</v>
      </c>
      <c r="C785" s="105" t="s">
        <v>100</v>
      </c>
      <c r="D785" s="106">
        <v>25000</v>
      </c>
    </row>
    <row r="786" spans="1:4" ht="16.5" customHeight="1" x14ac:dyDescent="0.25">
      <c r="A786" s="95">
        <v>781</v>
      </c>
      <c r="B786" s="104">
        <v>46120</v>
      </c>
      <c r="C786" s="105" t="s">
        <v>102</v>
      </c>
      <c r="D786" s="106">
        <v>380000</v>
      </c>
    </row>
    <row r="787" spans="1:4" ht="16.5" customHeight="1" x14ac:dyDescent="0.25">
      <c r="A787" s="95">
        <v>782</v>
      </c>
      <c r="B787" s="104">
        <v>46120</v>
      </c>
      <c r="C787" s="113" t="s">
        <v>103</v>
      </c>
      <c r="D787" s="106">
        <v>765000</v>
      </c>
    </row>
    <row r="788" spans="1:4" ht="16.5" customHeight="1" x14ac:dyDescent="0.25">
      <c r="A788" s="95">
        <v>783</v>
      </c>
      <c r="B788" s="104">
        <v>46120</v>
      </c>
      <c r="C788" s="105" t="s">
        <v>104</v>
      </c>
      <c r="D788" s="106">
        <v>13700</v>
      </c>
    </row>
    <row r="789" spans="1:4" ht="16.5" customHeight="1" x14ac:dyDescent="0.25">
      <c r="A789" s="95">
        <v>784</v>
      </c>
      <c r="B789" s="104">
        <v>46125.375</v>
      </c>
      <c r="C789" s="105" t="s">
        <v>109</v>
      </c>
      <c r="D789" s="106">
        <v>34000</v>
      </c>
    </row>
    <row r="790" spans="1:4" ht="16.5" customHeight="1" x14ac:dyDescent="0.25">
      <c r="A790" s="95">
        <v>785</v>
      </c>
      <c r="B790" s="104">
        <v>46125.375</v>
      </c>
      <c r="C790" s="105" t="s">
        <v>109</v>
      </c>
      <c r="D790" s="106">
        <v>32300</v>
      </c>
    </row>
    <row r="791" spans="1:4" ht="16.5" customHeight="1" x14ac:dyDescent="0.25">
      <c r="A791" s="95">
        <v>786</v>
      </c>
      <c r="B791" s="104">
        <v>46120</v>
      </c>
      <c r="C791" s="105" t="s">
        <v>102</v>
      </c>
      <c r="D791" s="106">
        <v>380000</v>
      </c>
    </row>
    <row r="792" spans="1:4" ht="16.5" customHeight="1" x14ac:dyDescent="0.25">
      <c r="A792" s="95">
        <v>787</v>
      </c>
      <c r="B792" s="104">
        <v>46120</v>
      </c>
      <c r="C792" s="105" t="s">
        <v>103</v>
      </c>
      <c r="D792" s="106">
        <v>765000</v>
      </c>
    </row>
    <row r="793" spans="1:4" ht="16.5" customHeight="1" x14ac:dyDescent="0.25">
      <c r="A793" s="95">
        <v>788</v>
      </c>
      <c r="B793" s="104">
        <v>46122</v>
      </c>
      <c r="C793" s="105" t="s">
        <v>118</v>
      </c>
      <c r="D793" s="106">
        <v>30000</v>
      </c>
    </row>
    <row r="794" spans="1:4" ht="16.5" customHeight="1" x14ac:dyDescent="0.25">
      <c r="A794" s="95">
        <v>789</v>
      </c>
      <c r="B794" s="104">
        <v>46123</v>
      </c>
      <c r="C794" s="105" t="s">
        <v>123</v>
      </c>
      <c r="D794" s="106">
        <v>55544</v>
      </c>
    </row>
    <row r="795" spans="1:4" ht="16.5" customHeight="1" x14ac:dyDescent="0.25">
      <c r="A795" s="95">
        <v>790</v>
      </c>
      <c r="B795" s="104">
        <v>46123</v>
      </c>
      <c r="C795" s="105" t="s">
        <v>127</v>
      </c>
      <c r="D795" s="106">
        <v>240505</v>
      </c>
    </row>
    <row r="796" spans="1:4" ht="16.5" customHeight="1" x14ac:dyDescent="0.25">
      <c r="A796" s="95">
        <v>791</v>
      </c>
      <c r="B796" s="104">
        <v>46123</v>
      </c>
      <c r="C796" s="112" t="s">
        <v>130</v>
      </c>
      <c r="D796" s="106">
        <v>20201</v>
      </c>
    </row>
    <row r="797" spans="1:4" ht="16.5" customHeight="1" x14ac:dyDescent="0.25">
      <c r="A797" s="95">
        <v>792</v>
      </c>
      <c r="B797" s="104">
        <v>46123</v>
      </c>
      <c r="C797" s="112" t="s">
        <v>134</v>
      </c>
      <c r="D797" s="106">
        <v>139763</v>
      </c>
    </row>
    <row r="798" spans="1:4" ht="16.5" customHeight="1" x14ac:dyDescent="0.25">
      <c r="A798" s="95">
        <v>793</v>
      </c>
      <c r="B798" s="104">
        <v>46123</v>
      </c>
      <c r="C798" s="112" t="s">
        <v>134</v>
      </c>
      <c r="D798" s="106">
        <v>74978</v>
      </c>
    </row>
    <row r="799" spans="1:4" ht="16.5" customHeight="1" x14ac:dyDescent="0.25">
      <c r="A799" s="95">
        <v>794</v>
      </c>
      <c r="B799" s="104">
        <v>46123</v>
      </c>
      <c r="C799" s="105" t="s">
        <v>141</v>
      </c>
      <c r="D799" s="106">
        <v>134820</v>
      </c>
    </row>
    <row r="800" spans="1:4" ht="16.5" customHeight="1" x14ac:dyDescent="0.25">
      <c r="A800" s="95">
        <v>795</v>
      </c>
      <c r="B800" s="104">
        <v>46123</v>
      </c>
      <c r="C800" s="112" t="s">
        <v>145</v>
      </c>
      <c r="D800" s="106">
        <v>36406</v>
      </c>
    </row>
    <row r="801" spans="1:4" ht="16.5" customHeight="1" x14ac:dyDescent="0.25">
      <c r="A801" s="95">
        <v>796</v>
      </c>
      <c r="B801" s="104">
        <v>46123</v>
      </c>
      <c r="C801" s="112" t="s">
        <v>134</v>
      </c>
      <c r="D801" s="106">
        <v>220572</v>
      </c>
    </row>
    <row r="802" spans="1:4" ht="16.5" customHeight="1" x14ac:dyDescent="0.25">
      <c r="A802" s="95">
        <v>797</v>
      </c>
      <c r="B802" s="104">
        <v>46125</v>
      </c>
      <c r="C802" s="105" t="s">
        <v>153</v>
      </c>
      <c r="D802" s="106">
        <v>220000</v>
      </c>
    </row>
    <row r="803" spans="1:4" ht="16.5" customHeight="1" x14ac:dyDescent="0.25">
      <c r="A803" s="95">
        <v>798</v>
      </c>
      <c r="B803" s="104">
        <v>46127</v>
      </c>
      <c r="C803" s="105" t="s">
        <v>156</v>
      </c>
      <c r="D803" s="106">
        <v>57900</v>
      </c>
    </row>
    <row r="804" spans="1:4" ht="16.5" customHeight="1" x14ac:dyDescent="0.25">
      <c r="A804" s="95">
        <v>799</v>
      </c>
      <c r="B804" s="104">
        <v>46127</v>
      </c>
      <c r="C804" s="112" t="s">
        <v>161</v>
      </c>
      <c r="D804" s="106">
        <v>7082</v>
      </c>
    </row>
    <row r="805" spans="1:4" ht="16.5" customHeight="1" x14ac:dyDescent="0.25">
      <c r="A805" s="95">
        <v>800</v>
      </c>
      <c r="B805" s="104">
        <v>46132</v>
      </c>
      <c r="C805" s="105" t="s">
        <v>165</v>
      </c>
      <c r="D805" s="106">
        <v>10000</v>
      </c>
    </row>
    <row r="806" spans="1:4" ht="16.5" customHeight="1" x14ac:dyDescent="0.25">
      <c r="A806" s="95">
        <v>801</v>
      </c>
      <c r="B806" s="104">
        <v>46126</v>
      </c>
      <c r="C806" s="105" t="s">
        <v>170</v>
      </c>
      <c r="D806" s="106">
        <v>97900</v>
      </c>
    </row>
    <row r="807" spans="1:4" ht="16.5" customHeight="1" x14ac:dyDescent="0.25">
      <c r="A807" s="95">
        <v>802</v>
      </c>
      <c r="B807" s="104">
        <v>46127</v>
      </c>
      <c r="C807" s="105" t="s">
        <v>175</v>
      </c>
      <c r="D807" s="106">
        <v>9200000</v>
      </c>
    </row>
    <row r="808" spans="1:4" ht="16.5" customHeight="1" x14ac:dyDescent="0.25">
      <c r="A808" s="95">
        <v>803</v>
      </c>
      <c r="B808" s="104">
        <v>46128</v>
      </c>
      <c r="C808" s="105" t="s">
        <v>179</v>
      </c>
      <c r="D808" s="106">
        <v>1230000</v>
      </c>
    </row>
    <row r="809" spans="1:4" ht="16.5" customHeight="1" x14ac:dyDescent="0.25">
      <c r="A809" s="95">
        <v>804</v>
      </c>
      <c r="B809" s="104">
        <v>46128</v>
      </c>
      <c r="C809" s="105" t="s">
        <v>182</v>
      </c>
      <c r="D809" s="106">
        <v>1294998</v>
      </c>
    </row>
    <row r="810" spans="1:4" ht="16.5" customHeight="1" x14ac:dyDescent="0.25">
      <c r="A810" s="95">
        <v>805</v>
      </c>
      <c r="B810" s="104">
        <v>46128</v>
      </c>
      <c r="C810" s="105" t="s">
        <v>184</v>
      </c>
      <c r="D810" s="106">
        <v>575000</v>
      </c>
    </row>
    <row r="811" spans="1:4" ht="16.5" customHeight="1" x14ac:dyDescent="0.25">
      <c r="A811" s="95">
        <v>806</v>
      </c>
      <c r="B811" s="104">
        <v>46128</v>
      </c>
      <c r="C811" s="105" t="s">
        <v>186</v>
      </c>
      <c r="D811" s="106">
        <v>587500</v>
      </c>
    </row>
    <row r="812" spans="1:4" ht="16.5" customHeight="1" x14ac:dyDescent="0.25">
      <c r="A812" s="95">
        <v>807</v>
      </c>
      <c r="B812" s="104">
        <v>46128</v>
      </c>
      <c r="C812" s="105" t="s">
        <v>188</v>
      </c>
      <c r="D812" s="106">
        <v>525000</v>
      </c>
    </row>
    <row r="813" spans="1:4" ht="16.5" customHeight="1" x14ac:dyDescent="0.25">
      <c r="A813" s="95">
        <v>808</v>
      </c>
      <c r="B813" s="104">
        <v>46128</v>
      </c>
      <c r="C813" s="105" t="s">
        <v>191</v>
      </c>
      <c r="D813" s="106">
        <v>220000</v>
      </c>
    </row>
    <row r="814" spans="1:4" ht="16.5" customHeight="1" x14ac:dyDescent="0.25">
      <c r="A814" s="95">
        <v>809</v>
      </c>
      <c r="B814" s="104">
        <v>46129</v>
      </c>
      <c r="C814" s="105" t="s">
        <v>194</v>
      </c>
      <c r="D814" s="106">
        <v>3150000</v>
      </c>
    </row>
    <row r="815" spans="1:4" ht="16.5" customHeight="1" x14ac:dyDescent="0.25">
      <c r="A815" s="95">
        <v>810</v>
      </c>
      <c r="B815" s="104">
        <v>46129</v>
      </c>
      <c r="C815" s="105" t="s">
        <v>197</v>
      </c>
      <c r="D815" s="106">
        <v>220000</v>
      </c>
    </row>
    <row r="816" spans="1:4" ht="16.5" customHeight="1" x14ac:dyDescent="0.25">
      <c r="A816" s="95">
        <v>811</v>
      </c>
      <c r="B816" s="104">
        <v>46129</v>
      </c>
      <c r="C816" s="105" t="s">
        <v>175</v>
      </c>
      <c r="D816" s="106">
        <v>9200000</v>
      </c>
    </row>
    <row r="817" spans="1:4" ht="16.5" customHeight="1" x14ac:dyDescent="0.25">
      <c r="A817" s="95">
        <v>812</v>
      </c>
      <c r="B817" s="104">
        <v>46129</v>
      </c>
      <c r="C817" s="105" t="s">
        <v>18</v>
      </c>
      <c r="D817" s="106">
        <v>60000</v>
      </c>
    </row>
    <row r="818" spans="1:4" ht="16.5" customHeight="1" x14ac:dyDescent="0.25">
      <c r="A818" s="95">
        <v>813</v>
      </c>
      <c r="B818" s="104">
        <v>46129</v>
      </c>
      <c r="C818" s="114" t="s">
        <v>194</v>
      </c>
      <c r="D818" s="106">
        <v>3150000</v>
      </c>
    </row>
    <row r="819" spans="1:4" ht="16.5" customHeight="1" x14ac:dyDescent="0.25">
      <c r="A819" s="95">
        <v>814</v>
      </c>
      <c r="B819" s="104">
        <v>46130</v>
      </c>
      <c r="C819" s="105" t="s">
        <v>210</v>
      </c>
      <c r="D819" s="106">
        <v>22338</v>
      </c>
    </row>
    <row r="820" spans="1:4" ht="16.5" customHeight="1" x14ac:dyDescent="0.25">
      <c r="A820" s="95">
        <v>815</v>
      </c>
      <c r="B820" s="104">
        <v>46130</v>
      </c>
      <c r="C820" s="105" t="s">
        <v>215</v>
      </c>
      <c r="D820" s="106">
        <v>165766</v>
      </c>
    </row>
    <row r="821" spans="1:4" ht="16.5" customHeight="1" x14ac:dyDescent="0.25">
      <c r="A821" s="95">
        <v>816</v>
      </c>
      <c r="B821" s="104">
        <v>46130</v>
      </c>
      <c r="C821" s="105" t="s">
        <v>220</v>
      </c>
      <c r="D821" s="106">
        <v>200454</v>
      </c>
    </row>
    <row r="822" spans="1:4" ht="16.5" customHeight="1" x14ac:dyDescent="0.25">
      <c r="A822" s="95">
        <v>817</v>
      </c>
      <c r="B822" s="104">
        <v>46130</v>
      </c>
      <c r="C822" s="112" t="s">
        <v>224</v>
      </c>
      <c r="D822" s="106">
        <v>70000</v>
      </c>
    </row>
    <row r="823" spans="1:4" ht="16.5" customHeight="1" x14ac:dyDescent="0.25">
      <c r="A823" s="95">
        <v>818</v>
      </c>
      <c r="B823" s="104">
        <v>46130</v>
      </c>
      <c r="C823" s="105" t="s">
        <v>225</v>
      </c>
      <c r="D823" s="106">
        <v>2500</v>
      </c>
    </row>
    <row r="824" spans="1:4" ht="16.5" customHeight="1" x14ac:dyDescent="0.25">
      <c r="A824" s="95">
        <v>819</v>
      </c>
      <c r="B824" s="104">
        <v>46130</v>
      </c>
      <c r="C824" s="105" t="s">
        <v>227</v>
      </c>
      <c r="D824" s="106">
        <v>307500</v>
      </c>
    </row>
    <row r="825" spans="1:4" ht="16.5" customHeight="1" x14ac:dyDescent="0.25">
      <c r="A825" s="95">
        <v>820</v>
      </c>
      <c r="B825" s="104">
        <v>46130</v>
      </c>
      <c r="C825" s="105" t="s">
        <v>229</v>
      </c>
      <c r="D825" s="106">
        <v>102000</v>
      </c>
    </row>
    <row r="826" spans="1:4" ht="16.5" customHeight="1" x14ac:dyDescent="0.25">
      <c r="A826" s="95">
        <v>821</v>
      </c>
      <c r="B826" s="104">
        <v>46133</v>
      </c>
      <c r="C826" s="105" t="s">
        <v>235</v>
      </c>
      <c r="D826" s="106">
        <v>21000</v>
      </c>
    </row>
    <row r="827" spans="1:4" ht="16.5" customHeight="1" x14ac:dyDescent="0.25">
      <c r="A827" s="95">
        <v>822</v>
      </c>
      <c r="B827" s="104">
        <v>46133</v>
      </c>
      <c r="C827" s="105" t="s">
        <v>238</v>
      </c>
      <c r="D827" s="106">
        <v>57950</v>
      </c>
    </row>
    <row r="828" spans="1:4" ht="16.5" customHeight="1" x14ac:dyDescent="0.25">
      <c r="A828" s="95">
        <v>823</v>
      </c>
      <c r="B828" s="104">
        <v>46132</v>
      </c>
      <c r="C828" s="105" t="s">
        <v>194</v>
      </c>
      <c r="D828" s="106">
        <v>3150000</v>
      </c>
    </row>
    <row r="829" spans="1:4" ht="16.5" customHeight="1" x14ac:dyDescent="0.25">
      <c r="A829" s="95">
        <v>824</v>
      </c>
      <c r="B829" s="104">
        <v>46132</v>
      </c>
      <c r="C829" s="105" t="s">
        <v>194</v>
      </c>
      <c r="D829" s="106">
        <v>5100000</v>
      </c>
    </row>
    <row r="830" spans="1:4" ht="16.5" customHeight="1" x14ac:dyDescent="0.25">
      <c r="A830" s="95">
        <v>825</v>
      </c>
      <c r="B830" s="104">
        <v>46132</v>
      </c>
      <c r="C830" s="105" t="s">
        <v>194</v>
      </c>
      <c r="D830" s="106">
        <v>3150000</v>
      </c>
    </row>
    <row r="831" spans="1:4" ht="16.5" customHeight="1" x14ac:dyDescent="0.25">
      <c r="A831" s="95">
        <v>826</v>
      </c>
      <c r="B831" s="104">
        <v>46132</v>
      </c>
      <c r="C831" s="105" t="s">
        <v>247</v>
      </c>
      <c r="D831" s="106">
        <v>17973</v>
      </c>
    </row>
    <row r="832" spans="1:4" ht="16.5" customHeight="1" x14ac:dyDescent="0.25">
      <c r="A832" s="95">
        <v>827</v>
      </c>
      <c r="B832" s="104">
        <v>46133</v>
      </c>
      <c r="C832" s="105" t="s">
        <v>252</v>
      </c>
      <c r="D832" s="106">
        <v>100343</v>
      </c>
    </row>
    <row r="833" spans="1:4" ht="16.5" customHeight="1" x14ac:dyDescent="0.25">
      <c r="A833" s="95">
        <v>828</v>
      </c>
      <c r="B833" s="104">
        <v>46133</v>
      </c>
      <c r="C833" s="105" t="s">
        <v>255</v>
      </c>
      <c r="D833" s="106">
        <v>78200</v>
      </c>
    </row>
    <row r="834" spans="1:4" ht="16.5" customHeight="1" x14ac:dyDescent="0.25">
      <c r="A834" s="95">
        <v>829</v>
      </c>
      <c r="B834" s="104">
        <v>46133</v>
      </c>
      <c r="C834" s="105" t="s">
        <v>258</v>
      </c>
      <c r="D834" s="106">
        <v>9200</v>
      </c>
    </row>
    <row r="835" spans="1:4" ht="16.5" customHeight="1" x14ac:dyDescent="0.25">
      <c r="A835" s="95">
        <v>830</v>
      </c>
      <c r="B835" s="104">
        <v>46133</v>
      </c>
      <c r="C835" s="105" t="s">
        <v>263</v>
      </c>
      <c r="D835" s="106">
        <v>6850</v>
      </c>
    </row>
    <row r="836" spans="1:4" ht="16.5" customHeight="1" x14ac:dyDescent="0.25">
      <c r="A836" s="95">
        <v>831</v>
      </c>
      <c r="B836" s="104">
        <v>46133</v>
      </c>
      <c r="C836" s="105" t="s">
        <v>269</v>
      </c>
      <c r="D836" s="106">
        <v>166672</v>
      </c>
    </row>
    <row r="837" spans="1:4" ht="16.5" customHeight="1" x14ac:dyDescent="0.25">
      <c r="A837" s="95">
        <v>832</v>
      </c>
      <c r="B837" s="104">
        <v>46133</v>
      </c>
      <c r="C837" s="105" t="s">
        <v>273</v>
      </c>
      <c r="D837" s="106">
        <v>214668</v>
      </c>
    </row>
    <row r="838" spans="1:4" ht="16.5" customHeight="1" x14ac:dyDescent="0.25">
      <c r="A838" s="95">
        <v>833</v>
      </c>
      <c r="B838" s="104">
        <v>46133</v>
      </c>
      <c r="C838" s="105" t="s">
        <v>273</v>
      </c>
      <c r="D838" s="106">
        <v>214668</v>
      </c>
    </row>
    <row r="839" spans="1:4" ht="16.5" customHeight="1" x14ac:dyDescent="0.25">
      <c r="A839" s="95">
        <v>834</v>
      </c>
      <c r="B839" s="104">
        <v>46133</v>
      </c>
      <c r="C839" s="105" t="s">
        <v>273</v>
      </c>
      <c r="D839" s="106">
        <v>214668</v>
      </c>
    </row>
    <row r="840" spans="1:4" ht="16.5" customHeight="1" x14ac:dyDescent="0.25">
      <c r="A840" s="95">
        <v>835</v>
      </c>
      <c r="B840" s="104">
        <v>46133</v>
      </c>
      <c r="C840" s="105" t="s">
        <v>279</v>
      </c>
      <c r="D840" s="106">
        <v>575000</v>
      </c>
    </row>
    <row r="841" spans="1:4" ht="16.5" customHeight="1" x14ac:dyDescent="0.25">
      <c r="A841" s="95">
        <v>836</v>
      </c>
      <c r="B841" s="104">
        <v>46133</v>
      </c>
      <c r="C841" s="105" t="s">
        <v>282</v>
      </c>
      <c r="D841" s="106">
        <v>73347.3</v>
      </c>
    </row>
    <row r="842" spans="1:4" ht="16.5" customHeight="1" x14ac:dyDescent="0.25">
      <c r="A842" s="95">
        <v>837</v>
      </c>
      <c r="B842" s="104">
        <v>46133</v>
      </c>
      <c r="C842" s="105" t="s">
        <v>282</v>
      </c>
      <c r="D842" s="106">
        <v>73347.3</v>
      </c>
    </row>
    <row r="843" spans="1:4" ht="16.5" customHeight="1" x14ac:dyDescent="0.25">
      <c r="A843" s="95">
        <v>838</v>
      </c>
      <c r="B843" s="104">
        <v>46133</v>
      </c>
      <c r="C843" s="105" t="s">
        <v>282</v>
      </c>
      <c r="D843" s="106">
        <v>73347.3</v>
      </c>
    </row>
    <row r="844" spans="1:4" ht="16.5" customHeight="1" x14ac:dyDescent="0.25">
      <c r="A844" s="95">
        <v>839</v>
      </c>
      <c r="B844" s="104">
        <v>46133</v>
      </c>
      <c r="C844" s="105" t="s">
        <v>285</v>
      </c>
      <c r="D844" s="106">
        <v>10025</v>
      </c>
    </row>
    <row r="845" spans="1:4" ht="16.5" customHeight="1" x14ac:dyDescent="0.25">
      <c r="A845" s="95">
        <v>840</v>
      </c>
      <c r="B845" s="104">
        <v>46135</v>
      </c>
      <c r="C845" s="105" t="s">
        <v>285</v>
      </c>
      <c r="D845" s="106">
        <v>35400</v>
      </c>
    </row>
    <row r="846" spans="1:4" ht="16.5" customHeight="1" x14ac:dyDescent="0.25">
      <c r="A846" s="95">
        <v>841</v>
      </c>
      <c r="B846" s="104">
        <v>46133</v>
      </c>
      <c r="C846" s="105" t="s">
        <v>153</v>
      </c>
      <c r="D846" s="106">
        <v>220000</v>
      </c>
    </row>
    <row r="847" spans="1:4" ht="16.5" customHeight="1" x14ac:dyDescent="0.25">
      <c r="A847" s="95">
        <v>842</v>
      </c>
      <c r="B847" s="104">
        <v>46128</v>
      </c>
      <c r="C847" s="105" t="s">
        <v>296</v>
      </c>
      <c r="D847" s="106">
        <v>18564</v>
      </c>
    </row>
    <row r="848" spans="1:4" ht="16.5" customHeight="1" x14ac:dyDescent="0.25">
      <c r="A848" s="95">
        <v>843</v>
      </c>
      <c r="B848" s="104">
        <v>46134</v>
      </c>
      <c r="C848" s="105" t="s">
        <v>301</v>
      </c>
      <c r="D848" s="106">
        <v>200000</v>
      </c>
    </row>
    <row r="849" spans="1:4" ht="16.5" customHeight="1" x14ac:dyDescent="0.25">
      <c r="A849" s="95">
        <v>844</v>
      </c>
      <c r="B849" s="104">
        <v>46134</v>
      </c>
      <c r="C849" s="105" t="s">
        <v>304</v>
      </c>
      <c r="D849" s="106">
        <v>135000</v>
      </c>
    </row>
    <row r="850" spans="1:4" ht="16.5" customHeight="1" x14ac:dyDescent="0.25">
      <c r="A850" s="95">
        <v>845</v>
      </c>
      <c r="B850" s="104">
        <v>46134</v>
      </c>
      <c r="C850" s="105" t="s">
        <v>307</v>
      </c>
      <c r="D850" s="106">
        <v>14010</v>
      </c>
    </row>
    <row r="851" spans="1:4" ht="16.5" customHeight="1" x14ac:dyDescent="0.25">
      <c r="A851" s="95">
        <v>846</v>
      </c>
      <c r="B851" s="104">
        <v>46135</v>
      </c>
      <c r="C851" s="105" t="s">
        <v>312</v>
      </c>
      <c r="D851" s="106">
        <v>95456</v>
      </c>
    </row>
    <row r="852" spans="1:4" ht="16.5" customHeight="1" x14ac:dyDescent="0.25">
      <c r="A852" s="95">
        <v>847</v>
      </c>
      <c r="B852" s="104">
        <v>46135</v>
      </c>
      <c r="C852" s="105" t="s">
        <v>316</v>
      </c>
      <c r="D852" s="106">
        <v>71592</v>
      </c>
    </row>
    <row r="853" spans="1:4" ht="16.5" customHeight="1" x14ac:dyDescent="0.25">
      <c r="A853" s="95">
        <v>848</v>
      </c>
      <c r="B853" s="104">
        <v>46135</v>
      </c>
      <c r="C853" s="105" t="s">
        <v>318</v>
      </c>
      <c r="D853" s="106">
        <v>921449</v>
      </c>
    </row>
    <row r="854" spans="1:4" ht="16.5" customHeight="1" x14ac:dyDescent="0.25">
      <c r="A854" s="95">
        <v>849</v>
      </c>
      <c r="B854" s="104">
        <v>46135</v>
      </c>
      <c r="C854" s="105" t="s">
        <v>322</v>
      </c>
      <c r="D854" s="106">
        <v>523251</v>
      </c>
    </row>
    <row r="855" spans="1:4" ht="16.5" customHeight="1" x14ac:dyDescent="0.25">
      <c r="A855" s="95">
        <v>850</v>
      </c>
      <c r="B855" s="104">
        <v>46135</v>
      </c>
      <c r="C855" s="105" t="s">
        <v>325</v>
      </c>
      <c r="D855" s="106">
        <v>67009</v>
      </c>
    </row>
    <row r="856" spans="1:4" ht="16.5" customHeight="1" x14ac:dyDescent="0.25">
      <c r="A856" s="95">
        <v>851</v>
      </c>
      <c r="B856" s="104">
        <v>46135</v>
      </c>
      <c r="C856" s="105" t="s">
        <v>328</v>
      </c>
      <c r="D856" s="106">
        <v>19229</v>
      </c>
    </row>
    <row r="857" spans="1:4" ht="16.5" customHeight="1" x14ac:dyDescent="0.25">
      <c r="A857" s="95">
        <v>852</v>
      </c>
      <c r="B857" s="115">
        <v>46135</v>
      </c>
      <c r="C857" s="114" t="s">
        <v>331</v>
      </c>
      <c r="D857" s="106">
        <v>17351</v>
      </c>
    </row>
    <row r="858" spans="1:4" ht="16.5" customHeight="1" x14ac:dyDescent="0.25">
      <c r="A858" s="95">
        <v>853</v>
      </c>
      <c r="B858" s="104">
        <v>46135</v>
      </c>
      <c r="C858" s="105" t="s">
        <v>334</v>
      </c>
      <c r="D858" s="106">
        <v>36445</v>
      </c>
    </row>
    <row r="859" spans="1:4" ht="16.5" customHeight="1" x14ac:dyDescent="0.25">
      <c r="A859" s="95">
        <v>854</v>
      </c>
      <c r="B859" s="104">
        <v>46136</v>
      </c>
      <c r="C859" s="105" t="s">
        <v>175</v>
      </c>
      <c r="D859" s="106">
        <v>9200000</v>
      </c>
    </row>
    <row r="860" spans="1:4" ht="16.5" customHeight="1" x14ac:dyDescent="0.25">
      <c r="A860" s="95">
        <v>855</v>
      </c>
      <c r="B860" s="104">
        <v>46136</v>
      </c>
      <c r="C860" s="112" t="s">
        <v>339</v>
      </c>
      <c r="D860" s="106">
        <v>15340</v>
      </c>
    </row>
    <row r="861" spans="1:4" ht="16.5" customHeight="1" x14ac:dyDescent="0.25">
      <c r="A861" s="95">
        <v>856</v>
      </c>
      <c r="B861" s="104">
        <v>46136</v>
      </c>
      <c r="C861" s="105" t="s">
        <v>344</v>
      </c>
      <c r="D861" s="106">
        <v>275000</v>
      </c>
    </row>
    <row r="862" spans="1:4" ht="16.5" customHeight="1" x14ac:dyDescent="0.25">
      <c r="A862" s="95">
        <v>857</v>
      </c>
      <c r="B862" s="104">
        <v>46133</v>
      </c>
      <c r="C862" s="105" t="s">
        <v>345</v>
      </c>
      <c r="D862" s="106">
        <v>33000000</v>
      </c>
    </row>
    <row r="863" spans="1:4" ht="16.5" customHeight="1" x14ac:dyDescent="0.25">
      <c r="A863" s="95">
        <v>858</v>
      </c>
      <c r="B863" s="104">
        <v>46136</v>
      </c>
      <c r="C863" s="105" t="s">
        <v>348</v>
      </c>
      <c r="D863" s="106">
        <v>38173</v>
      </c>
    </row>
    <row r="864" spans="1:4" ht="16.5" customHeight="1" x14ac:dyDescent="0.25">
      <c r="A864" s="95">
        <v>859</v>
      </c>
      <c r="B864" s="104">
        <v>46140</v>
      </c>
      <c r="C864" s="105" t="s">
        <v>353</v>
      </c>
      <c r="D864" s="106">
        <v>75000</v>
      </c>
    </row>
    <row r="865" spans="1:4" ht="16.5" customHeight="1" x14ac:dyDescent="0.25">
      <c r="A865" s="95">
        <v>860</v>
      </c>
      <c r="B865" s="104">
        <v>46140</v>
      </c>
      <c r="C865" s="105" t="s">
        <v>355</v>
      </c>
      <c r="D865" s="106">
        <v>430000</v>
      </c>
    </row>
    <row r="866" spans="1:4" ht="16.5" customHeight="1" x14ac:dyDescent="0.25">
      <c r="A866" s="95">
        <v>861</v>
      </c>
      <c r="B866" s="104">
        <v>46137</v>
      </c>
      <c r="C866" s="105" t="s">
        <v>358</v>
      </c>
      <c r="D866" s="106">
        <v>70400</v>
      </c>
    </row>
    <row r="867" spans="1:4" ht="16.5" customHeight="1" x14ac:dyDescent="0.25">
      <c r="A867" s="95">
        <v>862</v>
      </c>
      <c r="B867" s="104">
        <v>46136</v>
      </c>
      <c r="C867" s="105" t="s">
        <v>363</v>
      </c>
      <c r="D867" s="106">
        <v>66900</v>
      </c>
    </row>
    <row r="868" spans="1:4" ht="16.5" customHeight="1" x14ac:dyDescent="0.25">
      <c r="A868" s="95">
        <v>863</v>
      </c>
      <c r="B868" s="104">
        <v>46141</v>
      </c>
      <c r="C868" s="105" t="s">
        <v>368</v>
      </c>
      <c r="D868" s="106">
        <v>6000</v>
      </c>
    </row>
    <row r="869" spans="1:4" ht="16.5" customHeight="1" x14ac:dyDescent="0.25">
      <c r="A869" s="95">
        <v>864</v>
      </c>
      <c r="B869" s="104">
        <v>46140</v>
      </c>
      <c r="C869" s="105" t="s">
        <v>374</v>
      </c>
      <c r="D869" s="106">
        <v>343900</v>
      </c>
    </row>
    <row r="870" spans="1:4" ht="16.5" customHeight="1" x14ac:dyDescent="0.25">
      <c r="A870" s="95">
        <v>865</v>
      </c>
      <c r="B870" s="104">
        <v>46139</v>
      </c>
      <c r="C870" s="105" t="s">
        <v>215</v>
      </c>
      <c r="D870" s="116">
        <v>562068</v>
      </c>
    </row>
    <row r="871" spans="1:4" ht="16.5" customHeight="1" x14ac:dyDescent="0.25">
      <c r="A871" s="95">
        <v>866</v>
      </c>
      <c r="B871" s="104">
        <v>46139</v>
      </c>
      <c r="C871" s="105" t="s">
        <v>381</v>
      </c>
      <c r="D871" s="106">
        <v>4933</v>
      </c>
    </row>
    <row r="872" spans="1:4" ht="16.5" customHeight="1" x14ac:dyDescent="0.25">
      <c r="A872" s="95">
        <v>867</v>
      </c>
      <c r="B872" s="104">
        <v>46139</v>
      </c>
      <c r="C872" s="105" t="s">
        <v>385</v>
      </c>
      <c r="D872" s="106">
        <v>1007253</v>
      </c>
    </row>
    <row r="873" spans="1:4" ht="16.5" customHeight="1" x14ac:dyDescent="0.25">
      <c r="A873" s="95">
        <v>868</v>
      </c>
      <c r="B873" s="104">
        <v>46141</v>
      </c>
      <c r="C873" s="105" t="s">
        <v>391</v>
      </c>
      <c r="D873" s="106">
        <v>3500000</v>
      </c>
    </row>
    <row r="874" spans="1:4" ht="16.5" customHeight="1" x14ac:dyDescent="0.25">
      <c r="A874" s="95">
        <v>869</v>
      </c>
      <c r="B874" s="104">
        <v>46141</v>
      </c>
      <c r="C874" s="105" t="s">
        <v>191</v>
      </c>
      <c r="D874" s="106">
        <v>210000</v>
      </c>
    </row>
    <row r="875" spans="1:4" ht="16.5" customHeight="1" x14ac:dyDescent="0.25">
      <c r="A875" s="95">
        <v>870</v>
      </c>
      <c r="B875" s="104">
        <v>46141</v>
      </c>
      <c r="C875" s="105" t="s">
        <v>397</v>
      </c>
      <c r="D875" s="106">
        <v>194532</v>
      </c>
    </row>
    <row r="876" spans="1:4" ht="16.5" customHeight="1" x14ac:dyDescent="0.25">
      <c r="A876" s="95">
        <v>871</v>
      </c>
      <c r="B876" s="104">
        <v>46142</v>
      </c>
      <c r="C876" s="105" t="s">
        <v>402</v>
      </c>
      <c r="D876" s="106">
        <v>10160</v>
      </c>
    </row>
    <row r="877" spans="1:4" ht="16.5" customHeight="1" x14ac:dyDescent="0.25">
      <c r="A877" s="95">
        <v>872</v>
      </c>
      <c r="B877" s="115">
        <v>46142</v>
      </c>
      <c r="C877" s="114" t="s">
        <v>406</v>
      </c>
      <c r="D877" s="106">
        <v>285766</v>
      </c>
    </row>
    <row r="878" spans="1:4" ht="16.5" customHeight="1" x14ac:dyDescent="0.25">
      <c r="A878" s="95">
        <v>873</v>
      </c>
      <c r="B878" s="115">
        <v>46142</v>
      </c>
      <c r="C878" s="112" t="s">
        <v>411</v>
      </c>
      <c r="D878" s="106">
        <v>350000</v>
      </c>
    </row>
    <row r="879" spans="1:4" ht="16.5" customHeight="1" x14ac:dyDescent="0.25">
      <c r="A879" s="95">
        <v>874</v>
      </c>
      <c r="B879" s="115">
        <v>46142</v>
      </c>
      <c r="C879" s="105" t="s">
        <v>413</v>
      </c>
      <c r="D879" s="106">
        <v>2100000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 Non komersil</vt:lpstr>
      <vt:lpstr>Stok opname</vt:lpstr>
      <vt:lpstr>Inisiatif</vt:lpstr>
      <vt:lpstr>SOP</vt:lpstr>
      <vt:lpstr>Administrasi 2024-2026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 Kurniati</dc:creator>
  <cp:lastModifiedBy>Nanda Kurniati</cp:lastModifiedBy>
  <dcterms:created xsi:type="dcterms:W3CDTF">2026-05-08T01:07:05Z</dcterms:created>
  <dcterms:modified xsi:type="dcterms:W3CDTF">2026-05-08T08:07:24Z</dcterms:modified>
</cp:coreProperties>
</file>